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imelines/timeline2.xml" ContentType="application/vnd.ms-excel.timelin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Anushri Thakur\Documents\"/>
    </mc:Choice>
  </mc:AlternateContent>
  <xr:revisionPtr revIDLastSave="0" documentId="13_ncr:1_{9DAA4B5D-F7A4-44B8-9B20-B3F7B41301F5}" xr6:coauthVersionLast="47" xr6:coauthVersionMax="47" xr10:uidLastSave="{00000000-0000-0000-0000-000000000000}"/>
  <bookViews>
    <workbookView xWindow="-110" yWindow="-110" windowWidth="19420" windowHeight="10300" activeTab="1" xr2:uid="{00000000-000D-0000-FFFF-FFFF00000000}"/>
  </bookViews>
  <sheets>
    <sheet name="Forecasting Sheet" sheetId="26" r:id="rId1"/>
    <sheet name="Outlier" sheetId="21" r:id="rId2"/>
    <sheet name="Dashboard" sheetId="19" r:id="rId3"/>
    <sheet name="Advanced Visualisations" sheetId="29" r:id="rId4"/>
    <sheet name="Pivot Tables" sheetId="12" r:id="rId5"/>
    <sheet name="Dataset_B" sheetId="11" r:id="rId6"/>
    <sheet name="Dataset_A" sheetId="9" r:id="rId7"/>
    <sheet name="Cleaned-dataset_3" sheetId="4" r:id="rId8"/>
    <sheet name="Cleaned-dataset_2" sheetId="3" r:id="rId9"/>
    <sheet name="Cleaned-dataset_1" sheetId="1" r:id="rId10"/>
  </sheets>
  <definedNames>
    <definedName name="_xlchart.v2.0" hidden="1">'Advanced Visualisations'!$A$3:$A$7</definedName>
    <definedName name="_xlchart.v2.1" hidden="1">'Advanced Visualisations'!$B$2</definedName>
    <definedName name="_xlchart.v2.2" hidden="1">'Advanced Visualisations'!$B$3:$B$7</definedName>
    <definedName name="_xlchart.v2.3" hidden="1">'Advanced Visualisations'!$A$3:$A$7</definedName>
    <definedName name="_xlchart.v2.4" hidden="1">'Advanced Visualisations'!$B$2</definedName>
    <definedName name="_xlchart.v2.5" hidden="1">'Advanced Visualisations'!$B$3:$B$7</definedName>
    <definedName name="ExternalData_1" localSheetId="8" hidden="1">'Cleaned-dataset_2'!$A$1:$G$611</definedName>
    <definedName name="ExternalData_2" localSheetId="7" hidden="1">'Cleaned-dataset_3'!$A$1:$N$391</definedName>
    <definedName name="ExternalData_4" localSheetId="6" hidden="1">Dataset_A!$A$1:$N$611</definedName>
    <definedName name="ExternalData_4" localSheetId="5" hidden="1">Dataset_B!$A$1:$N$1001</definedName>
    <definedName name="NativeTimeline_Date">#N/A</definedName>
    <definedName name="Slicer_Holiday">#N/A</definedName>
    <definedName name="Slicer_Time_of_Day">#N/A</definedName>
    <definedName name="Slicer_Weathersit">#N/A</definedName>
    <definedName name="Slicer_Weekday">#N/A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47" i="21" l="1" a="1"/>
  <c r="D747" i="21" s="1"/>
  <c r="D745" i="21" a="1"/>
  <c r="D745" i="21" s="1"/>
  <c r="D395" i="21" a="1"/>
  <c r="D395" i="21" s="1"/>
  <c r="D6" i="21" a="1"/>
  <c r="D6" i="21" s="1"/>
  <c r="D7" i="21" a="1"/>
  <c r="D7" i="21" s="1"/>
  <c r="D8" i="21" a="1"/>
  <c r="D8" i="21" s="1"/>
  <c r="D9" i="21" a="1"/>
  <c r="D9" i="21" s="1"/>
  <c r="D10" i="21" a="1"/>
  <c r="D10" i="21" s="1"/>
  <c r="D11" i="21" a="1"/>
  <c r="D11" i="21" s="1"/>
  <c r="D12" i="21" a="1"/>
  <c r="D12" i="21" s="1"/>
  <c r="D13" i="21" a="1"/>
  <c r="D13" i="21" s="1"/>
  <c r="D14" i="21" a="1"/>
  <c r="D14" i="21" s="1"/>
  <c r="D15" i="21" a="1"/>
  <c r="D15" i="21" s="1"/>
  <c r="D16" i="21" a="1"/>
  <c r="D16" i="21" s="1"/>
  <c r="D17" i="21" a="1"/>
  <c r="D17" i="21" s="1"/>
  <c r="D18" i="21" a="1"/>
  <c r="D18" i="21" s="1"/>
  <c r="D19" i="21" a="1"/>
  <c r="D19" i="21" s="1"/>
  <c r="D20" i="21" a="1"/>
  <c r="D20" i="21" s="1"/>
  <c r="D21" i="21" a="1"/>
  <c r="D21" i="21" s="1"/>
  <c r="D22" i="21" a="1"/>
  <c r="D22" i="21" s="1"/>
  <c r="D23" i="21" a="1"/>
  <c r="D23" i="21" s="1"/>
  <c r="D24" i="21" a="1"/>
  <c r="D24" i="21" s="1"/>
  <c r="D25" i="21" a="1"/>
  <c r="D25" i="21" s="1"/>
  <c r="D26" i="21" a="1"/>
  <c r="D26" i="21" s="1"/>
  <c r="D27" i="21" a="1"/>
  <c r="D27" i="21" s="1"/>
  <c r="D28" i="21" a="1"/>
  <c r="D28" i="21" s="1"/>
  <c r="D29" i="21" a="1"/>
  <c r="D29" i="21" s="1"/>
  <c r="D30" i="21" a="1"/>
  <c r="D30" i="21" s="1"/>
  <c r="D31" i="21" a="1"/>
  <c r="D31" i="21" s="1"/>
  <c r="D32" i="21" a="1"/>
  <c r="D32" i="21" s="1"/>
  <c r="D33" i="21" a="1"/>
  <c r="D33" i="21" s="1"/>
  <c r="D34" i="21" a="1"/>
  <c r="D34" i="21" s="1"/>
  <c r="D35" i="21" a="1"/>
  <c r="D35" i="21" s="1"/>
  <c r="D36" i="21" a="1"/>
  <c r="D36" i="21" s="1"/>
  <c r="D37" i="21" a="1"/>
  <c r="D37" i="21" s="1"/>
  <c r="D38" i="21" a="1"/>
  <c r="D38" i="21" s="1"/>
  <c r="D39" i="21" a="1"/>
  <c r="D39" i="21" s="1"/>
  <c r="D40" i="21" a="1"/>
  <c r="D40" i="21" s="1"/>
  <c r="D41" i="21" a="1"/>
  <c r="D41" i="21" s="1"/>
  <c r="D42" i="21" a="1"/>
  <c r="D42" i="21" s="1"/>
  <c r="D43" i="21" a="1"/>
  <c r="D43" i="21" s="1"/>
  <c r="D44" i="21" a="1"/>
  <c r="D44" i="21" s="1"/>
  <c r="D45" i="21" a="1"/>
  <c r="D45" i="21" s="1"/>
  <c r="D46" i="21" a="1"/>
  <c r="D46" i="21" s="1"/>
  <c r="D47" i="21" a="1"/>
  <c r="D47" i="21" s="1"/>
  <c r="D48" i="21" a="1"/>
  <c r="D48" i="21" s="1"/>
  <c r="D49" i="21" a="1"/>
  <c r="D49" i="21" s="1"/>
  <c r="D50" i="21" a="1"/>
  <c r="D50" i="21" s="1"/>
  <c r="D51" i="21" a="1"/>
  <c r="D51" i="21" s="1"/>
  <c r="D52" i="21" a="1"/>
  <c r="D52" i="21" s="1"/>
  <c r="D53" i="21" a="1"/>
  <c r="D53" i="21" s="1"/>
  <c r="D54" i="21" a="1"/>
  <c r="D54" i="21" s="1"/>
  <c r="D55" i="21" a="1"/>
  <c r="D55" i="21" s="1"/>
  <c r="D56" i="21" a="1"/>
  <c r="D56" i="21" s="1"/>
  <c r="D57" i="21" a="1"/>
  <c r="D57" i="21" s="1"/>
  <c r="D58" i="21" a="1"/>
  <c r="D58" i="21" s="1"/>
  <c r="D59" i="21" a="1"/>
  <c r="D59" i="21" s="1"/>
  <c r="D60" i="21" a="1"/>
  <c r="D60" i="21" s="1"/>
  <c r="D61" i="21" a="1"/>
  <c r="D61" i="21" s="1"/>
  <c r="D62" i="21" a="1"/>
  <c r="D62" i="21" s="1"/>
  <c r="D63" i="21" a="1"/>
  <c r="D63" i="21" s="1"/>
  <c r="D64" i="21" a="1"/>
  <c r="D64" i="21" s="1"/>
  <c r="D65" i="21" a="1"/>
  <c r="D65" i="21" s="1"/>
  <c r="D66" i="21" a="1"/>
  <c r="D66" i="21" s="1"/>
  <c r="D67" i="21" a="1"/>
  <c r="D67" i="21" s="1"/>
  <c r="D68" i="21" a="1"/>
  <c r="D68" i="21" s="1"/>
  <c r="D69" i="21" a="1"/>
  <c r="D69" i="21" s="1"/>
  <c r="D70" i="21" a="1"/>
  <c r="D70" i="21" s="1"/>
  <c r="D71" i="21" a="1"/>
  <c r="D71" i="21" s="1"/>
  <c r="D72" i="21" a="1"/>
  <c r="D72" i="21" s="1"/>
  <c r="D73" i="21" a="1"/>
  <c r="D73" i="21" s="1"/>
  <c r="D74" i="21" a="1"/>
  <c r="D74" i="21" s="1"/>
  <c r="D75" i="21" a="1"/>
  <c r="D75" i="21" s="1"/>
  <c r="D76" i="21" a="1"/>
  <c r="D76" i="21" s="1"/>
  <c r="D77" i="21" a="1"/>
  <c r="D77" i="21" s="1"/>
  <c r="D78" i="21" a="1"/>
  <c r="D78" i="21" s="1"/>
  <c r="D79" i="21" a="1"/>
  <c r="D79" i="21" s="1"/>
  <c r="D80" i="21" a="1"/>
  <c r="D80" i="21" s="1"/>
  <c r="D81" i="21" a="1"/>
  <c r="D81" i="21" s="1"/>
  <c r="D82" i="21" a="1"/>
  <c r="D82" i="21" s="1"/>
  <c r="D83" i="21" a="1"/>
  <c r="D83" i="21" s="1"/>
  <c r="D84" i="21" a="1"/>
  <c r="D84" i="21" s="1"/>
  <c r="D85" i="21" a="1"/>
  <c r="D85" i="21" s="1"/>
  <c r="D86" i="21" a="1"/>
  <c r="D86" i="21" s="1"/>
  <c r="D87" i="21" a="1"/>
  <c r="D87" i="21" s="1"/>
  <c r="D88" i="21" a="1"/>
  <c r="D88" i="21" s="1"/>
  <c r="D89" i="21" a="1"/>
  <c r="D89" i="21" s="1"/>
  <c r="D90" i="21" a="1"/>
  <c r="D90" i="21" s="1"/>
  <c r="D91" i="21" a="1"/>
  <c r="D91" i="21" s="1"/>
  <c r="D92" i="21" a="1"/>
  <c r="D92" i="21" s="1"/>
  <c r="D93" i="21" a="1"/>
  <c r="D93" i="21" s="1"/>
  <c r="D94" i="21" a="1"/>
  <c r="D94" i="21" s="1"/>
  <c r="D95" i="21" a="1"/>
  <c r="D95" i="21" s="1"/>
  <c r="D96" i="21" a="1"/>
  <c r="D96" i="21" s="1"/>
  <c r="D97" i="21" a="1"/>
  <c r="D97" i="21" s="1"/>
  <c r="D98" i="21" a="1"/>
  <c r="D98" i="21" s="1"/>
  <c r="D99" i="21" a="1"/>
  <c r="D99" i="21" s="1"/>
  <c r="D100" i="21" a="1"/>
  <c r="D100" i="21" s="1"/>
  <c r="D101" i="21" a="1"/>
  <c r="D101" i="21" s="1"/>
  <c r="D102" i="21" a="1"/>
  <c r="D102" i="21" s="1"/>
  <c r="D103" i="21" a="1"/>
  <c r="D103" i="21" s="1"/>
  <c r="D104" i="21" a="1"/>
  <c r="D104" i="21" s="1"/>
  <c r="D105" i="21" a="1"/>
  <c r="D105" i="21" s="1"/>
  <c r="D106" i="21" a="1"/>
  <c r="D106" i="21" s="1"/>
  <c r="D107" i="21" a="1"/>
  <c r="D107" i="21" s="1"/>
  <c r="D108" i="21" a="1"/>
  <c r="D108" i="21" s="1"/>
  <c r="D109" i="21" a="1"/>
  <c r="D109" i="21" s="1"/>
  <c r="D110" i="21" a="1"/>
  <c r="D110" i="21" s="1"/>
  <c r="D111" i="21" a="1"/>
  <c r="D111" i="21" s="1"/>
  <c r="D112" i="21" a="1"/>
  <c r="D112" i="21" s="1"/>
  <c r="D113" i="21" a="1"/>
  <c r="D113" i="21" s="1"/>
  <c r="D114" i="21" a="1"/>
  <c r="D114" i="21" s="1"/>
  <c r="D115" i="21" a="1"/>
  <c r="D115" i="21" s="1"/>
  <c r="D116" i="21" a="1"/>
  <c r="D116" i="21" s="1"/>
  <c r="D117" i="21" a="1"/>
  <c r="D117" i="21" s="1"/>
  <c r="D118" i="21" a="1"/>
  <c r="D118" i="21" s="1"/>
  <c r="D119" i="21" a="1"/>
  <c r="D119" i="21" s="1"/>
  <c r="D120" i="21" a="1"/>
  <c r="D120" i="21" s="1"/>
  <c r="D121" i="21" a="1"/>
  <c r="D121" i="21" s="1"/>
  <c r="D122" i="21" a="1"/>
  <c r="D122" i="21" s="1"/>
  <c r="D123" i="21" a="1"/>
  <c r="D123" i="21" s="1"/>
  <c r="D124" i="21" a="1"/>
  <c r="D124" i="21" s="1"/>
  <c r="D125" i="21" a="1"/>
  <c r="D125" i="21" s="1"/>
  <c r="D126" i="21" a="1"/>
  <c r="D126" i="21" s="1"/>
  <c r="D127" i="21" a="1"/>
  <c r="D127" i="21" s="1"/>
  <c r="D128" i="21" a="1"/>
  <c r="D128" i="21" s="1"/>
  <c r="D129" i="21" a="1"/>
  <c r="D129" i="21" s="1"/>
  <c r="D130" i="21" a="1"/>
  <c r="D130" i="21" s="1"/>
  <c r="D131" i="21" a="1"/>
  <c r="D131" i="21" s="1"/>
  <c r="D132" i="21" a="1"/>
  <c r="D132" i="21" s="1"/>
  <c r="D133" i="21" a="1"/>
  <c r="D133" i="21" s="1"/>
  <c r="D134" i="21" a="1"/>
  <c r="D134" i="21" s="1"/>
  <c r="D135" i="21" a="1"/>
  <c r="D135" i="21" s="1"/>
  <c r="D136" i="21" a="1"/>
  <c r="D136" i="21" s="1"/>
  <c r="D137" i="21" a="1"/>
  <c r="D137" i="21" s="1"/>
  <c r="D138" i="21" a="1"/>
  <c r="D138" i="21" s="1"/>
  <c r="D139" i="21" a="1"/>
  <c r="D139" i="21" s="1"/>
  <c r="D140" i="21" a="1"/>
  <c r="D140" i="21" s="1"/>
  <c r="D141" i="21" a="1"/>
  <c r="D141" i="21" s="1"/>
  <c r="D142" i="21" a="1"/>
  <c r="D142" i="21" s="1"/>
  <c r="D143" i="21" a="1"/>
  <c r="D143" i="21" s="1"/>
  <c r="D144" i="21" a="1"/>
  <c r="D144" i="21" s="1"/>
  <c r="D145" i="21" a="1"/>
  <c r="D145" i="21" s="1"/>
  <c r="D146" i="21" a="1"/>
  <c r="D146" i="21" s="1"/>
  <c r="D147" i="21" a="1"/>
  <c r="D147" i="21" s="1"/>
  <c r="D148" i="21" a="1"/>
  <c r="D148" i="21" s="1"/>
  <c r="D149" i="21" a="1"/>
  <c r="D149" i="21" s="1"/>
  <c r="D150" i="21" a="1"/>
  <c r="D150" i="21" s="1"/>
  <c r="D151" i="21" a="1"/>
  <c r="D151" i="21" s="1"/>
  <c r="D152" i="21" a="1"/>
  <c r="D152" i="21" s="1"/>
  <c r="D153" i="21" a="1"/>
  <c r="D153" i="21" s="1"/>
  <c r="D154" i="21" a="1"/>
  <c r="D154" i="21" s="1"/>
  <c r="D155" i="21" a="1"/>
  <c r="D155" i="21" s="1"/>
  <c r="D156" i="21" a="1"/>
  <c r="D156" i="21" s="1"/>
  <c r="D157" i="21" a="1"/>
  <c r="D157" i="21" s="1"/>
  <c r="D158" i="21" a="1"/>
  <c r="D158" i="21" s="1"/>
  <c r="D159" i="21" a="1"/>
  <c r="D159" i="21" s="1"/>
  <c r="D160" i="21" a="1"/>
  <c r="D160" i="21" s="1"/>
  <c r="D161" i="21" a="1"/>
  <c r="D161" i="21" s="1"/>
  <c r="D162" i="21" a="1"/>
  <c r="D162" i="21" s="1"/>
  <c r="D163" i="21" a="1"/>
  <c r="D163" i="21" s="1"/>
  <c r="D164" i="21" a="1"/>
  <c r="D164" i="21" s="1"/>
  <c r="D165" i="21" a="1"/>
  <c r="D165" i="21" s="1"/>
  <c r="D166" i="21" a="1"/>
  <c r="D166" i="21" s="1"/>
  <c r="D167" i="21" a="1"/>
  <c r="D167" i="21" s="1"/>
  <c r="D168" i="21" a="1"/>
  <c r="D168" i="21" s="1"/>
  <c r="D169" i="21" a="1"/>
  <c r="D169" i="21" s="1"/>
  <c r="D170" i="21" a="1"/>
  <c r="D170" i="21" s="1"/>
  <c r="D171" i="21" a="1"/>
  <c r="D171" i="21" s="1"/>
  <c r="D172" i="21" a="1"/>
  <c r="D172" i="21" s="1"/>
  <c r="D173" i="21" a="1"/>
  <c r="D173" i="21" s="1"/>
  <c r="D174" i="21" a="1"/>
  <c r="D174" i="21" s="1"/>
  <c r="D175" i="21" a="1"/>
  <c r="D175" i="21" s="1"/>
  <c r="D176" i="21" a="1"/>
  <c r="D176" i="21" s="1"/>
  <c r="D177" i="21" a="1"/>
  <c r="D177" i="21" s="1"/>
  <c r="D178" i="21" a="1"/>
  <c r="D178" i="21" s="1"/>
  <c r="D179" i="21" a="1"/>
  <c r="D179" i="21" s="1"/>
  <c r="D180" i="21" a="1"/>
  <c r="D180" i="21" s="1"/>
  <c r="D181" i="21" a="1"/>
  <c r="D181" i="21" s="1"/>
  <c r="D182" i="21" a="1"/>
  <c r="D182" i="21" s="1"/>
  <c r="D183" i="21" a="1"/>
  <c r="D183" i="21" s="1"/>
  <c r="D184" i="21" a="1"/>
  <c r="D184" i="21" s="1"/>
  <c r="D185" i="21" a="1"/>
  <c r="D185" i="21" s="1"/>
  <c r="D186" i="21" a="1"/>
  <c r="D186" i="21" s="1"/>
  <c r="D187" i="21" a="1"/>
  <c r="D187" i="21" s="1"/>
  <c r="D188" i="21" a="1"/>
  <c r="D188" i="21" s="1"/>
  <c r="D189" i="21" a="1"/>
  <c r="D189" i="21" s="1"/>
  <c r="D190" i="21" a="1"/>
  <c r="D190" i="21" s="1"/>
  <c r="D191" i="21" a="1"/>
  <c r="D191" i="21" s="1"/>
  <c r="D192" i="21" a="1"/>
  <c r="D192" i="21" s="1"/>
  <c r="D193" i="21" a="1"/>
  <c r="D193" i="21" s="1"/>
  <c r="D194" i="21" a="1"/>
  <c r="D194" i="21" s="1"/>
  <c r="D195" i="21" a="1"/>
  <c r="D195" i="21" s="1"/>
  <c r="D196" i="21" a="1"/>
  <c r="D196" i="21" s="1"/>
  <c r="D197" i="21" a="1"/>
  <c r="D197" i="21" s="1"/>
  <c r="D198" i="21" a="1"/>
  <c r="D198" i="21" s="1"/>
  <c r="D199" i="21" a="1"/>
  <c r="D199" i="21" s="1"/>
  <c r="D200" i="21" a="1"/>
  <c r="D200" i="21" s="1"/>
  <c r="D201" i="21" a="1"/>
  <c r="D201" i="21" s="1"/>
  <c r="D202" i="21" a="1"/>
  <c r="D202" i="21" s="1"/>
  <c r="D203" i="21" a="1"/>
  <c r="D203" i="21" s="1"/>
  <c r="D204" i="21" a="1"/>
  <c r="D204" i="21" s="1"/>
  <c r="D205" i="21" a="1"/>
  <c r="D205" i="21" s="1"/>
  <c r="D206" i="21" a="1"/>
  <c r="D206" i="21" s="1"/>
  <c r="D207" i="21" a="1"/>
  <c r="D207" i="21" s="1"/>
  <c r="D208" i="21" a="1"/>
  <c r="D208" i="21" s="1"/>
  <c r="D209" i="21" a="1"/>
  <c r="D209" i="21" s="1"/>
  <c r="D210" i="21" a="1"/>
  <c r="D210" i="21" s="1"/>
  <c r="D211" i="21" a="1"/>
  <c r="D211" i="21" s="1"/>
  <c r="D212" i="21" a="1"/>
  <c r="D212" i="21" s="1"/>
  <c r="D213" i="21" a="1"/>
  <c r="D213" i="21" s="1"/>
  <c r="D214" i="21" a="1"/>
  <c r="D214" i="21" s="1"/>
  <c r="D215" i="21" a="1"/>
  <c r="D215" i="21" s="1"/>
  <c r="D216" i="21" a="1"/>
  <c r="D216" i="21" s="1"/>
  <c r="D217" i="21" a="1"/>
  <c r="D217" i="21" s="1"/>
  <c r="D218" i="21" a="1"/>
  <c r="D218" i="21" s="1"/>
  <c r="D219" i="21" a="1"/>
  <c r="D219" i="21" s="1"/>
  <c r="D220" i="21" a="1"/>
  <c r="D220" i="21" s="1"/>
  <c r="D221" i="21" a="1"/>
  <c r="D221" i="21" s="1"/>
  <c r="D222" i="21" a="1"/>
  <c r="D222" i="21" s="1"/>
  <c r="D223" i="21" a="1"/>
  <c r="D223" i="21" s="1"/>
  <c r="D224" i="21" a="1"/>
  <c r="D224" i="21" s="1"/>
  <c r="D225" i="21" a="1"/>
  <c r="D225" i="21" s="1"/>
  <c r="D226" i="21" a="1"/>
  <c r="D226" i="21" s="1"/>
  <c r="D227" i="21" a="1"/>
  <c r="D227" i="21" s="1"/>
  <c r="D228" i="21" a="1"/>
  <c r="D228" i="21" s="1"/>
  <c r="D229" i="21" a="1"/>
  <c r="D229" i="21" s="1"/>
  <c r="D230" i="21" a="1"/>
  <c r="D230" i="21" s="1"/>
  <c r="D231" i="21" a="1"/>
  <c r="D231" i="21" s="1"/>
  <c r="D232" i="21" a="1"/>
  <c r="D232" i="21" s="1"/>
  <c r="D233" i="21" a="1"/>
  <c r="D233" i="21" s="1"/>
  <c r="D234" i="21" a="1"/>
  <c r="D234" i="21" s="1"/>
  <c r="D235" i="21" a="1"/>
  <c r="D235" i="21" s="1"/>
  <c r="D236" i="21" a="1"/>
  <c r="D236" i="21" s="1"/>
  <c r="D237" i="21" a="1"/>
  <c r="D237" i="21" s="1"/>
  <c r="D238" i="21" a="1"/>
  <c r="D238" i="21" s="1"/>
  <c r="D239" i="21" a="1"/>
  <c r="D239" i="21" s="1"/>
  <c r="D240" i="21" a="1"/>
  <c r="D240" i="21" s="1"/>
  <c r="D241" i="21" a="1"/>
  <c r="D241" i="21" s="1"/>
  <c r="D242" i="21" a="1"/>
  <c r="D242" i="21" s="1"/>
  <c r="D243" i="21" a="1"/>
  <c r="D243" i="21" s="1"/>
  <c r="D244" i="21" a="1"/>
  <c r="D244" i="21" s="1"/>
  <c r="D245" i="21" a="1"/>
  <c r="D245" i="21" s="1"/>
  <c r="D246" i="21" a="1"/>
  <c r="D246" i="21" s="1"/>
  <c r="D247" i="21" a="1"/>
  <c r="D247" i="21" s="1"/>
  <c r="D248" i="21" a="1"/>
  <c r="D248" i="21" s="1"/>
  <c r="D249" i="21" a="1"/>
  <c r="D249" i="21" s="1"/>
  <c r="D250" i="21" a="1"/>
  <c r="D250" i="21" s="1"/>
  <c r="D251" i="21" a="1"/>
  <c r="D251" i="21" s="1"/>
  <c r="D252" i="21" a="1"/>
  <c r="D252" i="21" s="1"/>
  <c r="D253" i="21" a="1"/>
  <c r="D253" i="21" s="1"/>
  <c r="D254" i="21" a="1"/>
  <c r="D254" i="21" s="1"/>
  <c r="D255" i="21" a="1"/>
  <c r="D255" i="21" s="1"/>
  <c r="D256" i="21" a="1"/>
  <c r="D256" i="21" s="1"/>
  <c r="D257" i="21" a="1"/>
  <c r="D257" i="21" s="1"/>
  <c r="D258" i="21" a="1"/>
  <c r="D258" i="21" s="1"/>
  <c r="D259" i="21" a="1"/>
  <c r="D259" i="21" s="1"/>
  <c r="D260" i="21" a="1"/>
  <c r="D260" i="21" s="1"/>
  <c r="D261" i="21" a="1"/>
  <c r="D261" i="21" s="1"/>
  <c r="D262" i="21" a="1"/>
  <c r="D262" i="21" s="1"/>
  <c r="D263" i="21" a="1"/>
  <c r="D263" i="21" s="1"/>
  <c r="D264" i="21" a="1"/>
  <c r="D264" i="21" s="1"/>
  <c r="D265" i="21" a="1"/>
  <c r="D265" i="21" s="1"/>
  <c r="D266" i="21" a="1"/>
  <c r="D266" i="21" s="1"/>
  <c r="D267" i="21" a="1"/>
  <c r="D267" i="21" s="1"/>
  <c r="D268" i="21" a="1"/>
  <c r="D268" i="21" s="1"/>
  <c r="D269" i="21" a="1"/>
  <c r="D269" i="21" s="1"/>
  <c r="D270" i="21" a="1"/>
  <c r="D270" i="21" s="1"/>
  <c r="D271" i="21" a="1"/>
  <c r="D271" i="21" s="1"/>
  <c r="D272" i="21" a="1"/>
  <c r="D272" i="21" s="1"/>
  <c r="D273" i="21" a="1"/>
  <c r="D273" i="21" s="1"/>
  <c r="D274" i="21" a="1"/>
  <c r="D274" i="21" s="1"/>
  <c r="D275" i="21" a="1"/>
  <c r="D275" i="21" s="1"/>
  <c r="D276" i="21" a="1"/>
  <c r="D276" i="21" s="1"/>
  <c r="D277" i="21" a="1"/>
  <c r="D277" i="21" s="1"/>
  <c r="D278" i="21" a="1"/>
  <c r="D278" i="21" s="1"/>
  <c r="D279" i="21" a="1"/>
  <c r="D279" i="21" s="1"/>
  <c r="D280" i="21" a="1"/>
  <c r="D280" i="21" s="1"/>
  <c r="D281" i="21" a="1"/>
  <c r="D281" i="21" s="1"/>
  <c r="D282" i="21" a="1"/>
  <c r="D282" i="21" s="1"/>
  <c r="D283" i="21" a="1"/>
  <c r="D283" i="21" s="1"/>
  <c r="D284" i="21" a="1"/>
  <c r="D284" i="21" s="1"/>
  <c r="D285" i="21" a="1"/>
  <c r="D285" i="21" s="1"/>
  <c r="D286" i="21" a="1"/>
  <c r="D286" i="21" s="1"/>
  <c r="D287" i="21" a="1"/>
  <c r="D287" i="21" s="1"/>
  <c r="D288" i="21" a="1"/>
  <c r="D288" i="21" s="1"/>
  <c r="D289" i="21" a="1"/>
  <c r="D289" i="21" s="1"/>
  <c r="D290" i="21" a="1"/>
  <c r="D290" i="21" s="1"/>
  <c r="D291" i="21" a="1"/>
  <c r="D291" i="21" s="1"/>
  <c r="D292" i="21" a="1"/>
  <c r="D292" i="21" s="1"/>
  <c r="D293" i="21" a="1"/>
  <c r="D293" i="21" s="1"/>
  <c r="D294" i="21" a="1"/>
  <c r="D294" i="21" s="1"/>
  <c r="D295" i="21" a="1"/>
  <c r="D295" i="21" s="1"/>
  <c r="D296" i="21" a="1"/>
  <c r="D296" i="21" s="1"/>
  <c r="D297" i="21" a="1"/>
  <c r="D297" i="21" s="1"/>
  <c r="D298" i="21" a="1"/>
  <c r="D298" i="21" s="1"/>
  <c r="D299" i="21" a="1"/>
  <c r="D299" i="21" s="1"/>
  <c r="D300" i="21" a="1"/>
  <c r="D300" i="21" s="1"/>
  <c r="D301" i="21" a="1"/>
  <c r="D301" i="21" s="1"/>
  <c r="D302" i="21" a="1"/>
  <c r="D302" i="21" s="1"/>
  <c r="D303" i="21" a="1"/>
  <c r="D303" i="21" s="1"/>
  <c r="D304" i="21" a="1"/>
  <c r="D304" i="21" s="1"/>
  <c r="D305" i="21" a="1"/>
  <c r="D305" i="21" s="1"/>
  <c r="D306" i="21" a="1"/>
  <c r="D306" i="21" s="1"/>
  <c r="D307" i="21" a="1"/>
  <c r="D307" i="21" s="1"/>
  <c r="D308" i="21" a="1"/>
  <c r="D308" i="21" s="1"/>
  <c r="D309" i="21" a="1"/>
  <c r="D309" i="21" s="1"/>
  <c r="D310" i="21" a="1"/>
  <c r="D310" i="21" s="1"/>
  <c r="D311" i="21" a="1"/>
  <c r="D311" i="21" s="1"/>
  <c r="D312" i="21" a="1"/>
  <c r="D312" i="21" s="1"/>
  <c r="D313" i="21" a="1"/>
  <c r="D313" i="21" s="1"/>
  <c r="D314" i="21" a="1"/>
  <c r="D314" i="21" s="1"/>
  <c r="D315" i="21" a="1"/>
  <c r="D315" i="21" s="1"/>
  <c r="D316" i="21" a="1"/>
  <c r="D316" i="21" s="1"/>
  <c r="D317" i="21" a="1"/>
  <c r="D317" i="21" s="1"/>
  <c r="D318" i="21" a="1"/>
  <c r="D318" i="21" s="1"/>
  <c r="D319" i="21" a="1"/>
  <c r="D319" i="21" s="1"/>
  <c r="D320" i="21" a="1"/>
  <c r="D320" i="21" s="1"/>
  <c r="D321" i="21" a="1"/>
  <c r="D321" i="21" s="1"/>
  <c r="D322" i="21" a="1"/>
  <c r="D322" i="21" s="1"/>
  <c r="D323" i="21" a="1"/>
  <c r="D323" i="21" s="1"/>
  <c r="D324" i="21" a="1"/>
  <c r="D324" i="21" s="1"/>
  <c r="D325" i="21" a="1"/>
  <c r="D325" i="21" s="1"/>
  <c r="D326" i="21" a="1"/>
  <c r="D326" i="21" s="1"/>
  <c r="D327" i="21" a="1"/>
  <c r="D327" i="21" s="1"/>
  <c r="D328" i="21" a="1"/>
  <c r="D328" i="21" s="1"/>
  <c r="D329" i="21" a="1"/>
  <c r="D329" i="21" s="1"/>
  <c r="D330" i="21" a="1"/>
  <c r="D330" i="21" s="1"/>
  <c r="D331" i="21" a="1"/>
  <c r="D331" i="21" s="1"/>
  <c r="D332" i="21" a="1"/>
  <c r="D332" i="21" s="1"/>
  <c r="D333" i="21" a="1"/>
  <c r="D333" i="21" s="1"/>
  <c r="D334" i="21" a="1"/>
  <c r="D334" i="21" s="1"/>
  <c r="D335" i="21" a="1"/>
  <c r="D335" i="21" s="1"/>
  <c r="D336" i="21" a="1"/>
  <c r="D336" i="21" s="1"/>
  <c r="D337" i="21" a="1"/>
  <c r="D337" i="21" s="1"/>
  <c r="D338" i="21" a="1"/>
  <c r="D338" i="21" s="1"/>
  <c r="D339" i="21" a="1"/>
  <c r="D339" i="21" s="1"/>
  <c r="D340" i="21" a="1"/>
  <c r="D340" i="21" s="1"/>
  <c r="D341" i="21" a="1"/>
  <c r="D341" i="21" s="1"/>
  <c r="D342" i="21" a="1"/>
  <c r="D342" i="21" s="1"/>
  <c r="D343" i="21" a="1"/>
  <c r="D343" i="21" s="1"/>
  <c r="D344" i="21" a="1"/>
  <c r="D344" i="21" s="1"/>
  <c r="D345" i="21" a="1"/>
  <c r="D345" i="21" s="1"/>
  <c r="D346" i="21" a="1"/>
  <c r="D346" i="21" s="1"/>
  <c r="D347" i="21" a="1"/>
  <c r="D347" i="21" s="1"/>
  <c r="D348" i="21" a="1"/>
  <c r="D348" i="21" s="1"/>
  <c r="D349" i="21" a="1"/>
  <c r="D349" i="21" s="1"/>
  <c r="D350" i="21" a="1"/>
  <c r="D350" i="21" s="1"/>
  <c r="D351" i="21" a="1"/>
  <c r="D351" i="21" s="1"/>
  <c r="D352" i="21" a="1"/>
  <c r="D352" i="21" s="1"/>
  <c r="D353" i="21" a="1"/>
  <c r="D353" i="21" s="1"/>
  <c r="D354" i="21" a="1"/>
  <c r="D354" i="21" s="1"/>
  <c r="D355" i="21" a="1"/>
  <c r="D355" i="21" s="1"/>
  <c r="D356" i="21" a="1"/>
  <c r="D356" i="21" s="1"/>
  <c r="D357" i="21" a="1"/>
  <c r="D357" i="21" s="1"/>
  <c r="D358" i="21" a="1"/>
  <c r="D358" i="21" s="1"/>
  <c r="D359" i="21" a="1"/>
  <c r="D359" i="21" s="1"/>
  <c r="D360" i="21" a="1"/>
  <c r="D360" i="21" s="1"/>
  <c r="D361" i="21" a="1"/>
  <c r="D361" i="21" s="1"/>
  <c r="D362" i="21" a="1"/>
  <c r="D362" i="21" s="1"/>
  <c r="D363" i="21" a="1"/>
  <c r="D363" i="21" s="1"/>
  <c r="D364" i="21" a="1"/>
  <c r="D364" i="21" s="1"/>
  <c r="D365" i="21" a="1"/>
  <c r="D365" i="21" s="1"/>
  <c r="D366" i="21" a="1"/>
  <c r="D366" i="21" s="1"/>
  <c r="D367" i="21" a="1"/>
  <c r="D367" i="21" s="1"/>
  <c r="D368" i="21" a="1"/>
  <c r="D368" i="21" s="1"/>
  <c r="D369" i="21" a="1"/>
  <c r="D369" i="21" s="1"/>
  <c r="D370" i="21" a="1"/>
  <c r="D370" i="21" s="1"/>
  <c r="D371" i="21" a="1"/>
  <c r="D371" i="21" s="1"/>
  <c r="D372" i="21" a="1"/>
  <c r="D372" i="21" s="1"/>
  <c r="D373" i="21" a="1"/>
  <c r="D373" i="21" s="1"/>
  <c r="D374" i="21" a="1"/>
  <c r="D374" i="21" s="1"/>
  <c r="D375" i="21" a="1"/>
  <c r="D375" i="21" s="1"/>
  <c r="D376" i="21" a="1"/>
  <c r="D376" i="21" s="1"/>
  <c r="D377" i="21" a="1"/>
  <c r="D377" i="21" s="1"/>
  <c r="D378" i="21" a="1"/>
  <c r="D378" i="21" s="1"/>
  <c r="D379" i="21" a="1"/>
  <c r="D379" i="21" s="1"/>
  <c r="D380" i="21" a="1"/>
  <c r="D380" i="21" s="1"/>
  <c r="D381" i="21" a="1"/>
  <c r="D381" i="21" s="1"/>
  <c r="D382" i="21" a="1"/>
  <c r="D382" i="21" s="1"/>
  <c r="D383" i="21" a="1"/>
  <c r="D383" i="21" s="1"/>
  <c r="D384" i="21" a="1"/>
  <c r="D384" i="21" s="1"/>
  <c r="D385" i="21" a="1"/>
  <c r="D385" i="21" s="1"/>
  <c r="D386" i="21" a="1"/>
  <c r="D386" i="21" s="1"/>
  <c r="D387" i="21" a="1"/>
  <c r="D387" i="21" s="1"/>
  <c r="D388" i="21" a="1"/>
  <c r="D388" i="21" s="1"/>
  <c r="D389" i="21" a="1"/>
  <c r="D389" i="21" s="1"/>
  <c r="D390" i="21" a="1"/>
  <c r="D390" i="21" s="1"/>
  <c r="D391" i="21" a="1"/>
  <c r="D391" i="21" s="1"/>
  <c r="D392" i="21" a="1"/>
  <c r="D392" i="21" s="1"/>
  <c r="D393" i="21" a="1"/>
  <c r="D393" i="21" s="1"/>
  <c r="D394" i="21" a="1"/>
  <c r="D394" i="21" s="1"/>
  <c r="D396" i="21" a="1"/>
  <c r="D396" i="21" s="1"/>
  <c r="D397" i="21" a="1"/>
  <c r="D397" i="21" s="1"/>
  <c r="D398" i="21" a="1"/>
  <c r="D398" i="21" s="1"/>
  <c r="D399" i="21" a="1"/>
  <c r="D399" i="21" s="1"/>
  <c r="D400" i="21" a="1"/>
  <c r="D400" i="21" s="1"/>
  <c r="D401" i="21" a="1"/>
  <c r="D401" i="21" s="1"/>
  <c r="D402" i="21" a="1"/>
  <c r="D402" i="21" s="1"/>
  <c r="D403" i="21" a="1"/>
  <c r="D403" i="21" s="1"/>
  <c r="D404" i="21" a="1"/>
  <c r="D404" i="21" s="1"/>
  <c r="D405" i="21" a="1"/>
  <c r="D405" i="21" s="1"/>
  <c r="D406" i="21" a="1"/>
  <c r="D406" i="21" s="1"/>
  <c r="D407" i="21" a="1"/>
  <c r="D407" i="21" s="1"/>
  <c r="D408" i="21" a="1"/>
  <c r="D408" i="21" s="1"/>
  <c r="D409" i="21" a="1"/>
  <c r="D409" i="21" s="1"/>
  <c r="D410" i="21" a="1"/>
  <c r="D410" i="21" s="1"/>
  <c r="D411" i="21" a="1"/>
  <c r="D411" i="21" s="1"/>
  <c r="D412" i="21" a="1"/>
  <c r="D412" i="21" s="1"/>
  <c r="D413" i="21" a="1"/>
  <c r="D413" i="21" s="1"/>
  <c r="D414" i="21" a="1"/>
  <c r="D414" i="21" s="1"/>
  <c r="D415" i="21" a="1"/>
  <c r="D415" i="21" s="1"/>
  <c r="D416" i="21" a="1"/>
  <c r="D416" i="21" s="1"/>
  <c r="D417" i="21" a="1"/>
  <c r="D417" i="21" s="1"/>
  <c r="D418" i="21" a="1"/>
  <c r="D418" i="21" s="1"/>
  <c r="D419" i="21" a="1"/>
  <c r="D419" i="21" s="1"/>
  <c r="D420" i="21" a="1"/>
  <c r="D420" i="21" s="1"/>
  <c r="D421" i="21" a="1"/>
  <c r="D421" i="21" s="1"/>
  <c r="D422" i="21" a="1"/>
  <c r="D422" i="21" s="1"/>
  <c r="D423" i="21" a="1"/>
  <c r="D423" i="21" s="1"/>
  <c r="D424" i="21" a="1"/>
  <c r="D424" i="21" s="1"/>
  <c r="D425" i="21" a="1"/>
  <c r="D425" i="21" s="1"/>
  <c r="D426" i="21" a="1"/>
  <c r="D426" i="21" s="1"/>
  <c r="D427" i="21" a="1"/>
  <c r="D427" i="21" s="1"/>
  <c r="D428" i="21" a="1"/>
  <c r="D428" i="21" s="1"/>
  <c r="D429" i="21" a="1"/>
  <c r="D429" i="21" s="1"/>
  <c r="D430" i="21" a="1"/>
  <c r="D430" i="21" s="1"/>
  <c r="D431" i="21" a="1"/>
  <c r="D431" i="21" s="1"/>
  <c r="D432" i="21" a="1"/>
  <c r="D432" i="21" s="1"/>
  <c r="D433" i="21" a="1"/>
  <c r="D433" i="21" s="1"/>
  <c r="D434" i="21" a="1"/>
  <c r="D434" i="21" s="1"/>
  <c r="D435" i="21" a="1"/>
  <c r="D435" i="21" s="1"/>
  <c r="D436" i="21" a="1"/>
  <c r="D436" i="21" s="1"/>
  <c r="D437" i="21" a="1"/>
  <c r="D437" i="21" s="1"/>
  <c r="D438" i="21" a="1"/>
  <c r="D438" i="21" s="1"/>
  <c r="D439" i="21" a="1"/>
  <c r="D439" i="21" s="1"/>
  <c r="D440" i="21" a="1"/>
  <c r="D440" i="21" s="1"/>
  <c r="D441" i="21" a="1"/>
  <c r="D441" i="21" s="1"/>
  <c r="D442" i="21" a="1"/>
  <c r="D442" i="21" s="1"/>
  <c r="D443" i="21" a="1"/>
  <c r="D443" i="21" s="1"/>
  <c r="D444" i="21" a="1"/>
  <c r="D444" i="21" s="1"/>
  <c r="D445" i="21" a="1"/>
  <c r="D445" i="21" s="1"/>
  <c r="D446" i="21" a="1"/>
  <c r="D446" i="21" s="1"/>
  <c r="D447" i="21" a="1"/>
  <c r="D447" i="21" s="1"/>
  <c r="D448" i="21" a="1"/>
  <c r="D448" i="21" s="1"/>
  <c r="D449" i="21" a="1"/>
  <c r="D449" i="21" s="1"/>
  <c r="D450" i="21" a="1"/>
  <c r="D450" i="21" s="1"/>
  <c r="D451" i="21" a="1"/>
  <c r="D451" i="21" s="1"/>
  <c r="D452" i="21" a="1"/>
  <c r="D452" i="21" s="1"/>
  <c r="D453" i="21" a="1"/>
  <c r="D453" i="21" s="1"/>
  <c r="D454" i="21" a="1"/>
  <c r="D454" i="21" s="1"/>
  <c r="D455" i="21" a="1"/>
  <c r="D455" i="21" s="1"/>
  <c r="D456" i="21" a="1"/>
  <c r="D456" i="21" s="1"/>
  <c r="D457" i="21" a="1"/>
  <c r="D457" i="21" s="1"/>
  <c r="D458" i="21" a="1"/>
  <c r="D458" i="21" s="1"/>
  <c r="D459" i="21" a="1"/>
  <c r="D459" i="21" s="1"/>
  <c r="D460" i="21" a="1"/>
  <c r="D460" i="21" s="1"/>
  <c r="D461" i="21" a="1"/>
  <c r="D461" i="21" s="1"/>
  <c r="D462" i="21" a="1"/>
  <c r="D462" i="21" s="1"/>
  <c r="D463" i="21" a="1"/>
  <c r="D463" i="21" s="1"/>
  <c r="D464" i="21" a="1"/>
  <c r="D464" i="21" s="1"/>
  <c r="D465" i="21" a="1"/>
  <c r="D465" i="21" s="1"/>
  <c r="D466" i="21" a="1"/>
  <c r="D466" i="21" s="1"/>
  <c r="D467" i="21" a="1"/>
  <c r="D467" i="21" s="1"/>
  <c r="D468" i="21" a="1"/>
  <c r="D468" i="21" s="1"/>
  <c r="D469" i="21" a="1"/>
  <c r="D469" i="21" s="1"/>
  <c r="D470" i="21" a="1"/>
  <c r="D470" i="21" s="1"/>
  <c r="D471" i="21" a="1"/>
  <c r="D471" i="21" s="1"/>
  <c r="D472" i="21" a="1"/>
  <c r="D472" i="21" s="1"/>
  <c r="D473" i="21" a="1"/>
  <c r="D473" i="21" s="1"/>
  <c r="D474" i="21" a="1"/>
  <c r="D474" i="21" s="1"/>
  <c r="D475" i="21" a="1"/>
  <c r="D475" i="21" s="1"/>
  <c r="D476" i="21" a="1"/>
  <c r="D476" i="21" s="1"/>
  <c r="D477" i="21" a="1"/>
  <c r="D477" i="21" s="1"/>
  <c r="D478" i="21" a="1"/>
  <c r="D478" i="21" s="1"/>
  <c r="D479" i="21" a="1"/>
  <c r="D479" i="21" s="1"/>
  <c r="D480" i="21" a="1"/>
  <c r="D480" i="21" s="1"/>
  <c r="D481" i="21" a="1"/>
  <c r="D481" i="21" s="1"/>
  <c r="D482" i="21" a="1"/>
  <c r="D482" i="21" s="1"/>
  <c r="D483" i="21" a="1"/>
  <c r="D483" i="21" s="1"/>
  <c r="D484" i="21" a="1"/>
  <c r="D484" i="21" s="1"/>
  <c r="D485" i="21" a="1"/>
  <c r="D485" i="21" s="1"/>
  <c r="D486" i="21" a="1"/>
  <c r="D486" i="21" s="1"/>
  <c r="D487" i="21" a="1"/>
  <c r="D487" i="21" s="1"/>
  <c r="D488" i="21" a="1"/>
  <c r="D488" i="21" s="1"/>
  <c r="D489" i="21" a="1"/>
  <c r="D489" i="21" s="1"/>
  <c r="D490" i="21" a="1"/>
  <c r="D490" i="21" s="1"/>
  <c r="D491" i="21" a="1"/>
  <c r="D491" i="21" s="1"/>
  <c r="D492" i="21" a="1"/>
  <c r="D492" i="21" s="1"/>
  <c r="D493" i="21" a="1"/>
  <c r="D493" i="21" s="1"/>
  <c r="D494" i="21" a="1"/>
  <c r="D494" i="21" s="1"/>
  <c r="D495" i="21" a="1"/>
  <c r="D495" i="21" s="1"/>
  <c r="D496" i="21" a="1"/>
  <c r="D496" i="21" s="1"/>
  <c r="D497" i="21" a="1"/>
  <c r="D497" i="21" s="1"/>
  <c r="D498" i="21" a="1"/>
  <c r="D498" i="21" s="1"/>
  <c r="D499" i="21" a="1"/>
  <c r="D499" i="21" s="1"/>
  <c r="D500" i="21" a="1"/>
  <c r="D500" i="21" s="1"/>
  <c r="D501" i="21" a="1"/>
  <c r="D501" i="21" s="1"/>
  <c r="D502" i="21" a="1"/>
  <c r="D502" i="21" s="1"/>
  <c r="D503" i="21" a="1"/>
  <c r="D503" i="21" s="1"/>
  <c r="D504" i="21" a="1"/>
  <c r="D504" i="21" s="1"/>
  <c r="D505" i="21" a="1"/>
  <c r="D505" i="21" s="1"/>
  <c r="D506" i="21" a="1"/>
  <c r="D506" i="21" s="1"/>
  <c r="D507" i="21" a="1"/>
  <c r="D507" i="21" s="1"/>
  <c r="D508" i="21" a="1"/>
  <c r="D508" i="21" s="1"/>
  <c r="D509" i="21" a="1"/>
  <c r="D509" i="21" s="1"/>
  <c r="D510" i="21" a="1"/>
  <c r="D510" i="21" s="1"/>
  <c r="D511" i="21" a="1"/>
  <c r="D511" i="21" s="1"/>
  <c r="D512" i="21" a="1"/>
  <c r="D512" i="21" s="1"/>
  <c r="D513" i="21" a="1"/>
  <c r="D513" i="21" s="1"/>
  <c r="D514" i="21" a="1"/>
  <c r="D514" i="21" s="1"/>
  <c r="D515" i="21" a="1"/>
  <c r="D515" i="21" s="1"/>
  <c r="D516" i="21" a="1"/>
  <c r="D516" i="21" s="1"/>
  <c r="D517" i="21" a="1"/>
  <c r="D517" i="21" s="1"/>
  <c r="D518" i="21" a="1"/>
  <c r="D518" i="21" s="1"/>
  <c r="D519" i="21" a="1"/>
  <c r="D519" i="21" s="1"/>
  <c r="D520" i="21" a="1"/>
  <c r="D520" i="21" s="1"/>
  <c r="D521" i="21" a="1"/>
  <c r="D521" i="21" s="1"/>
  <c r="D522" i="21" a="1"/>
  <c r="D522" i="21" s="1"/>
  <c r="D523" i="21" a="1"/>
  <c r="D523" i="21" s="1"/>
  <c r="D524" i="21" a="1"/>
  <c r="D524" i="21" s="1"/>
  <c r="D525" i="21" a="1"/>
  <c r="D525" i="21" s="1"/>
  <c r="D526" i="21" a="1"/>
  <c r="D526" i="21" s="1"/>
  <c r="D527" i="21" a="1"/>
  <c r="D527" i="21" s="1"/>
  <c r="D528" i="21" a="1"/>
  <c r="D528" i="21" s="1"/>
  <c r="D529" i="21" a="1"/>
  <c r="D529" i="21" s="1"/>
  <c r="D530" i="21" a="1"/>
  <c r="D530" i="21" s="1"/>
  <c r="D531" i="21" a="1"/>
  <c r="D531" i="21" s="1"/>
  <c r="D532" i="21" a="1"/>
  <c r="D532" i="21" s="1"/>
  <c r="D533" i="21" a="1"/>
  <c r="D533" i="21" s="1"/>
  <c r="D534" i="21" a="1"/>
  <c r="D534" i="21" s="1"/>
  <c r="D535" i="21" a="1"/>
  <c r="D535" i="21" s="1"/>
  <c r="D536" i="21" a="1"/>
  <c r="D536" i="21" s="1"/>
  <c r="D537" i="21" a="1"/>
  <c r="D537" i="21" s="1"/>
  <c r="D538" i="21" a="1"/>
  <c r="D538" i="21" s="1"/>
  <c r="D539" i="21" a="1"/>
  <c r="D539" i="21" s="1"/>
  <c r="D540" i="21" a="1"/>
  <c r="D540" i="21" s="1"/>
  <c r="D541" i="21" a="1"/>
  <c r="D541" i="21" s="1"/>
  <c r="D542" i="21" a="1"/>
  <c r="D542" i="21" s="1"/>
  <c r="D543" i="21" a="1"/>
  <c r="D543" i="21" s="1"/>
  <c r="D544" i="21" a="1"/>
  <c r="D544" i="21" s="1"/>
  <c r="D545" i="21" a="1"/>
  <c r="D545" i="21" s="1"/>
  <c r="D546" i="21" a="1"/>
  <c r="D546" i="21" s="1"/>
  <c r="D547" i="21" a="1"/>
  <c r="D547" i="21" s="1"/>
  <c r="D548" i="21" a="1"/>
  <c r="D548" i="21" s="1"/>
  <c r="D549" i="21" a="1"/>
  <c r="D549" i="21" s="1"/>
  <c r="D550" i="21" a="1"/>
  <c r="D550" i="21" s="1"/>
  <c r="D551" i="21" a="1"/>
  <c r="D551" i="21" s="1"/>
  <c r="D552" i="21" a="1"/>
  <c r="D552" i="21" s="1"/>
  <c r="D553" i="21" a="1"/>
  <c r="D553" i="21" s="1"/>
  <c r="D554" i="21" a="1"/>
  <c r="D554" i="21" s="1"/>
  <c r="D555" i="21" a="1"/>
  <c r="D555" i="21" s="1"/>
  <c r="D556" i="21" a="1"/>
  <c r="D556" i="21" s="1"/>
  <c r="D557" i="21" a="1"/>
  <c r="D557" i="21" s="1"/>
  <c r="D558" i="21" a="1"/>
  <c r="D558" i="21" s="1"/>
  <c r="D559" i="21" a="1"/>
  <c r="D559" i="21" s="1"/>
  <c r="D560" i="21" a="1"/>
  <c r="D560" i="21" s="1"/>
  <c r="D561" i="21" a="1"/>
  <c r="D561" i="21" s="1"/>
  <c r="D562" i="21" a="1"/>
  <c r="D562" i="21" s="1"/>
  <c r="D563" i="21" a="1"/>
  <c r="D563" i="21" s="1"/>
  <c r="D564" i="21" a="1"/>
  <c r="D564" i="21" s="1"/>
  <c r="D565" i="21" a="1"/>
  <c r="D565" i="21" s="1"/>
  <c r="D566" i="21" a="1"/>
  <c r="D566" i="21" s="1"/>
  <c r="D567" i="21" a="1"/>
  <c r="D567" i="21" s="1"/>
  <c r="D568" i="21" a="1"/>
  <c r="D568" i="21" s="1"/>
  <c r="D569" i="21" a="1"/>
  <c r="D569" i="21" s="1"/>
  <c r="D570" i="21" a="1"/>
  <c r="D570" i="21" s="1"/>
  <c r="D571" i="21" a="1"/>
  <c r="D571" i="21" s="1"/>
  <c r="D572" i="21" a="1"/>
  <c r="D572" i="21" s="1"/>
  <c r="D573" i="21" a="1"/>
  <c r="D573" i="21" s="1"/>
  <c r="D574" i="21" a="1"/>
  <c r="D574" i="21" s="1"/>
  <c r="D575" i="21" a="1"/>
  <c r="D575" i="21" s="1"/>
  <c r="D576" i="21" a="1"/>
  <c r="D576" i="21" s="1"/>
  <c r="D577" i="21" a="1"/>
  <c r="D577" i="21" s="1"/>
  <c r="D578" i="21" a="1"/>
  <c r="D578" i="21" s="1"/>
  <c r="D579" i="21" a="1"/>
  <c r="D579" i="21" s="1"/>
  <c r="D580" i="21" a="1"/>
  <c r="D580" i="21" s="1"/>
  <c r="D581" i="21" a="1"/>
  <c r="D581" i="21" s="1"/>
  <c r="D582" i="21" a="1"/>
  <c r="D582" i="21" s="1"/>
  <c r="D583" i="21" a="1"/>
  <c r="D583" i="21" s="1"/>
  <c r="D584" i="21" a="1"/>
  <c r="D584" i="21" s="1"/>
  <c r="D585" i="21" a="1"/>
  <c r="D585" i="21" s="1"/>
  <c r="D586" i="21" a="1"/>
  <c r="D586" i="21" s="1"/>
  <c r="D587" i="21" a="1"/>
  <c r="D587" i="21" s="1"/>
  <c r="D588" i="21" a="1"/>
  <c r="D588" i="21" s="1"/>
  <c r="D589" i="21" a="1"/>
  <c r="D589" i="21" s="1"/>
  <c r="D590" i="21" a="1"/>
  <c r="D590" i="21" s="1"/>
  <c r="D591" i="21" a="1"/>
  <c r="D591" i="21" s="1"/>
  <c r="D592" i="21" a="1"/>
  <c r="D592" i="21" s="1"/>
  <c r="D593" i="21" a="1"/>
  <c r="D593" i="21" s="1"/>
  <c r="D594" i="21" a="1"/>
  <c r="D594" i="21" s="1"/>
  <c r="D595" i="21" a="1"/>
  <c r="D595" i="21" s="1"/>
  <c r="D596" i="21" a="1"/>
  <c r="D596" i="21" s="1"/>
  <c r="D597" i="21" a="1"/>
  <c r="D597" i="21" s="1"/>
  <c r="D598" i="21" a="1"/>
  <c r="D598" i="21" s="1"/>
  <c r="D599" i="21" a="1"/>
  <c r="D599" i="21" s="1"/>
  <c r="D600" i="21" a="1"/>
  <c r="D600" i="21" s="1"/>
  <c r="D601" i="21" a="1"/>
  <c r="D601" i="21" s="1"/>
  <c r="D602" i="21" a="1"/>
  <c r="D602" i="21" s="1"/>
  <c r="D603" i="21" a="1"/>
  <c r="D603" i="21" s="1"/>
  <c r="D604" i="21" a="1"/>
  <c r="D604" i="21" s="1"/>
  <c r="D605" i="21" a="1"/>
  <c r="D605" i="21" s="1"/>
  <c r="D606" i="21" a="1"/>
  <c r="D606" i="21" s="1"/>
  <c r="D607" i="21" a="1"/>
  <c r="D607" i="21" s="1"/>
  <c r="D608" i="21" a="1"/>
  <c r="D608" i="21" s="1"/>
  <c r="D609" i="21" a="1"/>
  <c r="D609" i="21" s="1"/>
  <c r="D610" i="21" a="1"/>
  <c r="D610" i="21" s="1"/>
  <c r="D611" i="21" a="1"/>
  <c r="D611" i="21" s="1"/>
  <c r="D612" i="21" a="1"/>
  <c r="D612" i="21" s="1"/>
  <c r="D613" i="21" a="1"/>
  <c r="D613" i="21" s="1"/>
  <c r="D614" i="21" a="1"/>
  <c r="D614" i="21" s="1"/>
  <c r="D615" i="21" a="1"/>
  <c r="D615" i="21" s="1"/>
  <c r="D616" i="21" a="1"/>
  <c r="D616" i="21" s="1"/>
  <c r="D617" i="21" a="1"/>
  <c r="D617" i="21" s="1"/>
  <c r="D618" i="21" a="1"/>
  <c r="D618" i="21" s="1"/>
  <c r="D619" i="21" a="1"/>
  <c r="D619" i="21" s="1"/>
  <c r="D620" i="21" a="1"/>
  <c r="D620" i="21" s="1"/>
  <c r="D621" i="21" a="1"/>
  <c r="D621" i="21" s="1"/>
  <c r="D622" i="21" a="1"/>
  <c r="D622" i="21" s="1"/>
  <c r="D623" i="21" a="1"/>
  <c r="D623" i="21" s="1"/>
  <c r="D624" i="21" a="1"/>
  <c r="D624" i="21" s="1"/>
  <c r="D625" i="21" a="1"/>
  <c r="D625" i="21" s="1"/>
  <c r="D626" i="21" a="1"/>
  <c r="D626" i="21" s="1"/>
  <c r="D627" i="21" a="1"/>
  <c r="D627" i="21" s="1"/>
  <c r="D628" i="21" a="1"/>
  <c r="D628" i="21" s="1"/>
  <c r="D629" i="21" a="1"/>
  <c r="D629" i="21" s="1"/>
  <c r="D630" i="21" a="1"/>
  <c r="D630" i="21" s="1"/>
  <c r="D631" i="21" a="1"/>
  <c r="D631" i="21" s="1"/>
  <c r="D632" i="21" a="1"/>
  <c r="D632" i="21" s="1"/>
  <c r="D633" i="21" a="1"/>
  <c r="D633" i="21" s="1"/>
  <c r="D634" i="21" a="1"/>
  <c r="D634" i="21" s="1"/>
  <c r="D635" i="21" a="1"/>
  <c r="D635" i="21" s="1"/>
  <c r="D636" i="21" a="1"/>
  <c r="D636" i="21" s="1"/>
  <c r="D637" i="21" a="1"/>
  <c r="D637" i="21" s="1"/>
  <c r="D638" i="21" a="1"/>
  <c r="D638" i="21" s="1"/>
  <c r="D639" i="21" a="1"/>
  <c r="D639" i="21" s="1"/>
  <c r="D640" i="21" a="1"/>
  <c r="D640" i="21" s="1"/>
  <c r="D641" i="21" a="1"/>
  <c r="D641" i="21" s="1"/>
  <c r="D642" i="21" a="1"/>
  <c r="D642" i="21" s="1"/>
  <c r="D643" i="21" a="1"/>
  <c r="D643" i="21" s="1"/>
  <c r="D644" i="21" a="1"/>
  <c r="D644" i="21" s="1"/>
  <c r="D645" i="21" a="1"/>
  <c r="D645" i="21" s="1"/>
  <c r="D646" i="21" a="1"/>
  <c r="D646" i="21" s="1"/>
  <c r="D647" i="21" a="1"/>
  <c r="D647" i="21" s="1"/>
  <c r="D648" i="21" a="1"/>
  <c r="D648" i="21" s="1"/>
  <c r="D649" i="21" a="1"/>
  <c r="D649" i="21" s="1"/>
  <c r="D650" i="21" a="1"/>
  <c r="D650" i="21" s="1"/>
  <c r="D651" i="21" a="1"/>
  <c r="D651" i="21" s="1"/>
  <c r="D652" i="21" a="1"/>
  <c r="D652" i="21" s="1"/>
  <c r="D653" i="21" a="1"/>
  <c r="D653" i="21" s="1"/>
  <c r="D654" i="21" a="1"/>
  <c r="D654" i="21" s="1"/>
  <c r="D655" i="21" a="1"/>
  <c r="D655" i="21" s="1"/>
  <c r="D656" i="21" a="1"/>
  <c r="D656" i="21" s="1"/>
  <c r="D657" i="21" a="1"/>
  <c r="D657" i="21" s="1"/>
  <c r="D658" i="21" a="1"/>
  <c r="D658" i="21" s="1"/>
  <c r="D659" i="21" a="1"/>
  <c r="D659" i="21" s="1"/>
  <c r="D660" i="21" a="1"/>
  <c r="D660" i="21" s="1"/>
  <c r="D661" i="21" a="1"/>
  <c r="D661" i="21" s="1"/>
  <c r="D662" i="21" a="1"/>
  <c r="D662" i="21" s="1"/>
  <c r="D663" i="21" a="1"/>
  <c r="D663" i="21" s="1"/>
  <c r="D664" i="21" a="1"/>
  <c r="D664" i="21" s="1"/>
  <c r="D665" i="21" a="1"/>
  <c r="D665" i="21" s="1"/>
  <c r="D666" i="21" a="1"/>
  <c r="D666" i="21" s="1"/>
  <c r="D667" i="21" a="1"/>
  <c r="D667" i="21" s="1"/>
  <c r="D668" i="21" a="1"/>
  <c r="D668" i="21" s="1"/>
  <c r="D669" i="21" a="1"/>
  <c r="D669" i="21" s="1"/>
  <c r="D670" i="21" a="1"/>
  <c r="D670" i="21" s="1"/>
  <c r="D671" i="21" a="1"/>
  <c r="D671" i="21" s="1"/>
  <c r="D672" i="21" a="1"/>
  <c r="D672" i="21" s="1"/>
  <c r="D673" i="21" a="1"/>
  <c r="D673" i="21" s="1"/>
  <c r="D674" i="21" a="1"/>
  <c r="D674" i="21" s="1"/>
  <c r="D675" i="21" a="1"/>
  <c r="D675" i="21" s="1"/>
  <c r="D676" i="21" a="1"/>
  <c r="D676" i="21" s="1"/>
  <c r="D677" i="21" a="1"/>
  <c r="D677" i="21" s="1"/>
  <c r="D678" i="21" a="1"/>
  <c r="D678" i="21" s="1"/>
  <c r="D679" i="21" a="1"/>
  <c r="D679" i="21" s="1"/>
  <c r="D680" i="21" a="1"/>
  <c r="D680" i="21" s="1"/>
  <c r="D681" i="21" a="1"/>
  <c r="D681" i="21" s="1"/>
  <c r="D682" i="21" a="1"/>
  <c r="D682" i="21" s="1"/>
  <c r="D683" i="21" a="1"/>
  <c r="D683" i="21" s="1"/>
  <c r="D684" i="21" a="1"/>
  <c r="D684" i="21" s="1"/>
  <c r="D685" i="21" a="1"/>
  <c r="D685" i="21" s="1"/>
  <c r="D686" i="21" a="1"/>
  <c r="D686" i="21" s="1"/>
  <c r="D687" i="21" a="1"/>
  <c r="D687" i="21" s="1"/>
  <c r="D688" i="21" a="1"/>
  <c r="D688" i="21" s="1"/>
  <c r="D689" i="21" a="1"/>
  <c r="D689" i="21" s="1"/>
  <c r="D690" i="21" a="1"/>
  <c r="D690" i="21" s="1"/>
  <c r="D691" i="21" a="1"/>
  <c r="D691" i="21" s="1"/>
  <c r="D692" i="21" a="1"/>
  <c r="D692" i="21" s="1"/>
  <c r="D693" i="21" a="1"/>
  <c r="D693" i="21" s="1"/>
  <c r="D694" i="21" a="1"/>
  <c r="D694" i="21" s="1"/>
  <c r="D695" i="21" a="1"/>
  <c r="D695" i="21" s="1"/>
  <c r="D696" i="21" a="1"/>
  <c r="D696" i="21" s="1"/>
  <c r="D697" i="21" a="1"/>
  <c r="D697" i="21" s="1"/>
  <c r="D698" i="21" a="1"/>
  <c r="D698" i="21" s="1"/>
  <c r="D699" i="21" a="1"/>
  <c r="D699" i="21" s="1"/>
  <c r="D700" i="21" a="1"/>
  <c r="D700" i="21" s="1"/>
  <c r="D701" i="21" a="1"/>
  <c r="D701" i="21" s="1"/>
  <c r="D702" i="21" a="1"/>
  <c r="D702" i="21" s="1"/>
  <c r="D703" i="21" a="1"/>
  <c r="D703" i="21" s="1"/>
  <c r="D704" i="21" a="1"/>
  <c r="D704" i="21" s="1"/>
  <c r="D705" i="21" a="1"/>
  <c r="D705" i="21" s="1"/>
  <c r="D706" i="21" a="1"/>
  <c r="D706" i="21" s="1"/>
  <c r="D707" i="21" a="1"/>
  <c r="D707" i="21" s="1"/>
  <c r="D708" i="21" a="1"/>
  <c r="D708" i="21" s="1"/>
  <c r="D709" i="21" a="1"/>
  <c r="D709" i="21" s="1"/>
  <c r="D710" i="21" a="1"/>
  <c r="D710" i="21" s="1"/>
  <c r="D711" i="21" a="1"/>
  <c r="D711" i="21" s="1"/>
  <c r="D712" i="21" a="1"/>
  <c r="D712" i="21" s="1"/>
  <c r="D713" i="21" a="1"/>
  <c r="D713" i="21" s="1"/>
  <c r="D714" i="21" a="1"/>
  <c r="D714" i="21" s="1"/>
  <c r="D715" i="21" a="1"/>
  <c r="D715" i="21" s="1"/>
  <c r="D716" i="21" a="1"/>
  <c r="D716" i="21" s="1"/>
  <c r="D717" i="21" a="1"/>
  <c r="D717" i="21" s="1"/>
  <c r="D718" i="21" a="1"/>
  <c r="D718" i="21" s="1"/>
  <c r="D719" i="21" a="1"/>
  <c r="D719" i="21" s="1"/>
  <c r="D720" i="21" a="1"/>
  <c r="D720" i="21" s="1"/>
  <c r="D721" i="21" a="1"/>
  <c r="D721" i="21" s="1"/>
  <c r="D722" i="21" a="1"/>
  <c r="D722" i="21" s="1"/>
  <c r="D723" i="21" a="1"/>
  <c r="D723" i="21" s="1"/>
  <c r="D724" i="21" a="1"/>
  <c r="D724" i="21" s="1"/>
  <c r="D725" i="21" a="1"/>
  <c r="D725" i="21" s="1"/>
  <c r="D726" i="21" a="1"/>
  <c r="D726" i="21" s="1"/>
  <c r="D727" i="21" a="1"/>
  <c r="D727" i="21" s="1"/>
  <c r="D728" i="21" a="1"/>
  <c r="D728" i="21" s="1"/>
  <c r="D729" i="21" a="1"/>
  <c r="D729" i="21" s="1"/>
  <c r="D730" i="21" a="1"/>
  <c r="D730" i="21" s="1"/>
  <c r="D731" i="21" a="1"/>
  <c r="D731" i="21" s="1"/>
  <c r="D732" i="21" a="1"/>
  <c r="D732" i="21" s="1"/>
  <c r="D733" i="21" a="1"/>
  <c r="D733" i="21" s="1"/>
  <c r="D734" i="21" a="1"/>
  <c r="D734" i="21" s="1"/>
  <c r="D735" i="21" a="1"/>
  <c r="D735" i="21" s="1"/>
  <c r="D736" i="21" a="1"/>
  <c r="D736" i="21" s="1"/>
  <c r="D737" i="21" a="1"/>
  <c r="D737" i="21" s="1"/>
  <c r="D738" i="21" a="1"/>
  <c r="D738" i="21" s="1"/>
  <c r="D739" i="21" a="1"/>
  <c r="D739" i="21" s="1"/>
  <c r="D740" i="21" a="1"/>
  <c r="D740" i="21" s="1"/>
  <c r="D741" i="21" a="1"/>
  <c r="D741" i="21" s="1"/>
  <c r="D742" i="21" a="1"/>
  <c r="D742" i="21" s="1"/>
  <c r="D743" i="21" a="1"/>
  <c r="D743" i="21" s="1"/>
  <c r="D744" i="21" a="1"/>
  <c r="D744" i="21" s="1"/>
  <c r="D746" i="21" a="1"/>
  <c r="D746" i="21" s="1"/>
  <c r="D748" i="21" a="1"/>
  <c r="D748" i="21" s="1"/>
  <c r="D749" i="21" a="1"/>
  <c r="D749" i="21" s="1"/>
  <c r="D750" i="21" a="1"/>
  <c r="D750" i="21" s="1"/>
  <c r="D751" i="21" a="1"/>
  <c r="D751" i="21" s="1"/>
  <c r="D752" i="21" a="1"/>
  <c r="D752" i="21" s="1"/>
  <c r="D753" i="21" a="1"/>
  <c r="D753" i="21" s="1"/>
  <c r="D754" i="21" a="1"/>
  <c r="D754" i="21" s="1"/>
  <c r="D755" i="21" a="1"/>
  <c r="D755" i="21" s="1"/>
  <c r="D756" i="21" a="1"/>
  <c r="D756" i="21" s="1"/>
  <c r="D757" i="21" a="1"/>
  <c r="D757" i="21" s="1"/>
  <c r="D758" i="21" a="1"/>
  <c r="D758" i="21" s="1"/>
  <c r="D759" i="21" a="1"/>
  <c r="D759" i="21" s="1"/>
  <c r="D760" i="21" a="1"/>
  <c r="D760" i="21" s="1"/>
  <c r="D761" i="21" a="1"/>
  <c r="D761" i="21" s="1"/>
  <c r="D762" i="21" a="1"/>
  <c r="D762" i="21" s="1"/>
  <c r="D763" i="21" a="1"/>
  <c r="D763" i="21" s="1"/>
  <c r="D764" i="21" a="1"/>
  <c r="D764" i="21" s="1"/>
  <c r="D765" i="21" a="1"/>
  <c r="D765" i="21" s="1"/>
  <c r="D766" i="21" a="1"/>
  <c r="D766" i="21" s="1"/>
  <c r="D767" i="21" a="1"/>
  <c r="D767" i="21" s="1"/>
  <c r="D768" i="21" a="1"/>
  <c r="D768" i="21" s="1"/>
  <c r="D769" i="21" a="1"/>
  <c r="D769" i="21" s="1"/>
  <c r="D770" i="21" a="1"/>
  <c r="D770" i="21" s="1"/>
  <c r="D771" i="21" a="1"/>
  <c r="D771" i="21" s="1"/>
  <c r="D772" i="21" a="1"/>
  <c r="D772" i="21" s="1"/>
  <c r="D773" i="21" a="1"/>
  <c r="D773" i="21" s="1"/>
  <c r="D774" i="21" a="1"/>
  <c r="D774" i="21" s="1"/>
  <c r="D775" i="21" a="1"/>
  <c r="D775" i="21" s="1"/>
  <c r="D776" i="21" a="1"/>
  <c r="D776" i="21" s="1"/>
  <c r="D777" i="21" a="1"/>
  <c r="D777" i="21" s="1"/>
  <c r="D778" i="21" a="1"/>
  <c r="D778" i="21" s="1"/>
  <c r="D779" i="21" a="1"/>
  <c r="D779" i="21" s="1"/>
  <c r="D780" i="21" a="1"/>
  <c r="D780" i="21" s="1"/>
  <c r="D781" i="21" a="1"/>
  <c r="D781" i="21" s="1"/>
  <c r="D782" i="21" a="1"/>
  <c r="D782" i="21" s="1"/>
  <c r="D783" i="21" a="1"/>
  <c r="D783" i="21" s="1"/>
  <c r="D784" i="21" a="1"/>
  <c r="D784" i="21" s="1"/>
  <c r="D785" i="21" a="1"/>
  <c r="D785" i="21" s="1"/>
  <c r="D786" i="21" a="1"/>
  <c r="D786" i="21" s="1"/>
  <c r="D787" i="21" a="1"/>
  <c r="D787" i="21" s="1"/>
  <c r="D788" i="21" a="1"/>
  <c r="D788" i="21" s="1"/>
  <c r="D789" i="21" a="1"/>
  <c r="D789" i="21" s="1"/>
  <c r="D790" i="21" a="1"/>
  <c r="D790" i="21" s="1"/>
  <c r="D791" i="21" a="1"/>
  <c r="D791" i="21" s="1"/>
  <c r="D792" i="21" a="1"/>
  <c r="D792" i="21" s="1"/>
  <c r="D793" i="21" a="1"/>
  <c r="D793" i="21" s="1"/>
  <c r="D794" i="21" a="1"/>
  <c r="D794" i="21" s="1"/>
  <c r="D795" i="21" a="1"/>
  <c r="D795" i="21" s="1"/>
  <c r="D796" i="21" a="1"/>
  <c r="D796" i="21" s="1"/>
  <c r="D797" i="21" a="1"/>
  <c r="D797" i="21" s="1"/>
  <c r="D798" i="21" a="1"/>
  <c r="D798" i="21" s="1"/>
  <c r="D799" i="21" a="1"/>
  <c r="D799" i="21" s="1"/>
  <c r="D800" i="21" a="1"/>
  <c r="D800" i="21" s="1"/>
  <c r="D801" i="21" a="1"/>
  <c r="D801" i="21" s="1"/>
  <c r="D802" i="21" a="1"/>
  <c r="D802" i="21" s="1"/>
  <c r="D803" i="21" a="1"/>
  <c r="D803" i="21" s="1"/>
  <c r="D804" i="21" a="1"/>
  <c r="D804" i="21" s="1"/>
  <c r="D805" i="21" a="1"/>
  <c r="D805" i="21" s="1"/>
  <c r="D806" i="21" a="1"/>
  <c r="D806" i="21" s="1"/>
  <c r="D807" i="21" a="1"/>
  <c r="D807" i="21" s="1"/>
  <c r="D808" i="21" a="1"/>
  <c r="D808" i="21" s="1"/>
  <c r="D809" i="21" a="1"/>
  <c r="D809" i="21" s="1"/>
  <c r="D810" i="21" a="1"/>
  <c r="D810" i="21" s="1"/>
  <c r="D811" i="21" a="1"/>
  <c r="D811" i="21" s="1"/>
  <c r="D812" i="21" a="1"/>
  <c r="D812" i="21" s="1"/>
  <c r="D813" i="21" a="1"/>
  <c r="D813" i="21" s="1"/>
  <c r="D814" i="21" a="1"/>
  <c r="D814" i="21" s="1"/>
  <c r="D815" i="21" a="1"/>
  <c r="D815" i="21" s="1"/>
  <c r="D816" i="21" a="1"/>
  <c r="D816" i="21" s="1"/>
  <c r="D817" i="21" a="1"/>
  <c r="D817" i="21" s="1"/>
  <c r="D818" i="21" a="1"/>
  <c r="D818" i="21" s="1"/>
  <c r="D819" i="21" a="1"/>
  <c r="D819" i="21" s="1"/>
  <c r="D820" i="21" a="1"/>
  <c r="D820" i="21" s="1"/>
  <c r="D821" i="21" a="1"/>
  <c r="D821" i="21" s="1"/>
  <c r="D822" i="21" a="1"/>
  <c r="D822" i="21" s="1"/>
  <c r="D823" i="21" a="1"/>
  <c r="D823" i="21" s="1"/>
  <c r="D824" i="21" a="1"/>
  <c r="D824" i="21" s="1"/>
  <c r="D825" i="21" a="1"/>
  <c r="D825" i="21" s="1"/>
  <c r="D826" i="21" a="1"/>
  <c r="D826" i="21" s="1"/>
  <c r="D827" i="21" a="1"/>
  <c r="D827" i="21" s="1"/>
  <c r="D828" i="21" a="1"/>
  <c r="D828" i="21" s="1"/>
  <c r="D829" i="21" a="1"/>
  <c r="D829" i="21" s="1"/>
  <c r="D830" i="21" a="1"/>
  <c r="D830" i="21" s="1"/>
  <c r="D831" i="21" a="1"/>
  <c r="D831" i="21" s="1"/>
  <c r="D832" i="21" a="1"/>
  <c r="D832" i="21" s="1"/>
  <c r="D833" i="21" a="1"/>
  <c r="D833" i="21" s="1"/>
  <c r="D834" i="21" a="1"/>
  <c r="D834" i="21" s="1"/>
  <c r="D835" i="21" a="1"/>
  <c r="D835" i="21" s="1"/>
  <c r="D836" i="21" a="1"/>
  <c r="D836" i="21" s="1"/>
  <c r="D837" i="21" a="1"/>
  <c r="D837" i="21" s="1"/>
  <c r="D838" i="21" a="1"/>
  <c r="D838" i="21" s="1"/>
  <c r="D839" i="21" a="1"/>
  <c r="D839" i="21" s="1"/>
  <c r="D840" i="21" a="1"/>
  <c r="D840" i="21" s="1"/>
  <c r="D841" i="21" a="1"/>
  <c r="D841" i="21" s="1"/>
  <c r="D842" i="21" a="1"/>
  <c r="D842" i="21" s="1"/>
  <c r="D843" i="21" a="1"/>
  <c r="D843" i="21" s="1"/>
  <c r="D844" i="21" a="1"/>
  <c r="D844" i="21" s="1"/>
  <c r="D845" i="21" a="1"/>
  <c r="D845" i="21" s="1"/>
  <c r="D846" i="21" a="1"/>
  <c r="D846" i="21" s="1"/>
  <c r="D847" i="21" a="1"/>
  <c r="D847" i="21" s="1"/>
  <c r="D848" i="21" a="1"/>
  <c r="D848" i="21" s="1"/>
  <c r="D849" i="21" a="1"/>
  <c r="D849" i="21" s="1"/>
  <c r="D850" i="21" a="1"/>
  <c r="D850" i="21" s="1"/>
  <c r="D851" i="21" a="1"/>
  <c r="D851" i="21" s="1"/>
  <c r="D852" i="21" a="1"/>
  <c r="D852" i="21" s="1"/>
  <c r="D853" i="21" a="1"/>
  <c r="D853" i="21" s="1"/>
  <c r="D854" i="21" a="1"/>
  <c r="D854" i="21" s="1"/>
  <c r="D855" i="21" a="1"/>
  <c r="D855" i="21" s="1"/>
  <c r="D856" i="21" a="1"/>
  <c r="D856" i="21" s="1"/>
  <c r="D857" i="21" a="1"/>
  <c r="D857" i="21" s="1"/>
  <c r="D858" i="21" a="1"/>
  <c r="D858" i="21" s="1"/>
  <c r="D859" i="21" a="1"/>
  <c r="D859" i="21" s="1"/>
  <c r="D860" i="21" a="1"/>
  <c r="D860" i="21" s="1"/>
  <c r="D861" i="21" a="1"/>
  <c r="D861" i="21" s="1"/>
  <c r="D862" i="21" a="1"/>
  <c r="D862" i="21" s="1"/>
  <c r="D863" i="21" a="1"/>
  <c r="D863" i="21" s="1"/>
  <c r="D864" i="21" a="1"/>
  <c r="D864" i="21" s="1"/>
  <c r="D865" i="21" a="1"/>
  <c r="D865" i="21" s="1"/>
  <c r="D866" i="21" a="1"/>
  <c r="D866" i="21" s="1"/>
  <c r="D867" i="21" a="1"/>
  <c r="D867" i="21" s="1"/>
  <c r="D868" i="21" a="1"/>
  <c r="D868" i="21" s="1"/>
  <c r="D869" i="21" a="1"/>
  <c r="D869" i="21" s="1"/>
  <c r="D870" i="21" a="1"/>
  <c r="D870" i="21" s="1"/>
  <c r="D871" i="21" a="1"/>
  <c r="D871" i="21" s="1"/>
  <c r="D872" i="21" a="1"/>
  <c r="D872" i="21" s="1"/>
  <c r="D873" i="21" a="1"/>
  <c r="D873" i="21" s="1"/>
  <c r="D874" i="21" a="1"/>
  <c r="D874" i="21" s="1"/>
  <c r="D875" i="21" a="1"/>
  <c r="D875" i="21" s="1"/>
  <c r="D876" i="21" a="1"/>
  <c r="D876" i="21" s="1"/>
  <c r="D877" i="21" a="1"/>
  <c r="D877" i="21" s="1"/>
  <c r="D878" i="21" a="1"/>
  <c r="D878" i="21" s="1"/>
  <c r="D879" i="21" a="1"/>
  <c r="D879" i="21" s="1"/>
  <c r="D880" i="21" a="1"/>
  <c r="D880" i="21" s="1"/>
  <c r="D881" i="21" a="1"/>
  <c r="D881" i="21" s="1"/>
  <c r="D882" i="21" a="1"/>
  <c r="D882" i="21" s="1"/>
  <c r="D883" i="21" a="1"/>
  <c r="D883" i="21" s="1"/>
  <c r="D884" i="21" a="1"/>
  <c r="D884" i="21" s="1"/>
  <c r="D885" i="21" a="1"/>
  <c r="D885" i="21" s="1"/>
  <c r="D886" i="21" a="1"/>
  <c r="D886" i="21" s="1"/>
  <c r="D887" i="21" a="1"/>
  <c r="D887" i="21" s="1"/>
  <c r="D888" i="21" a="1"/>
  <c r="D888" i="21" s="1"/>
  <c r="D889" i="21" a="1"/>
  <c r="D889" i="21" s="1"/>
  <c r="D890" i="21" a="1"/>
  <c r="D890" i="21" s="1"/>
  <c r="D891" i="21" a="1"/>
  <c r="D891" i="21" s="1"/>
  <c r="D892" i="21" a="1"/>
  <c r="D892" i="21" s="1"/>
  <c r="D893" i="21" a="1"/>
  <c r="D893" i="21" s="1"/>
  <c r="D894" i="21" a="1"/>
  <c r="D894" i="21" s="1"/>
  <c r="D895" i="21" a="1"/>
  <c r="D895" i="21" s="1"/>
  <c r="D896" i="21" a="1"/>
  <c r="D896" i="21" s="1"/>
  <c r="D897" i="21" a="1"/>
  <c r="D897" i="21" s="1"/>
  <c r="D898" i="21" a="1"/>
  <c r="D898" i="21" s="1"/>
  <c r="D899" i="21" a="1"/>
  <c r="D899" i="21" s="1"/>
  <c r="D900" i="21" a="1"/>
  <c r="D900" i="21" s="1"/>
  <c r="D901" i="21" a="1"/>
  <c r="D901" i="21" s="1"/>
  <c r="D902" i="21" a="1"/>
  <c r="D902" i="21" s="1"/>
  <c r="D903" i="21" a="1"/>
  <c r="D903" i="21" s="1"/>
  <c r="D904" i="21" a="1"/>
  <c r="D904" i="21" s="1"/>
  <c r="D905" i="21" a="1"/>
  <c r="D905" i="21" s="1"/>
  <c r="D906" i="21" a="1"/>
  <c r="D906" i="21" s="1"/>
  <c r="D907" i="21" a="1"/>
  <c r="D907" i="21" s="1"/>
  <c r="D908" i="21" a="1"/>
  <c r="D908" i="21" s="1"/>
  <c r="D909" i="21" a="1"/>
  <c r="D909" i="21" s="1"/>
  <c r="D910" i="21" a="1"/>
  <c r="D910" i="21" s="1"/>
  <c r="D911" i="21" a="1"/>
  <c r="D911" i="21" s="1"/>
  <c r="D912" i="21" a="1"/>
  <c r="D912" i="21" s="1"/>
  <c r="D913" i="21" a="1"/>
  <c r="D913" i="21" s="1"/>
  <c r="D914" i="21" a="1"/>
  <c r="D914" i="21" s="1"/>
  <c r="D915" i="21" a="1"/>
  <c r="D915" i="21" s="1"/>
  <c r="D916" i="21" a="1"/>
  <c r="D916" i="21" s="1"/>
  <c r="D917" i="21" a="1"/>
  <c r="D917" i="21" s="1"/>
  <c r="D918" i="21" a="1"/>
  <c r="D918" i="21" s="1"/>
  <c r="D919" i="21" a="1"/>
  <c r="D919" i="21" s="1"/>
  <c r="D920" i="21" a="1"/>
  <c r="D920" i="21" s="1"/>
  <c r="D921" i="21" a="1"/>
  <c r="D921" i="21" s="1"/>
  <c r="D922" i="21" a="1"/>
  <c r="D922" i="21" s="1"/>
  <c r="D923" i="21" a="1"/>
  <c r="D923" i="21" s="1"/>
  <c r="D924" i="21" a="1"/>
  <c r="D924" i="21" s="1"/>
  <c r="D925" i="21" a="1"/>
  <c r="D925" i="21" s="1"/>
  <c r="D926" i="21" a="1"/>
  <c r="D926" i="21" s="1"/>
  <c r="D927" i="21" a="1"/>
  <c r="D927" i="21" s="1"/>
  <c r="D928" i="21" a="1"/>
  <c r="D928" i="21" s="1"/>
  <c r="D929" i="21" a="1"/>
  <c r="D929" i="21" s="1"/>
  <c r="D930" i="21" a="1"/>
  <c r="D930" i="21" s="1"/>
  <c r="D931" i="21" a="1"/>
  <c r="D931" i="21" s="1"/>
  <c r="D932" i="21" a="1"/>
  <c r="D932" i="21" s="1"/>
  <c r="D933" i="21" a="1"/>
  <c r="D933" i="21" s="1"/>
  <c r="D934" i="21" a="1"/>
  <c r="D934" i="21" s="1"/>
  <c r="D935" i="21" a="1"/>
  <c r="D935" i="21" s="1"/>
  <c r="D936" i="21" a="1"/>
  <c r="D936" i="21" s="1"/>
  <c r="D937" i="21" a="1"/>
  <c r="D937" i="21" s="1"/>
  <c r="D938" i="21" a="1"/>
  <c r="D938" i="21" s="1"/>
  <c r="D939" i="21" a="1"/>
  <c r="D939" i="21" s="1"/>
  <c r="D940" i="21" a="1"/>
  <c r="D940" i="21" s="1"/>
  <c r="D941" i="21" a="1"/>
  <c r="D941" i="21" s="1"/>
  <c r="D942" i="21" a="1"/>
  <c r="D942" i="21" s="1"/>
  <c r="D943" i="21" a="1"/>
  <c r="D943" i="21" s="1"/>
  <c r="D944" i="21" a="1"/>
  <c r="D944" i="21" s="1"/>
  <c r="D945" i="21" a="1"/>
  <c r="D945" i="21" s="1"/>
  <c r="D946" i="21" a="1"/>
  <c r="D946" i="21" s="1"/>
  <c r="D947" i="21" a="1"/>
  <c r="D947" i="21" s="1"/>
  <c r="D948" i="21" a="1"/>
  <c r="D948" i="21" s="1"/>
  <c r="D949" i="21" a="1"/>
  <c r="D949" i="21" s="1"/>
  <c r="D950" i="21" a="1"/>
  <c r="D950" i="21" s="1"/>
  <c r="D951" i="21" a="1"/>
  <c r="D951" i="21" s="1"/>
  <c r="D952" i="21" a="1"/>
  <c r="D952" i="21" s="1"/>
  <c r="D953" i="21" a="1"/>
  <c r="D953" i="21" s="1"/>
  <c r="D954" i="21" a="1"/>
  <c r="D954" i="21" s="1"/>
  <c r="D955" i="21" a="1"/>
  <c r="D955" i="21" s="1"/>
  <c r="D956" i="21" a="1"/>
  <c r="D956" i="21" s="1"/>
  <c r="D957" i="21" a="1"/>
  <c r="D957" i="21" s="1"/>
  <c r="D958" i="21" a="1"/>
  <c r="D958" i="21" s="1"/>
  <c r="D959" i="21" a="1"/>
  <c r="D959" i="21" s="1"/>
  <c r="D960" i="21" a="1"/>
  <c r="D960" i="21" s="1"/>
  <c r="D961" i="21" a="1"/>
  <c r="D961" i="21" s="1"/>
  <c r="D962" i="21" a="1"/>
  <c r="D962" i="21" s="1"/>
  <c r="D963" i="21" a="1"/>
  <c r="D963" i="21" s="1"/>
  <c r="D964" i="21" a="1"/>
  <c r="D964" i="21" s="1"/>
  <c r="D965" i="21" a="1"/>
  <c r="D965" i="21" s="1"/>
  <c r="D966" i="21" a="1"/>
  <c r="D966" i="21" s="1"/>
  <c r="D967" i="21" a="1"/>
  <c r="D967" i="21" s="1"/>
  <c r="D968" i="21" a="1"/>
  <c r="D968" i="21" s="1"/>
  <c r="D969" i="21" a="1"/>
  <c r="D969" i="21" s="1"/>
  <c r="D970" i="21" a="1"/>
  <c r="D970" i="21" s="1"/>
  <c r="D971" i="21" a="1"/>
  <c r="D971" i="21" s="1"/>
  <c r="D972" i="21" a="1"/>
  <c r="D972" i="21" s="1"/>
  <c r="D973" i="21" a="1"/>
  <c r="D973" i="21" s="1"/>
  <c r="D974" i="21" a="1"/>
  <c r="D974" i="21" s="1"/>
  <c r="D975" i="21" a="1"/>
  <c r="D975" i="21" s="1"/>
  <c r="D976" i="21" a="1"/>
  <c r="D976" i="21" s="1"/>
  <c r="D977" i="21" a="1"/>
  <c r="D977" i="21" s="1"/>
  <c r="D978" i="21" a="1"/>
  <c r="D978" i="21" s="1"/>
  <c r="D979" i="21" a="1"/>
  <c r="D979" i="21" s="1"/>
  <c r="D980" i="21" a="1"/>
  <c r="D980" i="21" s="1"/>
  <c r="D981" i="21" a="1"/>
  <c r="D981" i="21" s="1"/>
  <c r="D982" i="21" a="1"/>
  <c r="D982" i="21" s="1"/>
  <c r="D983" i="21" a="1"/>
  <c r="D983" i="21" s="1"/>
  <c r="D984" i="21" a="1"/>
  <c r="D984" i="21" s="1"/>
  <c r="D985" i="21" a="1"/>
  <c r="D985" i="21" s="1"/>
  <c r="D986" i="21" a="1"/>
  <c r="D986" i="21" s="1"/>
  <c r="D987" i="21" a="1"/>
  <c r="D987" i="21" s="1"/>
  <c r="D988" i="21" a="1"/>
  <c r="D988" i="21" s="1"/>
  <c r="D989" i="21" a="1"/>
  <c r="D989" i="21" s="1"/>
  <c r="D990" i="21" a="1"/>
  <c r="D990" i="21" s="1"/>
  <c r="D991" i="21" a="1"/>
  <c r="D991" i="21" s="1"/>
  <c r="D992" i="21" a="1"/>
  <c r="D992" i="21" s="1"/>
  <c r="D993" i="21" a="1"/>
  <c r="D993" i="21" s="1"/>
  <c r="D994" i="21" a="1"/>
  <c r="D994" i="21" s="1"/>
  <c r="D995" i="21" a="1"/>
  <c r="D995" i="21" s="1"/>
  <c r="D996" i="21" a="1"/>
  <c r="D996" i="21" s="1"/>
  <c r="D997" i="21" a="1"/>
  <c r="D997" i="21" s="1"/>
  <c r="D998" i="21" a="1"/>
  <c r="D998" i="21" s="1"/>
  <c r="D999" i="21" a="1"/>
  <c r="D999" i="21" s="1"/>
  <c r="D1000" i="21" a="1"/>
  <c r="D1000" i="21" s="1"/>
  <c r="D1001" i="21" a="1"/>
  <c r="D1001" i="21" s="1"/>
  <c r="D1002" i="21" a="1"/>
  <c r="D1002" i="21" s="1"/>
  <c r="D1003" i="21" a="1"/>
  <c r="D1003" i="21" s="1"/>
  <c r="D1004" i="21" a="1"/>
  <c r="D1004" i="21" s="1"/>
  <c r="D5" i="21" a="1"/>
  <c r="D5" i="21" s="1"/>
  <c r="E6" i="21" a="1"/>
  <c r="E6" i="21" s="1"/>
  <c r="E7" i="21" a="1"/>
  <c r="E7" i="21" s="1"/>
  <c r="F7" i="21" s="1"/>
  <c r="E8" i="21" a="1"/>
  <c r="E8" i="21" s="1"/>
  <c r="F8" i="21" s="1"/>
  <c r="E9" i="21" a="1"/>
  <c r="E9" i="21" s="1"/>
  <c r="E10" i="21" a="1"/>
  <c r="E10" i="21" s="1"/>
  <c r="F10" i="21" s="1"/>
  <c r="E11" i="21" a="1"/>
  <c r="E11" i="21" s="1"/>
  <c r="F11" i="21" s="1"/>
  <c r="E12" i="21" a="1"/>
  <c r="E12" i="21" s="1"/>
  <c r="F12" i="21" s="1"/>
  <c r="E13" i="21" a="1"/>
  <c r="E13" i="21" s="1"/>
  <c r="E14" i="21" a="1"/>
  <c r="E14" i="21" s="1"/>
  <c r="F14" i="21" s="1"/>
  <c r="E15" i="21" a="1"/>
  <c r="E15" i="21" s="1"/>
  <c r="F15" i="21" s="1"/>
  <c r="E16" i="21" a="1"/>
  <c r="E16" i="21" s="1"/>
  <c r="F16" i="21" s="1"/>
  <c r="E17" i="21" a="1"/>
  <c r="E17" i="21" s="1"/>
  <c r="E18" i="21" a="1"/>
  <c r="E18" i="21" s="1"/>
  <c r="F18" i="21" s="1"/>
  <c r="E19" i="21" a="1"/>
  <c r="E19" i="21" s="1"/>
  <c r="F19" i="21" s="1"/>
  <c r="E20" i="21" a="1"/>
  <c r="E20" i="21" s="1"/>
  <c r="F20" i="21" s="1"/>
  <c r="E21" i="21" a="1"/>
  <c r="E21" i="21" s="1"/>
  <c r="E22" i="21" a="1"/>
  <c r="E22" i="21" s="1"/>
  <c r="F22" i="21" s="1"/>
  <c r="E23" i="21" a="1"/>
  <c r="E23" i="21" s="1"/>
  <c r="F23" i="21" s="1"/>
  <c r="E24" i="21" a="1"/>
  <c r="E24" i="21" s="1"/>
  <c r="F24" i="21" s="1"/>
  <c r="E25" i="21" a="1"/>
  <c r="E25" i="21" s="1"/>
  <c r="E26" i="21" a="1"/>
  <c r="E26" i="21" s="1"/>
  <c r="F26" i="21" s="1"/>
  <c r="E27" i="21" a="1"/>
  <c r="E27" i="21" s="1"/>
  <c r="F27" i="21" s="1"/>
  <c r="E28" i="21" a="1"/>
  <c r="E28" i="21" s="1"/>
  <c r="F28" i="21" s="1"/>
  <c r="E29" i="21" a="1"/>
  <c r="E29" i="21" s="1"/>
  <c r="E30" i="21" a="1"/>
  <c r="E30" i="21" s="1"/>
  <c r="F30" i="21" s="1"/>
  <c r="E31" i="21" a="1"/>
  <c r="E31" i="21" s="1"/>
  <c r="F31" i="21" s="1"/>
  <c r="E32" i="21" a="1"/>
  <c r="E32" i="21" s="1"/>
  <c r="F32" i="21" s="1"/>
  <c r="E33" i="21" a="1"/>
  <c r="E33" i="21" s="1"/>
  <c r="E34" i="21" a="1"/>
  <c r="E34" i="21" s="1"/>
  <c r="F34" i="21" s="1"/>
  <c r="E35" i="21" a="1"/>
  <c r="E35" i="21" s="1"/>
  <c r="F35" i="21" s="1"/>
  <c r="E36" i="21" a="1"/>
  <c r="E36" i="21" s="1"/>
  <c r="F36" i="21" s="1"/>
  <c r="E37" i="21" a="1"/>
  <c r="E37" i="21" s="1"/>
  <c r="F37" i="21" s="1"/>
  <c r="E38" i="21" a="1"/>
  <c r="E38" i="21" s="1"/>
  <c r="E39" i="21" a="1"/>
  <c r="E39" i="21" s="1"/>
  <c r="F39" i="21" s="1"/>
  <c r="E40" i="21" a="1"/>
  <c r="E40" i="21" s="1"/>
  <c r="F40" i="21" s="1"/>
  <c r="E41" i="21" a="1"/>
  <c r="E41" i="21" s="1"/>
  <c r="E42" i="21" a="1"/>
  <c r="E42" i="21" s="1"/>
  <c r="F42" i="21" s="1"/>
  <c r="E43" i="21" a="1"/>
  <c r="E43" i="21" s="1"/>
  <c r="F43" i="21" s="1"/>
  <c r="E44" i="21" a="1"/>
  <c r="E44" i="21" s="1"/>
  <c r="F44" i="21" s="1"/>
  <c r="E45" i="21" a="1"/>
  <c r="E45" i="21" s="1"/>
  <c r="E46" i="21" a="1"/>
  <c r="E46" i="21" s="1"/>
  <c r="F46" i="21" s="1"/>
  <c r="E47" i="21" a="1"/>
  <c r="E47" i="21" s="1"/>
  <c r="F47" i="21" s="1"/>
  <c r="E48" i="21" a="1"/>
  <c r="E48" i="21" s="1"/>
  <c r="F48" i="21" s="1"/>
  <c r="E49" i="21" a="1"/>
  <c r="E49" i="21" s="1"/>
  <c r="E50" i="21" a="1"/>
  <c r="E50" i="21" s="1"/>
  <c r="F50" i="21" s="1"/>
  <c r="E51" i="21" a="1"/>
  <c r="E51" i="21" s="1"/>
  <c r="F51" i="21" s="1"/>
  <c r="E52" i="21" a="1"/>
  <c r="E52" i="21" s="1"/>
  <c r="F52" i="21" s="1"/>
  <c r="E53" i="21" a="1"/>
  <c r="E53" i="21" s="1"/>
  <c r="E54" i="21" a="1"/>
  <c r="E54" i="21" s="1"/>
  <c r="F54" i="21" s="1"/>
  <c r="E55" i="21" a="1"/>
  <c r="E55" i="21" s="1"/>
  <c r="F55" i="21" s="1"/>
  <c r="E56" i="21" a="1"/>
  <c r="E56" i="21" s="1"/>
  <c r="F56" i="21" s="1"/>
  <c r="E57" i="21" a="1"/>
  <c r="E57" i="21" s="1"/>
  <c r="E58" i="21" a="1"/>
  <c r="E58" i="21" s="1"/>
  <c r="F58" i="21" s="1"/>
  <c r="E59" i="21" a="1"/>
  <c r="E59" i="21" s="1"/>
  <c r="F59" i="21" s="1"/>
  <c r="E60" i="21" a="1"/>
  <c r="E60" i="21" s="1"/>
  <c r="F60" i="21" s="1"/>
  <c r="E61" i="21" a="1"/>
  <c r="E61" i="21" s="1"/>
  <c r="E62" i="21" a="1"/>
  <c r="E62" i="21" s="1"/>
  <c r="F62" i="21" s="1"/>
  <c r="E63" i="21" a="1"/>
  <c r="E63" i="21" s="1"/>
  <c r="F63" i="21" s="1"/>
  <c r="E64" i="21" a="1"/>
  <c r="E64" i="21" s="1"/>
  <c r="F64" i="21" s="1"/>
  <c r="E65" i="21" a="1"/>
  <c r="E65" i="21" s="1"/>
  <c r="E66" i="21" a="1"/>
  <c r="E66" i="21" s="1"/>
  <c r="F66" i="21" s="1"/>
  <c r="E67" i="21" a="1"/>
  <c r="E67" i="21" s="1"/>
  <c r="F67" i="21" s="1"/>
  <c r="E68" i="21" a="1"/>
  <c r="E68" i="21" s="1"/>
  <c r="F68" i="21" s="1"/>
  <c r="E69" i="21" a="1"/>
  <c r="E69" i="21" s="1"/>
  <c r="E70" i="21" a="1"/>
  <c r="E70" i="21" s="1"/>
  <c r="E71" i="21" a="1"/>
  <c r="E71" i="21" s="1"/>
  <c r="F71" i="21" s="1"/>
  <c r="E72" i="21" a="1"/>
  <c r="E72" i="21" s="1"/>
  <c r="F72" i="21" s="1"/>
  <c r="E73" i="21" a="1"/>
  <c r="E73" i="21" s="1"/>
  <c r="E74" i="21" a="1"/>
  <c r="E74" i="21" s="1"/>
  <c r="F74" i="21" s="1"/>
  <c r="E75" i="21" a="1"/>
  <c r="E75" i="21" s="1"/>
  <c r="F75" i="21" s="1"/>
  <c r="E76" i="21" a="1"/>
  <c r="E76" i="21" s="1"/>
  <c r="F76" i="21" s="1"/>
  <c r="E77" i="21" a="1"/>
  <c r="E77" i="21" s="1"/>
  <c r="E78" i="21" a="1"/>
  <c r="E78" i="21" s="1"/>
  <c r="F78" i="21" s="1"/>
  <c r="E79" i="21" a="1"/>
  <c r="E79" i="21" s="1"/>
  <c r="F79" i="21" s="1"/>
  <c r="E80" i="21" a="1"/>
  <c r="E80" i="21" s="1"/>
  <c r="F80" i="21" s="1"/>
  <c r="E81" i="21" a="1"/>
  <c r="E81" i="21" s="1"/>
  <c r="F81" i="21" s="1"/>
  <c r="E82" i="21" a="1"/>
  <c r="E82" i="21" s="1"/>
  <c r="F82" i="21" s="1"/>
  <c r="E83" i="21" a="1"/>
  <c r="E83" i="21" s="1"/>
  <c r="F83" i="21" s="1"/>
  <c r="E84" i="21" a="1"/>
  <c r="E84" i="21" s="1"/>
  <c r="F84" i="21" s="1"/>
  <c r="E85" i="21" a="1"/>
  <c r="E85" i="21" s="1"/>
  <c r="E86" i="21" a="1"/>
  <c r="E86" i="21" s="1"/>
  <c r="F86" i="21" s="1"/>
  <c r="E87" i="21" a="1"/>
  <c r="E87" i="21" s="1"/>
  <c r="F87" i="21" s="1"/>
  <c r="E88" i="21" a="1"/>
  <c r="E88" i="21" s="1"/>
  <c r="F88" i="21" s="1"/>
  <c r="E89" i="21" a="1"/>
  <c r="E89" i="21" s="1"/>
  <c r="E90" i="21" a="1"/>
  <c r="E90" i="21" s="1"/>
  <c r="F90" i="21" s="1"/>
  <c r="E91" i="21" a="1"/>
  <c r="E91" i="21" s="1"/>
  <c r="F91" i="21" s="1"/>
  <c r="E92" i="21" a="1"/>
  <c r="E92" i="21" s="1"/>
  <c r="F92" i="21" s="1"/>
  <c r="E93" i="21" a="1"/>
  <c r="E93" i="21" s="1"/>
  <c r="E94" i="21" a="1"/>
  <c r="E94" i="21" s="1"/>
  <c r="F94" i="21" s="1"/>
  <c r="E95" i="21" a="1"/>
  <c r="E95" i="21" s="1"/>
  <c r="F95" i="21" s="1"/>
  <c r="E96" i="21" a="1"/>
  <c r="E96" i="21" s="1"/>
  <c r="F96" i="21" s="1"/>
  <c r="E97" i="21" a="1"/>
  <c r="E97" i="21" s="1"/>
  <c r="E98" i="21" a="1"/>
  <c r="E98" i="21" s="1"/>
  <c r="F98" i="21" s="1"/>
  <c r="E99" i="21" a="1"/>
  <c r="E99" i="21" s="1"/>
  <c r="F99" i="21" s="1"/>
  <c r="E100" i="21" a="1"/>
  <c r="E100" i="21" s="1"/>
  <c r="E101" i="21" a="1"/>
  <c r="E101" i="21" s="1"/>
  <c r="E102" i="21" a="1"/>
  <c r="E102" i="21" s="1"/>
  <c r="F102" i="21" s="1"/>
  <c r="E103" i="21" a="1"/>
  <c r="E103" i="21" s="1"/>
  <c r="F103" i="21" s="1"/>
  <c r="E104" i="21" a="1"/>
  <c r="E104" i="21" s="1"/>
  <c r="F104" i="21" s="1"/>
  <c r="E105" i="21" a="1"/>
  <c r="E105" i="21" s="1"/>
  <c r="E106" i="21" a="1"/>
  <c r="E106" i="21" s="1"/>
  <c r="F106" i="21" s="1"/>
  <c r="E107" i="21" a="1"/>
  <c r="E107" i="21" s="1"/>
  <c r="F107" i="21" s="1"/>
  <c r="E108" i="21" a="1"/>
  <c r="E108" i="21" s="1"/>
  <c r="F108" i="21" s="1"/>
  <c r="E109" i="21" a="1"/>
  <c r="E109" i="21" s="1"/>
  <c r="E110" i="21" a="1"/>
  <c r="E110" i="21" s="1"/>
  <c r="F110" i="21" s="1"/>
  <c r="E111" i="21" a="1"/>
  <c r="E111" i="21" s="1"/>
  <c r="F111" i="21" s="1"/>
  <c r="E112" i="21" a="1"/>
  <c r="E112" i="21" s="1"/>
  <c r="F112" i="21" s="1"/>
  <c r="E113" i="21" a="1"/>
  <c r="E113" i="21" s="1"/>
  <c r="E114" i="21" a="1"/>
  <c r="E114" i="21" s="1"/>
  <c r="F114" i="21" s="1"/>
  <c r="E115" i="21" a="1"/>
  <c r="E115" i="21" s="1"/>
  <c r="F115" i="21" s="1"/>
  <c r="E116" i="21" a="1"/>
  <c r="E116" i="21" s="1"/>
  <c r="F116" i="21" s="1"/>
  <c r="E117" i="21" a="1"/>
  <c r="E117" i="21" s="1"/>
  <c r="E118" i="21" a="1"/>
  <c r="E118" i="21" s="1"/>
  <c r="E119" i="21" a="1"/>
  <c r="E119" i="21" s="1"/>
  <c r="E120" i="21" a="1"/>
  <c r="E120" i="21" s="1"/>
  <c r="F120" i="21" s="1"/>
  <c r="E121" i="21" a="1"/>
  <c r="E121" i="21" s="1"/>
  <c r="E122" i="21" a="1"/>
  <c r="E122" i="21" s="1"/>
  <c r="E123" i="21" a="1"/>
  <c r="E123" i="21" s="1"/>
  <c r="F123" i="21" s="1"/>
  <c r="E124" i="21" a="1"/>
  <c r="E124" i="21" s="1"/>
  <c r="F124" i="21" s="1"/>
  <c r="E125" i="21" a="1"/>
  <c r="E125" i="21" s="1"/>
  <c r="E126" i="21" a="1"/>
  <c r="E126" i="21" s="1"/>
  <c r="E127" i="21" a="1"/>
  <c r="E127" i="21" s="1"/>
  <c r="F127" i="21" s="1"/>
  <c r="E128" i="21" a="1"/>
  <c r="E128" i="21" s="1"/>
  <c r="E129" i="21" a="1"/>
  <c r="E129" i="21" s="1"/>
  <c r="E130" i="21" a="1"/>
  <c r="E130" i="21" s="1"/>
  <c r="F130" i="21" s="1"/>
  <c r="E131" i="21" a="1"/>
  <c r="E131" i="21" s="1"/>
  <c r="E132" i="21" a="1"/>
  <c r="E132" i="21" s="1"/>
  <c r="E133" i="21" a="1"/>
  <c r="E133" i="21" s="1"/>
  <c r="E134" i="21" a="1"/>
  <c r="E134" i="21" s="1"/>
  <c r="F134" i="21" s="1"/>
  <c r="E135" i="21" a="1"/>
  <c r="E135" i="21" s="1"/>
  <c r="F135" i="21" s="1"/>
  <c r="E136" i="21" a="1"/>
  <c r="E136" i="21" s="1"/>
  <c r="E137" i="21" a="1"/>
  <c r="E137" i="21" s="1"/>
  <c r="E138" i="21" a="1"/>
  <c r="E138" i="21" s="1"/>
  <c r="E139" i="21" a="1"/>
  <c r="E139" i="21" s="1"/>
  <c r="F139" i="21" s="1"/>
  <c r="E140" i="21" a="1"/>
  <c r="E140" i="21" s="1"/>
  <c r="E141" i="21" a="1"/>
  <c r="E141" i="21" s="1"/>
  <c r="E142" i="21" a="1"/>
  <c r="E142" i="21" s="1"/>
  <c r="H142" i="21" s="1"/>
  <c r="I142" i="21" s="1"/>
  <c r="E143" i="21" a="1"/>
  <c r="E143" i="21" s="1"/>
  <c r="F143" i="21" s="1"/>
  <c r="E144" i="21" a="1"/>
  <c r="E144" i="21" s="1"/>
  <c r="E145" i="21" a="1"/>
  <c r="E145" i="21" s="1"/>
  <c r="E146" i="21" a="1"/>
  <c r="E146" i="21" s="1"/>
  <c r="F146" i="21" s="1"/>
  <c r="E147" i="21" a="1"/>
  <c r="E147" i="21" s="1"/>
  <c r="F147" i="21" s="1"/>
  <c r="E148" i="21" a="1"/>
  <c r="E148" i="21" s="1"/>
  <c r="F148" i="21" s="1"/>
  <c r="E149" i="21" a="1"/>
  <c r="E149" i="21" s="1"/>
  <c r="E150" i="21" a="1"/>
  <c r="E150" i="21" s="1"/>
  <c r="E151" i="21" a="1"/>
  <c r="E151" i="21" s="1"/>
  <c r="E152" i="21" a="1"/>
  <c r="E152" i="21" s="1"/>
  <c r="E153" i="21" a="1"/>
  <c r="E153" i="21" s="1"/>
  <c r="E154" i="21" a="1"/>
  <c r="E154" i="21" s="1"/>
  <c r="F154" i="21" s="1"/>
  <c r="E155" i="21" a="1"/>
  <c r="E155" i="21" s="1"/>
  <c r="E156" i="21" a="1"/>
  <c r="E156" i="21" s="1"/>
  <c r="E157" i="21" a="1"/>
  <c r="E157" i="21" s="1"/>
  <c r="E158" i="21" a="1"/>
  <c r="E158" i="21" s="1"/>
  <c r="E159" i="21" a="1"/>
  <c r="E159" i="21" s="1"/>
  <c r="E160" i="21" a="1"/>
  <c r="E160" i="21" s="1"/>
  <c r="E161" i="21" a="1"/>
  <c r="E161" i="21" s="1"/>
  <c r="E162" i="21" a="1"/>
  <c r="E162" i="21" s="1"/>
  <c r="E163" i="21" a="1"/>
  <c r="E163" i="21" s="1"/>
  <c r="F163" i="21" s="1"/>
  <c r="E164" i="21" a="1"/>
  <c r="E164" i="21" s="1"/>
  <c r="H164" i="21" s="1"/>
  <c r="I164" i="21" s="1"/>
  <c r="E165" i="21" a="1"/>
  <c r="E165" i="21" s="1"/>
  <c r="E166" i="21" a="1"/>
  <c r="E166" i="21" s="1"/>
  <c r="F166" i="21" s="1"/>
  <c r="E167" i="21" a="1"/>
  <c r="E167" i="21" s="1"/>
  <c r="E168" i="21" a="1"/>
  <c r="E168" i="21" s="1"/>
  <c r="E169" i="21" a="1"/>
  <c r="E169" i="21" s="1"/>
  <c r="E170" i="21" a="1"/>
  <c r="E170" i="21" s="1"/>
  <c r="E171" i="21" a="1"/>
  <c r="E171" i="21" s="1"/>
  <c r="E172" i="21" a="1"/>
  <c r="E172" i="21" s="1"/>
  <c r="F172" i="21" s="1"/>
  <c r="E173" i="21" a="1"/>
  <c r="E173" i="21" s="1"/>
  <c r="E174" i="21" a="1"/>
  <c r="E174" i="21" s="1"/>
  <c r="E175" i="21" a="1"/>
  <c r="E175" i="21" s="1"/>
  <c r="F175" i="21" s="1"/>
  <c r="E176" i="21" a="1"/>
  <c r="E176" i="21" s="1"/>
  <c r="E177" i="21" a="1"/>
  <c r="E177" i="21" s="1"/>
  <c r="E178" i="21" a="1"/>
  <c r="E178" i="21" s="1"/>
  <c r="E179" i="21" a="1"/>
  <c r="E179" i="21" s="1"/>
  <c r="E180" i="21" a="1"/>
  <c r="E180" i="21" s="1"/>
  <c r="E181" i="21" a="1"/>
  <c r="E181" i="21" s="1"/>
  <c r="E182" i="21" a="1"/>
  <c r="E182" i="21" s="1"/>
  <c r="H182" i="21" s="1"/>
  <c r="I182" i="21" s="1"/>
  <c r="E183" i="21" a="1"/>
  <c r="E183" i="21" s="1"/>
  <c r="E184" i="21" a="1"/>
  <c r="E184" i="21" s="1"/>
  <c r="F184" i="21" s="1"/>
  <c r="E185" i="21" a="1"/>
  <c r="E185" i="21" s="1"/>
  <c r="E186" i="21" a="1"/>
  <c r="E186" i="21" s="1"/>
  <c r="E187" i="21" a="1"/>
  <c r="E187" i="21" s="1"/>
  <c r="E188" i="21" a="1"/>
  <c r="E188" i="21" s="1"/>
  <c r="E189" i="21" a="1"/>
  <c r="E189" i="21" s="1"/>
  <c r="E190" i="21" a="1"/>
  <c r="E190" i="21" s="1"/>
  <c r="E191" i="21" a="1"/>
  <c r="E191" i="21" s="1"/>
  <c r="E192" i="21" a="1"/>
  <c r="E192" i="21" s="1"/>
  <c r="F192" i="21" s="1"/>
  <c r="E193" i="21" a="1"/>
  <c r="E193" i="21" s="1"/>
  <c r="E194" i="21" a="1"/>
  <c r="E194" i="21" s="1"/>
  <c r="E195" i="21" a="1"/>
  <c r="E195" i="21" s="1"/>
  <c r="E196" i="21" a="1"/>
  <c r="E196" i="21" s="1"/>
  <c r="E197" i="21" a="1"/>
  <c r="E197" i="21" s="1"/>
  <c r="E198" i="21" a="1"/>
  <c r="E198" i="21" s="1"/>
  <c r="E199" i="21" a="1"/>
  <c r="E199" i="21" s="1"/>
  <c r="E200" i="21" a="1"/>
  <c r="E200" i="21" s="1"/>
  <c r="F200" i="21" s="1"/>
  <c r="E201" i="21" a="1"/>
  <c r="E201" i="21" s="1"/>
  <c r="E202" i="21" a="1"/>
  <c r="E202" i="21" s="1"/>
  <c r="E203" i="21" a="1"/>
  <c r="E203" i="21" s="1"/>
  <c r="E204" i="21" a="1"/>
  <c r="E204" i="21" s="1"/>
  <c r="H204" i="21" s="1"/>
  <c r="I204" i="21" s="1"/>
  <c r="E205" i="21" a="1"/>
  <c r="E205" i="21" s="1"/>
  <c r="E206" i="21" a="1"/>
  <c r="E206" i="21" s="1"/>
  <c r="H206" i="21" s="1"/>
  <c r="I206" i="21" s="1"/>
  <c r="E207" i="21" a="1"/>
  <c r="E207" i="21" s="1"/>
  <c r="E208" i="21" a="1"/>
  <c r="E208" i="21" s="1"/>
  <c r="F208" i="21" s="1"/>
  <c r="E209" i="21" a="1"/>
  <c r="E209" i="21" s="1"/>
  <c r="E210" i="21" a="1"/>
  <c r="E210" i="21" s="1"/>
  <c r="E211" i="21" a="1"/>
  <c r="E211" i="21" s="1"/>
  <c r="E212" i="21" a="1"/>
  <c r="E212" i="21" s="1"/>
  <c r="E213" i="21" a="1"/>
  <c r="E213" i="21" s="1"/>
  <c r="E214" i="21" a="1"/>
  <c r="E214" i="21" s="1"/>
  <c r="E215" i="21" a="1"/>
  <c r="E215" i="21" s="1"/>
  <c r="E216" i="21" a="1"/>
  <c r="E216" i="21" s="1"/>
  <c r="F216" i="21" s="1"/>
  <c r="E217" i="21" a="1"/>
  <c r="E217" i="21" s="1"/>
  <c r="E218" i="21" a="1"/>
  <c r="E218" i="21" s="1"/>
  <c r="E219" i="21" a="1"/>
  <c r="E219" i="21" s="1"/>
  <c r="E220" i="21" a="1"/>
  <c r="E220" i="21" s="1"/>
  <c r="E221" i="21" a="1"/>
  <c r="E221" i="21" s="1"/>
  <c r="F221" i="21" s="1"/>
  <c r="E222" i="21" a="1"/>
  <c r="E222" i="21" s="1"/>
  <c r="E223" i="21" a="1"/>
  <c r="E223" i="21" s="1"/>
  <c r="E224" i="21" a="1"/>
  <c r="E224" i="21" s="1"/>
  <c r="F224" i="21" s="1"/>
  <c r="E225" i="21" a="1"/>
  <c r="E225" i="21" s="1"/>
  <c r="E226" i="21" a="1"/>
  <c r="E226" i="21" s="1"/>
  <c r="E227" i="21" a="1"/>
  <c r="E227" i="21" s="1"/>
  <c r="E228" i="21" a="1"/>
  <c r="E228" i="21" s="1"/>
  <c r="E229" i="21" a="1"/>
  <c r="E229" i="21" s="1"/>
  <c r="F229" i="21" s="1"/>
  <c r="E230" i="21" a="1"/>
  <c r="E230" i="21" s="1"/>
  <c r="E231" i="21" a="1"/>
  <c r="E231" i="21" s="1"/>
  <c r="E232" i="21" a="1"/>
  <c r="E232" i="21" s="1"/>
  <c r="F232" i="21" s="1"/>
  <c r="E233" i="21" a="1"/>
  <c r="E233" i="21" s="1"/>
  <c r="E234" i="21" a="1"/>
  <c r="E234" i="21" s="1"/>
  <c r="E235" i="21" a="1"/>
  <c r="E235" i="21" s="1"/>
  <c r="E236" i="21" a="1"/>
  <c r="E236" i="21" s="1"/>
  <c r="E237" i="21" a="1"/>
  <c r="E237" i="21" s="1"/>
  <c r="E238" i="21" a="1"/>
  <c r="E238" i="21" s="1"/>
  <c r="E239" i="21" a="1"/>
  <c r="E239" i="21" s="1"/>
  <c r="E240" i="21" a="1"/>
  <c r="E240" i="21" s="1"/>
  <c r="E241" i="21" a="1"/>
  <c r="E241" i="21" s="1"/>
  <c r="E242" i="21" a="1"/>
  <c r="E242" i="21" s="1"/>
  <c r="E243" i="21" a="1"/>
  <c r="E243" i="21" s="1"/>
  <c r="E244" i="21" a="1"/>
  <c r="E244" i="21" s="1"/>
  <c r="E245" i="21" a="1"/>
  <c r="E245" i="21" s="1"/>
  <c r="F245" i="21" s="1"/>
  <c r="E246" i="21" a="1"/>
  <c r="E246" i="21" s="1"/>
  <c r="E247" i="21" a="1"/>
  <c r="E247" i="21" s="1"/>
  <c r="E248" i="21" a="1"/>
  <c r="E248" i="21" s="1"/>
  <c r="E249" i="21" a="1"/>
  <c r="E249" i="21" s="1"/>
  <c r="E250" i="21" a="1"/>
  <c r="E250" i="21" s="1"/>
  <c r="E251" i="21" a="1"/>
  <c r="E251" i="21" s="1"/>
  <c r="E252" i="21" a="1"/>
  <c r="E252" i="21" s="1"/>
  <c r="E253" i="21" a="1"/>
  <c r="E253" i="21" s="1"/>
  <c r="E254" i="21" a="1"/>
  <c r="E254" i="21" s="1"/>
  <c r="E255" i="21" a="1"/>
  <c r="E255" i="21" s="1"/>
  <c r="E256" i="21" a="1"/>
  <c r="E256" i="21" s="1"/>
  <c r="E257" i="21" a="1"/>
  <c r="E257" i="21" s="1"/>
  <c r="E258" i="21" a="1"/>
  <c r="E258" i="21" s="1"/>
  <c r="E259" i="21" a="1"/>
  <c r="E259" i="21" s="1"/>
  <c r="E260" i="21" a="1"/>
  <c r="E260" i="21" s="1"/>
  <c r="F260" i="21" s="1"/>
  <c r="E261" i="21" a="1"/>
  <c r="E261" i="21" s="1"/>
  <c r="E262" i="21" a="1"/>
  <c r="E262" i="21" s="1"/>
  <c r="E263" i="21" a="1"/>
  <c r="E263" i="21" s="1"/>
  <c r="E264" i="21" a="1"/>
  <c r="E264" i="21" s="1"/>
  <c r="E265" i="21" a="1"/>
  <c r="E265" i="21" s="1"/>
  <c r="E266" i="21" a="1"/>
  <c r="E266" i="21" s="1"/>
  <c r="E267" i="21" a="1"/>
  <c r="E267" i="21" s="1"/>
  <c r="E268" i="21" a="1"/>
  <c r="E268" i="21" s="1"/>
  <c r="F268" i="21" s="1"/>
  <c r="E269" i="21" a="1"/>
  <c r="E269" i="21" s="1"/>
  <c r="E270" i="21" a="1"/>
  <c r="E270" i="21" s="1"/>
  <c r="E271" i="21" a="1"/>
  <c r="E271" i="21" s="1"/>
  <c r="E272" i="21" a="1"/>
  <c r="E272" i="21" s="1"/>
  <c r="E273" i="21" a="1"/>
  <c r="E273" i="21" s="1"/>
  <c r="E274" i="21" a="1"/>
  <c r="E274" i="21" s="1"/>
  <c r="E275" i="21" a="1"/>
  <c r="E275" i="21" s="1"/>
  <c r="E276" i="21" a="1"/>
  <c r="E276" i="21" s="1"/>
  <c r="E277" i="21" a="1"/>
  <c r="E277" i="21" s="1"/>
  <c r="E278" i="21" a="1"/>
  <c r="E278" i="21" s="1"/>
  <c r="E279" i="21" a="1"/>
  <c r="E279" i="21" s="1"/>
  <c r="E280" i="21" a="1"/>
  <c r="E280" i="21" s="1"/>
  <c r="E281" i="21" a="1"/>
  <c r="E281" i="21" s="1"/>
  <c r="E282" i="21" a="1"/>
  <c r="E282" i="21" s="1"/>
  <c r="E283" i="21" a="1"/>
  <c r="E283" i="21" s="1"/>
  <c r="E284" i="21" a="1"/>
  <c r="E284" i="21" s="1"/>
  <c r="E285" i="21" a="1"/>
  <c r="E285" i="21" s="1"/>
  <c r="E286" i="21" a="1"/>
  <c r="E286" i="21" s="1"/>
  <c r="E287" i="21" a="1"/>
  <c r="E287" i="21" s="1"/>
  <c r="E288" i="21" a="1"/>
  <c r="E288" i="21" s="1"/>
  <c r="E289" i="21" a="1"/>
  <c r="E289" i="21" s="1"/>
  <c r="F289" i="21" s="1"/>
  <c r="E290" i="21" a="1"/>
  <c r="E290" i="21" s="1"/>
  <c r="E291" i="21" a="1"/>
  <c r="E291" i="21" s="1"/>
  <c r="E292" i="21" a="1"/>
  <c r="E292" i="21" s="1"/>
  <c r="E293" i="21" a="1"/>
  <c r="E293" i="21" s="1"/>
  <c r="E294" i="21" a="1"/>
  <c r="E294" i="21" s="1"/>
  <c r="E295" i="21" a="1"/>
  <c r="E295" i="21" s="1"/>
  <c r="E296" i="21" a="1"/>
  <c r="E296" i="21" s="1"/>
  <c r="E297" i="21" a="1"/>
  <c r="E297" i="21" s="1"/>
  <c r="E298" i="21" a="1"/>
  <c r="E298" i="21" s="1"/>
  <c r="E299" i="21" a="1"/>
  <c r="E299" i="21" s="1"/>
  <c r="E300" i="21" a="1"/>
  <c r="E300" i="21" s="1"/>
  <c r="E301" i="21" a="1"/>
  <c r="E301" i="21" s="1"/>
  <c r="E302" i="21" a="1"/>
  <c r="E302" i="21" s="1"/>
  <c r="E303" i="21" a="1"/>
  <c r="E303" i="21" s="1"/>
  <c r="E304" i="21" a="1"/>
  <c r="E304" i="21" s="1"/>
  <c r="E305" i="21" a="1"/>
  <c r="E305" i="21" s="1"/>
  <c r="E306" i="21" a="1"/>
  <c r="E306" i="21" s="1"/>
  <c r="E307" i="21" a="1"/>
  <c r="E307" i="21" s="1"/>
  <c r="E308" i="21" a="1"/>
  <c r="E308" i="21" s="1"/>
  <c r="E309" i="21" a="1"/>
  <c r="E309" i="21" s="1"/>
  <c r="F309" i="21" s="1"/>
  <c r="E310" i="21" a="1"/>
  <c r="E310" i="21" s="1"/>
  <c r="E311" i="21" a="1"/>
  <c r="E311" i="21" s="1"/>
  <c r="E312" i="21" a="1"/>
  <c r="E312" i="21" s="1"/>
  <c r="E313" i="21" a="1"/>
  <c r="E313" i="21" s="1"/>
  <c r="E314" i="21" a="1"/>
  <c r="E314" i="21" s="1"/>
  <c r="E315" i="21" a="1"/>
  <c r="E315" i="21" s="1"/>
  <c r="E316" i="21" a="1"/>
  <c r="E316" i="21" s="1"/>
  <c r="E317" i="21" a="1"/>
  <c r="E317" i="21" s="1"/>
  <c r="E318" i="21" a="1"/>
  <c r="E318" i="21" s="1"/>
  <c r="E319" i="21" a="1"/>
  <c r="E319" i="21" s="1"/>
  <c r="E320" i="21" a="1"/>
  <c r="E320" i="21" s="1"/>
  <c r="E321" i="21" a="1"/>
  <c r="E321" i="21" s="1"/>
  <c r="E322" i="21" a="1"/>
  <c r="E322" i="21" s="1"/>
  <c r="E323" i="21" a="1"/>
  <c r="E323" i="21" s="1"/>
  <c r="E324" i="21" a="1"/>
  <c r="E324" i="21" s="1"/>
  <c r="F324" i="21" s="1"/>
  <c r="E325" i="21" a="1"/>
  <c r="E325" i="21" s="1"/>
  <c r="E326" i="21" a="1"/>
  <c r="E326" i="21" s="1"/>
  <c r="E327" i="21" a="1"/>
  <c r="E327" i="21" s="1"/>
  <c r="E328" i="21" a="1"/>
  <c r="E328" i="21" s="1"/>
  <c r="E329" i="21" a="1"/>
  <c r="E329" i="21" s="1"/>
  <c r="E330" i="21" a="1"/>
  <c r="E330" i="21" s="1"/>
  <c r="E331" i="21" a="1"/>
  <c r="E331" i="21" s="1"/>
  <c r="E332" i="21" a="1"/>
  <c r="E332" i="21" s="1"/>
  <c r="F332" i="21" s="1"/>
  <c r="E333" i="21" a="1"/>
  <c r="E333" i="21" s="1"/>
  <c r="E334" i="21" a="1"/>
  <c r="E334" i="21" s="1"/>
  <c r="E335" i="21" a="1"/>
  <c r="E335" i="21" s="1"/>
  <c r="E336" i="21" a="1"/>
  <c r="E336" i="21" s="1"/>
  <c r="E337" i="21" a="1"/>
  <c r="E337" i="21" s="1"/>
  <c r="E338" i="21" a="1"/>
  <c r="E338" i="21" s="1"/>
  <c r="E339" i="21" a="1"/>
  <c r="E339" i="21" s="1"/>
  <c r="E340" i="21" a="1"/>
  <c r="E340" i="21" s="1"/>
  <c r="E341" i="21" a="1"/>
  <c r="E341" i="21" s="1"/>
  <c r="E342" i="21" a="1"/>
  <c r="E342" i="21" s="1"/>
  <c r="E343" i="21" a="1"/>
  <c r="E343" i="21" s="1"/>
  <c r="E344" i="21" a="1"/>
  <c r="E344" i="21" s="1"/>
  <c r="E345" i="21" a="1"/>
  <c r="E345" i="21" s="1"/>
  <c r="E346" i="21" a="1"/>
  <c r="E346" i="21" s="1"/>
  <c r="E347" i="21" a="1"/>
  <c r="E347" i="21" s="1"/>
  <c r="E348" i="21" a="1"/>
  <c r="E348" i="21" s="1"/>
  <c r="E349" i="21" a="1"/>
  <c r="E349" i="21" s="1"/>
  <c r="E350" i="21" a="1"/>
  <c r="E350" i="21" s="1"/>
  <c r="E351" i="21" a="1"/>
  <c r="E351" i="21" s="1"/>
  <c r="E352" i="21" a="1"/>
  <c r="E352" i="21" s="1"/>
  <c r="E353" i="21" a="1"/>
  <c r="E353" i="21" s="1"/>
  <c r="F353" i="21" s="1"/>
  <c r="E354" i="21" a="1"/>
  <c r="E354" i="21" s="1"/>
  <c r="E355" i="21" a="1"/>
  <c r="E355" i="21" s="1"/>
  <c r="E356" i="21" a="1"/>
  <c r="E356" i="21" s="1"/>
  <c r="E357" i="21" a="1"/>
  <c r="E357" i="21" s="1"/>
  <c r="E358" i="21" a="1"/>
  <c r="E358" i="21" s="1"/>
  <c r="E359" i="21" a="1"/>
  <c r="E359" i="21" s="1"/>
  <c r="E360" i="21" a="1"/>
  <c r="E360" i="21" s="1"/>
  <c r="E361" i="21" a="1"/>
  <c r="E361" i="21" s="1"/>
  <c r="E362" i="21" a="1"/>
  <c r="E362" i="21" s="1"/>
  <c r="E363" i="21" a="1"/>
  <c r="E363" i="21" s="1"/>
  <c r="E364" i="21" a="1"/>
  <c r="E364" i="21" s="1"/>
  <c r="E365" i="21" a="1"/>
  <c r="E365" i="21" s="1"/>
  <c r="E366" i="21" a="1"/>
  <c r="E366" i="21" s="1"/>
  <c r="E367" i="21" a="1"/>
  <c r="E367" i="21" s="1"/>
  <c r="E368" i="21" a="1"/>
  <c r="E368" i="21" s="1"/>
  <c r="E369" i="21" a="1"/>
  <c r="E369" i="21" s="1"/>
  <c r="E370" i="21" a="1"/>
  <c r="E370" i="21" s="1"/>
  <c r="E371" i="21" a="1"/>
  <c r="E371" i="21" s="1"/>
  <c r="E372" i="21" a="1"/>
  <c r="E372" i="21" s="1"/>
  <c r="E373" i="21" a="1"/>
  <c r="E373" i="21" s="1"/>
  <c r="E374" i="21" a="1"/>
  <c r="E374" i="21" s="1"/>
  <c r="E375" i="21" a="1"/>
  <c r="E375" i="21" s="1"/>
  <c r="E376" i="21" a="1"/>
  <c r="E376" i="21" s="1"/>
  <c r="E377" i="21" a="1"/>
  <c r="E377" i="21" s="1"/>
  <c r="E378" i="21" a="1"/>
  <c r="E378" i="21" s="1"/>
  <c r="E379" i="21" a="1"/>
  <c r="E379" i="21" s="1"/>
  <c r="E380" i="21" a="1"/>
  <c r="E380" i="21" s="1"/>
  <c r="E381" i="21" a="1"/>
  <c r="E381" i="21" s="1"/>
  <c r="E382" i="21" a="1"/>
  <c r="E382" i="21" s="1"/>
  <c r="E383" i="21" a="1"/>
  <c r="E383" i="21" s="1"/>
  <c r="E384" i="21" a="1"/>
  <c r="E384" i="21" s="1"/>
  <c r="E385" i="21" a="1"/>
  <c r="E385" i="21" s="1"/>
  <c r="E386" i="21" a="1"/>
  <c r="E386" i="21" s="1"/>
  <c r="E387" i="21" a="1"/>
  <c r="E387" i="21" s="1"/>
  <c r="E388" i="21" a="1"/>
  <c r="E388" i="21" s="1"/>
  <c r="E389" i="21" a="1"/>
  <c r="E389" i="21" s="1"/>
  <c r="E390" i="21" a="1"/>
  <c r="E390" i="21" s="1"/>
  <c r="E391" i="21" a="1"/>
  <c r="E391" i="21" s="1"/>
  <c r="E392" i="21" a="1"/>
  <c r="E392" i="21" s="1"/>
  <c r="E393" i="21" a="1"/>
  <c r="E393" i="21" s="1"/>
  <c r="E394" i="21" a="1"/>
  <c r="E394" i="21" s="1"/>
  <c r="E395" i="21" a="1"/>
  <c r="E395" i="21" s="1"/>
  <c r="E396" i="21" a="1"/>
  <c r="E396" i="21" s="1"/>
  <c r="E397" i="21" a="1"/>
  <c r="E397" i="21" s="1"/>
  <c r="E398" i="21" a="1"/>
  <c r="E398" i="21" s="1"/>
  <c r="E399" i="21" a="1"/>
  <c r="E399" i="21" s="1"/>
  <c r="E400" i="21" a="1"/>
  <c r="E400" i="21" s="1"/>
  <c r="E401" i="21" a="1"/>
  <c r="E401" i="21" s="1"/>
  <c r="E402" i="21" a="1"/>
  <c r="E402" i="21" s="1"/>
  <c r="E403" i="21" a="1"/>
  <c r="E403" i="21" s="1"/>
  <c r="E404" i="21" a="1"/>
  <c r="E404" i="21" s="1"/>
  <c r="E405" i="21" a="1"/>
  <c r="E405" i="21" s="1"/>
  <c r="E406" i="21" a="1"/>
  <c r="E406" i="21" s="1"/>
  <c r="E407" i="21" a="1"/>
  <c r="E407" i="21" s="1"/>
  <c r="E408" i="21" a="1"/>
  <c r="E408" i="21" s="1"/>
  <c r="E409" i="21" a="1"/>
  <c r="E409" i="21" s="1"/>
  <c r="E410" i="21" a="1"/>
  <c r="E410" i="21" s="1"/>
  <c r="E411" i="21" a="1"/>
  <c r="E411" i="21" s="1"/>
  <c r="E412" i="21" a="1"/>
  <c r="E412" i="21" s="1"/>
  <c r="E413" i="21" a="1"/>
  <c r="E413" i="21" s="1"/>
  <c r="E414" i="21" a="1"/>
  <c r="E414" i="21" s="1"/>
  <c r="E415" i="21" a="1"/>
  <c r="E415" i="21" s="1"/>
  <c r="E416" i="21" a="1"/>
  <c r="E416" i="21" s="1"/>
  <c r="E417" i="21" a="1"/>
  <c r="E417" i="21" s="1"/>
  <c r="E418" i="21" a="1"/>
  <c r="E418" i="21" s="1"/>
  <c r="E419" i="21" a="1"/>
  <c r="E419" i="21" s="1"/>
  <c r="E420" i="21" a="1"/>
  <c r="E420" i="21" s="1"/>
  <c r="E421" i="21" a="1"/>
  <c r="E421" i="21" s="1"/>
  <c r="E422" i="21" a="1"/>
  <c r="E422" i="21" s="1"/>
  <c r="E423" i="21" a="1"/>
  <c r="E423" i="21" s="1"/>
  <c r="E424" i="21" a="1"/>
  <c r="E424" i="21" s="1"/>
  <c r="E425" i="21" a="1"/>
  <c r="E425" i="21" s="1"/>
  <c r="E426" i="21" a="1"/>
  <c r="E426" i="21" s="1"/>
  <c r="E427" i="21" a="1"/>
  <c r="E427" i="21" s="1"/>
  <c r="E428" i="21" a="1"/>
  <c r="E428" i="21" s="1"/>
  <c r="E429" i="21" a="1"/>
  <c r="E429" i="21" s="1"/>
  <c r="E430" i="21" a="1"/>
  <c r="E430" i="21" s="1"/>
  <c r="E431" i="21" a="1"/>
  <c r="E431" i="21" s="1"/>
  <c r="E432" i="21" a="1"/>
  <c r="E432" i="21" s="1"/>
  <c r="E433" i="21" a="1"/>
  <c r="E433" i="21" s="1"/>
  <c r="E434" i="21" a="1"/>
  <c r="E434" i="21" s="1"/>
  <c r="E435" i="21" a="1"/>
  <c r="E435" i="21" s="1"/>
  <c r="E436" i="21" a="1"/>
  <c r="E436" i="21" s="1"/>
  <c r="E437" i="21" a="1"/>
  <c r="E437" i="21" s="1"/>
  <c r="E438" i="21" a="1"/>
  <c r="E438" i="21" s="1"/>
  <c r="E439" i="21" a="1"/>
  <c r="E439" i="21" s="1"/>
  <c r="E440" i="21" a="1"/>
  <c r="E440" i="21" s="1"/>
  <c r="E441" i="21" a="1"/>
  <c r="E441" i="21" s="1"/>
  <c r="E442" i="21" a="1"/>
  <c r="E442" i="21" s="1"/>
  <c r="E443" i="21" a="1"/>
  <c r="E443" i="21" s="1"/>
  <c r="E444" i="21" a="1"/>
  <c r="E444" i="21" s="1"/>
  <c r="E445" i="21" a="1"/>
  <c r="E445" i="21" s="1"/>
  <c r="E446" i="21" a="1"/>
  <c r="E446" i="21" s="1"/>
  <c r="E447" i="21" a="1"/>
  <c r="E447" i="21" s="1"/>
  <c r="E448" i="21" a="1"/>
  <c r="E448" i="21" s="1"/>
  <c r="E449" i="21" a="1"/>
  <c r="E449" i="21" s="1"/>
  <c r="E450" i="21" a="1"/>
  <c r="E450" i="21" s="1"/>
  <c r="E451" i="21" a="1"/>
  <c r="E451" i="21" s="1"/>
  <c r="E452" i="21" a="1"/>
  <c r="E452" i="21" s="1"/>
  <c r="E453" i="21" a="1"/>
  <c r="E453" i="21" s="1"/>
  <c r="E454" i="21" a="1"/>
  <c r="E454" i="21" s="1"/>
  <c r="E455" i="21" a="1"/>
  <c r="E455" i="21" s="1"/>
  <c r="E456" i="21" a="1"/>
  <c r="E456" i="21" s="1"/>
  <c r="E457" i="21" a="1"/>
  <c r="E457" i="21" s="1"/>
  <c r="E458" i="21" a="1"/>
  <c r="E458" i="21" s="1"/>
  <c r="E459" i="21" a="1"/>
  <c r="E459" i="21" s="1"/>
  <c r="E460" i="21" a="1"/>
  <c r="E460" i="21" s="1"/>
  <c r="E461" i="21" a="1"/>
  <c r="E461" i="21" s="1"/>
  <c r="E462" i="21" a="1"/>
  <c r="E462" i="21" s="1"/>
  <c r="E463" i="21" a="1"/>
  <c r="E463" i="21" s="1"/>
  <c r="E464" i="21" a="1"/>
  <c r="E464" i="21" s="1"/>
  <c r="E465" i="21" a="1"/>
  <c r="E465" i="21" s="1"/>
  <c r="E466" i="21" a="1"/>
  <c r="E466" i="21" s="1"/>
  <c r="E467" i="21" a="1"/>
  <c r="E467" i="21" s="1"/>
  <c r="E468" i="21" a="1"/>
  <c r="E468" i="21" s="1"/>
  <c r="E469" i="21" a="1"/>
  <c r="E469" i="21" s="1"/>
  <c r="E470" i="21" a="1"/>
  <c r="E470" i="21" s="1"/>
  <c r="E471" i="21" a="1"/>
  <c r="E471" i="21" s="1"/>
  <c r="E472" i="21" a="1"/>
  <c r="E472" i="21" s="1"/>
  <c r="E473" i="21" a="1"/>
  <c r="E473" i="21" s="1"/>
  <c r="E474" i="21" a="1"/>
  <c r="E474" i="21" s="1"/>
  <c r="E475" i="21" a="1"/>
  <c r="E475" i="21" s="1"/>
  <c r="E476" i="21" a="1"/>
  <c r="E476" i="21" s="1"/>
  <c r="E477" i="21" a="1"/>
  <c r="E477" i="21" s="1"/>
  <c r="E478" i="21" a="1"/>
  <c r="E478" i="21" s="1"/>
  <c r="E479" i="21" a="1"/>
  <c r="E479" i="21" s="1"/>
  <c r="E480" i="21" a="1"/>
  <c r="E480" i="21" s="1"/>
  <c r="E481" i="21" a="1"/>
  <c r="E481" i="21" s="1"/>
  <c r="E482" i="21" a="1"/>
  <c r="E482" i="21" s="1"/>
  <c r="E483" i="21" a="1"/>
  <c r="E483" i="21" s="1"/>
  <c r="E484" i="21" a="1"/>
  <c r="E484" i="21" s="1"/>
  <c r="E485" i="21" a="1"/>
  <c r="E485" i="21" s="1"/>
  <c r="E486" i="21" a="1"/>
  <c r="E486" i="21" s="1"/>
  <c r="E487" i="21" a="1"/>
  <c r="E487" i="21" s="1"/>
  <c r="E488" i="21" a="1"/>
  <c r="E488" i="21" s="1"/>
  <c r="E489" i="21" a="1"/>
  <c r="E489" i="21" s="1"/>
  <c r="E490" i="21" a="1"/>
  <c r="E490" i="21" s="1"/>
  <c r="E491" i="21" a="1"/>
  <c r="E491" i="21" s="1"/>
  <c r="E492" i="21" a="1"/>
  <c r="E492" i="21" s="1"/>
  <c r="E493" i="21" a="1"/>
  <c r="E493" i="21" s="1"/>
  <c r="E494" i="21" a="1"/>
  <c r="E494" i="21" s="1"/>
  <c r="E495" i="21" a="1"/>
  <c r="E495" i="21" s="1"/>
  <c r="E496" i="21" a="1"/>
  <c r="E496" i="21" s="1"/>
  <c r="E497" i="21" a="1"/>
  <c r="E497" i="21" s="1"/>
  <c r="E498" i="21" a="1"/>
  <c r="E498" i="21" s="1"/>
  <c r="E499" i="21" a="1"/>
  <c r="E499" i="21" s="1"/>
  <c r="E500" i="21" a="1"/>
  <c r="E500" i="21" s="1"/>
  <c r="E501" i="21" a="1"/>
  <c r="E501" i="21" s="1"/>
  <c r="E502" i="21" a="1"/>
  <c r="E502" i="21" s="1"/>
  <c r="E503" i="21" a="1"/>
  <c r="E503" i="21" s="1"/>
  <c r="E504" i="21" a="1"/>
  <c r="E504" i="21" s="1"/>
  <c r="E505" i="21" a="1"/>
  <c r="E505" i="21" s="1"/>
  <c r="E506" i="21" a="1"/>
  <c r="E506" i="21" s="1"/>
  <c r="E507" i="21" a="1"/>
  <c r="E507" i="21" s="1"/>
  <c r="E508" i="21" a="1"/>
  <c r="E508" i="21" s="1"/>
  <c r="E509" i="21" a="1"/>
  <c r="E509" i="21" s="1"/>
  <c r="E510" i="21" a="1"/>
  <c r="E510" i="21" s="1"/>
  <c r="E511" i="21" a="1"/>
  <c r="E511" i="21" s="1"/>
  <c r="E512" i="21" a="1"/>
  <c r="E512" i="21" s="1"/>
  <c r="E513" i="21" a="1"/>
  <c r="E513" i="21" s="1"/>
  <c r="E514" i="21" a="1"/>
  <c r="E514" i="21" s="1"/>
  <c r="E515" i="21" a="1"/>
  <c r="E515" i="21" s="1"/>
  <c r="E516" i="21" a="1"/>
  <c r="E516" i="21" s="1"/>
  <c r="E517" i="21" a="1"/>
  <c r="E517" i="21" s="1"/>
  <c r="E518" i="21" a="1"/>
  <c r="E518" i="21" s="1"/>
  <c r="E519" i="21" a="1"/>
  <c r="E519" i="21" s="1"/>
  <c r="E520" i="21" a="1"/>
  <c r="E520" i="21" s="1"/>
  <c r="E521" i="21" a="1"/>
  <c r="E521" i="21" s="1"/>
  <c r="E522" i="21" a="1"/>
  <c r="E522" i="21" s="1"/>
  <c r="E523" i="21" a="1"/>
  <c r="E523" i="21" s="1"/>
  <c r="E524" i="21" a="1"/>
  <c r="E524" i="21" s="1"/>
  <c r="E525" i="21" a="1"/>
  <c r="E525" i="21" s="1"/>
  <c r="E526" i="21" a="1"/>
  <c r="E526" i="21" s="1"/>
  <c r="E527" i="21" a="1"/>
  <c r="E527" i="21" s="1"/>
  <c r="E528" i="21" a="1"/>
  <c r="E528" i="21" s="1"/>
  <c r="E529" i="21" a="1"/>
  <c r="E529" i="21" s="1"/>
  <c r="E530" i="21" a="1"/>
  <c r="E530" i="21" s="1"/>
  <c r="E531" i="21" a="1"/>
  <c r="E531" i="21" s="1"/>
  <c r="E532" i="21" a="1"/>
  <c r="E532" i="21" s="1"/>
  <c r="E533" i="21" a="1"/>
  <c r="E533" i="21" s="1"/>
  <c r="E534" i="21" a="1"/>
  <c r="E534" i="21" s="1"/>
  <c r="E535" i="21" a="1"/>
  <c r="E535" i="21" s="1"/>
  <c r="E536" i="21" a="1"/>
  <c r="E536" i="21" s="1"/>
  <c r="E537" i="21" a="1"/>
  <c r="E537" i="21" s="1"/>
  <c r="E538" i="21" a="1"/>
  <c r="E538" i="21" s="1"/>
  <c r="E539" i="21" a="1"/>
  <c r="E539" i="21" s="1"/>
  <c r="E540" i="21" a="1"/>
  <c r="E540" i="21" s="1"/>
  <c r="E541" i="21" a="1"/>
  <c r="E541" i="21" s="1"/>
  <c r="E542" i="21" a="1"/>
  <c r="E542" i="21" s="1"/>
  <c r="E543" i="21" a="1"/>
  <c r="E543" i="21" s="1"/>
  <c r="E544" i="21" a="1"/>
  <c r="E544" i="21" s="1"/>
  <c r="E545" i="21" a="1"/>
  <c r="E545" i="21" s="1"/>
  <c r="E546" i="21" a="1"/>
  <c r="E546" i="21" s="1"/>
  <c r="E547" i="21" a="1"/>
  <c r="E547" i="21" s="1"/>
  <c r="E548" i="21" a="1"/>
  <c r="E548" i="21" s="1"/>
  <c r="E549" i="21" a="1"/>
  <c r="E549" i="21" s="1"/>
  <c r="E550" i="21" a="1"/>
  <c r="E550" i="21" s="1"/>
  <c r="E551" i="21" a="1"/>
  <c r="E551" i="21" s="1"/>
  <c r="E552" i="21" a="1"/>
  <c r="E552" i="21" s="1"/>
  <c r="E553" i="21" a="1"/>
  <c r="E553" i="21" s="1"/>
  <c r="E554" i="21" a="1"/>
  <c r="E554" i="21" s="1"/>
  <c r="E555" i="21" a="1"/>
  <c r="E555" i="21" s="1"/>
  <c r="E556" i="21" a="1"/>
  <c r="E556" i="21" s="1"/>
  <c r="E557" i="21" a="1"/>
  <c r="E557" i="21" s="1"/>
  <c r="E558" i="21" a="1"/>
  <c r="E558" i="21" s="1"/>
  <c r="E559" i="21" a="1"/>
  <c r="E559" i="21" s="1"/>
  <c r="E560" i="21" a="1"/>
  <c r="E560" i="21" s="1"/>
  <c r="E561" i="21" a="1"/>
  <c r="E561" i="21" s="1"/>
  <c r="E562" i="21" a="1"/>
  <c r="E562" i="21" s="1"/>
  <c r="E563" i="21" a="1"/>
  <c r="E563" i="21" s="1"/>
  <c r="E564" i="21" a="1"/>
  <c r="E564" i="21" s="1"/>
  <c r="E565" i="21" a="1"/>
  <c r="E565" i="21" s="1"/>
  <c r="E566" i="21" a="1"/>
  <c r="E566" i="21" s="1"/>
  <c r="E567" i="21" a="1"/>
  <c r="E567" i="21" s="1"/>
  <c r="E568" i="21" a="1"/>
  <c r="E568" i="21" s="1"/>
  <c r="E569" i="21" a="1"/>
  <c r="E569" i="21" s="1"/>
  <c r="E570" i="21" a="1"/>
  <c r="E570" i="21" s="1"/>
  <c r="E571" i="21" a="1"/>
  <c r="E571" i="21" s="1"/>
  <c r="E572" i="21" a="1"/>
  <c r="E572" i="21" s="1"/>
  <c r="E573" i="21" a="1"/>
  <c r="E573" i="21" s="1"/>
  <c r="E574" i="21" a="1"/>
  <c r="E574" i="21" s="1"/>
  <c r="E575" i="21" a="1"/>
  <c r="E575" i="21" s="1"/>
  <c r="E576" i="21" a="1"/>
  <c r="E576" i="21" s="1"/>
  <c r="E577" i="21" a="1"/>
  <c r="E577" i="21" s="1"/>
  <c r="E578" i="21" a="1"/>
  <c r="E578" i="21" s="1"/>
  <c r="E579" i="21" a="1"/>
  <c r="E579" i="21" s="1"/>
  <c r="E580" i="21" a="1"/>
  <c r="E580" i="21" s="1"/>
  <c r="E581" i="21" a="1"/>
  <c r="E581" i="21" s="1"/>
  <c r="E582" i="21" a="1"/>
  <c r="E582" i="21" s="1"/>
  <c r="E583" i="21" a="1"/>
  <c r="E583" i="21" s="1"/>
  <c r="E584" i="21" a="1"/>
  <c r="E584" i="21" s="1"/>
  <c r="E585" i="21" a="1"/>
  <c r="E585" i="21" s="1"/>
  <c r="E586" i="21" a="1"/>
  <c r="E586" i="21" s="1"/>
  <c r="E587" i="21" a="1"/>
  <c r="E587" i="21" s="1"/>
  <c r="E588" i="21" a="1"/>
  <c r="E588" i="21" s="1"/>
  <c r="E589" i="21" a="1"/>
  <c r="E589" i="21" s="1"/>
  <c r="E590" i="21" a="1"/>
  <c r="E590" i="21" s="1"/>
  <c r="E591" i="21" a="1"/>
  <c r="E591" i="21" s="1"/>
  <c r="E592" i="21" a="1"/>
  <c r="E592" i="21" s="1"/>
  <c r="E593" i="21" a="1"/>
  <c r="E593" i="21" s="1"/>
  <c r="E594" i="21" a="1"/>
  <c r="E594" i="21" s="1"/>
  <c r="E595" i="21" a="1"/>
  <c r="E595" i="21" s="1"/>
  <c r="E596" i="21" a="1"/>
  <c r="E596" i="21" s="1"/>
  <c r="E597" i="21" a="1"/>
  <c r="E597" i="21" s="1"/>
  <c r="E598" i="21" a="1"/>
  <c r="E598" i="21" s="1"/>
  <c r="E599" i="21" a="1"/>
  <c r="E599" i="21" s="1"/>
  <c r="E600" i="21" a="1"/>
  <c r="E600" i="21" s="1"/>
  <c r="E601" i="21" a="1"/>
  <c r="E601" i="21" s="1"/>
  <c r="E602" i="21" a="1"/>
  <c r="E602" i="21" s="1"/>
  <c r="E603" i="21" a="1"/>
  <c r="E603" i="21" s="1"/>
  <c r="E604" i="21" a="1"/>
  <c r="E604" i="21" s="1"/>
  <c r="E605" i="21" a="1"/>
  <c r="E605" i="21" s="1"/>
  <c r="E606" i="21" a="1"/>
  <c r="E606" i="21" s="1"/>
  <c r="E607" i="21" a="1"/>
  <c r="E607" i="21" s="1"/>
  <c r="E608" i="21" a="1"/>
  <c r="E608" i="21" s="1"/>
  <c r="E609" i="21" a="1"/>
  <c r="E609" i="21" s="1"/>
  <c r="E610" i="21" a="1"/>
  <c r="E610" i="21" s="1"/>
  <c r="E611" i="21" a="1"/>
  <c r="E611" i="21" s="1"/>
  <c r="E612" i="21" a="1"/>
  <c r="E612" i="21" s="1"/>
  <c r="E613" i="21" a="1"/>
  <c r="E613" i="21" s="1"/>
  <c r="E614" i="21" a="1"/>
  <c r="E614" i="21" s="1"/>
  <c r="E615" i="21" a="1"/>
  <c r="E615" i="21" s="1"/>
  <c r="E616" i="21" a="1"/>
  <c r="E616" i="21" s="1"/>
  <c r="E617" i="21" a="1"/>
  <c r="E617" i="21" s="1"/>
  <c r="E618" i="21" a="1"/>
  <c r="E618" i="21" s="1"/>
  <c r="E619" i="21" a="1"/>
  <c r="E619" i="21" s="1"/>
  <c r="E620" i="21" a="1"/>
  <c r="E620" i="21" s="1"/>
  <c r="E621" i="21" a="1"/>
  <c r="E621" i="21" s="1"/>
  <c r="E622" i="21" a="1"/>
  <c r="E622" i="21" s="1"/>
  <c r="E623" i="21" a="1"/>
  <c r="E623" i="21" s="1"/>
  <c r="E624" i="21" a="1"/>
  <c r="E624" i="21" s="1"/>
  <c r="E625" i="21" a="1"/>
  <c r="E625" i="21" s="1"/>
  <c r="E626" i="21" a="1"/>
  <c r="E626" i="21" s="1"/>
  <c r="E627" i="21" a="1"/>
  <c r="E627" i="21" s="1"/>
  <c r="E628" i="21" a="1"/>
  <c r="E628" i="21" s="1"/>
  <c r="E629" i="21" a="1"/>
  <c r="E629" i="21" s="1"/>
  <c r="E630" i="21" a="1"/>
  <c r="E630" i="21" s="1"/>
  <c r="E631" i="21" a="1"/>
  <c r="E631" i="21" s="1"/>
  <c r="E632" i="21" a="1"/>
  <c r="E632" i="21" s="1"/>
  <c r="E633" i="21" a="1"/>
  <c r="E633" i="21" s="1"/>
  <c r="E634" i="21" a="1"/>
  <c r="E634" i="21" s="1"/>
  <c r="E635" i="21" a="1"/>
  <c r="E635" i="21" s="1"/>
  <c r="E636" i="21" a="1"/>
  <c r="E636" i="21" s="1"/>
  <c r="E637" i="21" a="1"/>
  <c r="E637" i="21" s="1"/>
  <c r="E638" i="21" a="1"/>
  <c r="E638" i="21" s="1"/>
  <c r="E639" i="21" a="1"/>
  <c r="E639" i="21" s="1"/>
  <c r="E640" i="21" a="1"/>
  <c r="E640" i="21" s="1"/>
  <c r="E641" i="21" a="1"/>
  <c r="E641" i="21" s="1"/>
  <c r="E642" i="21" a="1"/>
  <c r="E642" i="21" s="1"/>
  <c r="E643" i="21" a="1"/>
  <c r="E643" i="21" s="1"/>
  <c r="E644" i="21" a="1"/>
  <c r="E644" i="21" s="1"/>
  <c r="E645" i="21" a="1"/>
  <c r="E645" i="21" s="1"/>
  <c r="E646" i="21" a="1"/>
  <c r="E646" i="21" s="1"/>
  <c r="E647" i="21" a="1"/>
  <c r="E647" i="21" s="1"/>
  <c r="E648" i="21" a="1"/>
  <c r="E648" i="21" s="1"/>
  <c r="E649" i="21" a="1"/>
  <c r="E649" i="21" s="1"/>
  <c r="E650" i="21" a="1"/>
  <c r="E650" i="21" s="1"/>
  <c r="E651" i="21" a="1"/>
  <c r="E651" i="21" s="1"/>
  <c r="E652" i="21" a="1"/>
  <c r="E652" i="21" s="1"/>
  <c r="E653" i="21" a="1"/>
  <c r="E653" i="21" s="1"/>
  <c r="E654" i="21" a="1"/>
  <c r="E654" i="21" s="1"/>
  <c r="E655" i="21" a="1"/>
  <c r="E655" i="21" s="1"/>
  <c r="E656" i="21" a="1"/>
  <c r="E656" i="21" s="1"/>
  <c r="E657" i="21" a="1"/>
  <c r="E657" i="21" s="1"/>
  <c r="E658" i="21" a="1"/>
  <c r="E658" i="21" s="1"/>
  <c r="E659" i="21" a="1"/>
  <c r="E659" i="21" s="1"/>
  <c r="E660" i="21" a="1"/>
  <c r="E660" i="21" s="1"/>
  <c r="E661" i="21" a="1"/>
  <c r="E661" i="21" s="1"/>
  <c r="E662" i="21" a="1"/>
  <c r="E662" i="21" s="1"/>
  <c r="E663" i="21" a="1"/>
  <c r="E663" i="21" s="1"/>
  <c r="E664" i="21" a="1"/>
  <c r="E664" i="21" s="1"/>
  <c r="E665" i="21" a="1"/>
  <c r="E665" i="21" s="1"/>
  <c r="E666" i="21" a="1"/>
  <c r="E666" i="21" s="1"/>
  <c r="E667" i="21" a="1"/>
  <c r="E667" i="21" s="1"/>
  <c r="E668" i="21" a="1"/>
  <c r="E668" i="21" s="1"/>
  <c r="E669" i="21" a="1"/>
  <c r="E669" i="21" s="1"/>
  <c r="E670" i="21" a="1"/>
  <c r="E670" i="21" s="1"/>
  <c r="E671" i="21" a="1"/>
  <c r="E671" i="21" s="1"/>
  <c r="E672" i="21" a="1"/>
  <c r="E672" i="21" s="1"/>
  <c r="E673" i="21" a="1"/>
  <c r="E673" i="21" s="1"/>
  <c r="E674" i="21" a="1"/>
  <c r="E674" i="21" s="1"/>
  <c r="E675" i="21" a="1"/>
  <c r="E675" i="21" s="1"/>
  <c r="E676" i="21" a="1"/>
  <c r="E676" i="21" s="1"/>
  <c r="E677" i="21" a="1"/>
  <c r="E677" i="21" s="1"/>
  <c r="E678" i="21" a="1"/>
  <c r="E678" i="21" s="1"/>
  <c r="E679" i="21" a="1"/>
  <c r="E679" i="21" s="1"/>
  <c r="E680" i="21" a="1"/>
  <c r="E680" i="21" s="1"/>
  <c r="E681" i="21" a="1"/>
  <c r="E681" i="21" s="1"/>
  <c r="E682" i="21" a="1"/>
  <c r="E682" i="21" s="1"/>
  <c r="E683" i="21" a="1"/>
  <c r="E683" i="21" s="1"/>
  <c r="E684" i="21" a="1"/>
  <c r="E684" i="21" s="1"/>
  <c r="E685" i="21" a="1"/>
  <c r="E685" i="21" s="1"/>
  <c r="E686" i="21" a="1"/>
  <c r="E686" i="21" s="1"/>
  <c r="E687" i="21" a="1"/>
  <c r="E687" i="21" s="1"/>
  <c r="E688" i="21" a="1"/>
  <c r="E688" i="21" s="1"/>
  <c r="E689" i="21" a="1"/>
  <c r="E689" i="21" s="1"/>
  <c r="E690" i="21" a="1"/>
  <c r="E690" i="21" s="1"/>
  <c r="E691" i="21" a="1"/>
  <c r="E691" i="21" s="1"/>
  <c r="E692" i="21" a="1"/>
  <c r="E692" i="21" s="1"/>
  <c r="E693" i="21" a="1"/>
  <c r="E693" i="21" s="1"/>
  <c r="E694" i="21" a="1"/>
  <c r="E694" i="21" s="1"/>
  <c r="E695" i="21" a="1"/>
  <c r="E695" i="21" s="1"/>
  <c r="E696" i="21" a="1"/>
  <c r="E696" i="21" s="1"/>
  <c r="E697" i="21" a="1"/>
  <c r="E697" i="21" s="1"/>
  <c r="E698" i="21" a="1"/>
  <c r="E698" i="21" s="1"/>
  <c r="E699" i="21" a="1"/>
  <c r="E699" i="21" s="1"/>
  <c r="E700" i="21" a="1"/>
  <c r="E700" i="21" s="1"/>
  <c r="E701" i="21" a="1"/>
  <c r="E701" i="21" s="1"/>
  <c r="E702" i="21" a="1"/>
  <c r="E702" i="21" s="1"/>
  <c r="E703" i="21" a="1"/>
  <c r="E703" i="21" s="1"/>
  <c r="E704" i="21" a="1"/>
  <c r="E704" i="21" s="1"/>
  <c r="E705" i="21" a="1"/>
  <c r="E705" i="21" s="1"/>
  <c r="E706" i="21" a="1"/>
  <c r="E706" i="21" s="1"/>
  <c r="E707" i="21" a="1"/>
  <c r="E707" i="21" s="1"/>
  <c r="E708" i="21" a="1"/>
  <c r="E708" i="21" s="1"/>
  <c r="E709" i="21" a="1"/>
  <c r="E709" i="21" s="1"/>
  <c r="E710" i="21" a="1"/>
  <c r="E710" i="21" s="1"/>
  <c r="E711" i="21" a="1"/>
  <c r="E711" i="21" s="1"/>
  <c r="E712" i="21" a="1"/>
  <c r="E712" i="21" s="1"/>
  <c r="E713" i="21" a="1"/>
  <c r="E713" i="21" s="1"/>
  <c r="E714" i="21" a="1"/>
  <c r="E714" i="21" s="1"/>
  <c r="E715" i="21" a="1"/>
  <c r="E715" i="21" s="1"/>
  <c r="E716" i="21" a="1"/>
  <c r="E716" i="21" s="1"/>
  <c r="E717" i="21" a="1"/>
  <c r="E717" i="21" s="1"/>
  <c r="E718" i="21" a="1"/>
  <c r="E718" i="21" s="1"/>
  <c r="E719" i="21" a="1"/>
  <c r="E719" i="21" s="1"/>
  <c r="E720" i="21" a="1"/>
  <c r="E720" i="21" s="1"/>
  <c r="E721" i="21" a="1"/>
  <c r="E721" i="21" s="1"/>
  <c r="E722" i="21" a="1"/>
  <c r="E722" i="21" s="1"/>
  <c r="E723" i="21" a="1"/>
  <c r="E723" i="21" s="1"/>
  <c r="E724" i="21" a="1"/>
  <c r="E724" i="21" s="1"/>
  <c r="E725" i="21" a="1"/>
  <c r="E725" i="21" s="1"/>
  <c r="E726" i="21" a="1"/>
  <c r="E726" i="21" s="1"/>
  <c r="E727" i="21" a="1"/>
  <c r="E727" i="21" s="1"/>
  <c r="E728" i="21" a="1"/>
  <c r="E728" i="21" s="1"/>
  <c r="E729" i="21" a="1"/>
  <c r="E729" i="21" s="1"/>
  <c r="E730" i="21" a="1"/>
  <c r="E730" i="21" s="1"/>
  <c r="E731" i="21" a="1"/>
  <c r="E731" i="21" s="1"/>
  <c r="E732" i="21" a="1"/>
  <c r="E732" i="21" s="1"/>
  <c r="E733" i="21" a="1"/>
  <c r="E733" i="21" s="1"/>
  <c r="E734" i="21" a="1"/>
  <c r="E734" i="21" s="1"/>
  <c r="E735" i="21" a="1"/>
  <c r="E735" i="21" s="1"/>
  <c r="E736" i="21" a="1"/>
  <c r="E736" i="21" s="1"/>
  <c r="E737" i="21" a="1"/>
  <c r="E737" i="21" s="1"/>
  <c r="E738" i="21" a="1"/>
  <c r="E738" i="21" s="1"/>
  <c r="E739" i="21" a="1"/>
  <c r="E739" i="21" s="1"/>
  <c r="E740" i="21" a="1"/>
  <c r="E740" i="21" s="1"/>
  <c r="E741" i="21" a="1"/>
  <c r="E741" i="21" s="1"/>
  <c r="E742" i="21" a="1"/>
  <c r="E742" i="21" s="1"/>
  <c r="E743" i="21" a="1"/>
  <c r="E743" i="21" s="1"/>
  <c r="E744" i="21" a="1"/>
  <c r="E744" i="21" s="1"/>
  <c r="E745" i="21" a="1"/>
  <c r="E745" i="21" s="1"/>
  <c r="E746" i="21" a="1"/>
  <c r="E746" i="21" s="1"/>
  <c r="E747" i="21" a="1"/>
  <c r="E747" i="21" s="1"/>
  <c r="F747" i="21" s="1"/>
  <c r="E748" i="21" a="1"/>
  <c r="E748" i="21" s="1"/>
  <c r="E749" i="21" a="1"/>
  <c r="E749" i="21" s="1"/>
  <c r="E750" i="21" a="1"/>
  <c r="E750" i="21" s="1"/>
  <c r="E751" i="21" a="1"/>
  <c r="E751" i="21" s="1"/>
  <c r="E752" i="21" a="1"/>
  <c r="E752" i="21" s="1"/>
  <c r="E753" i="21" a="1"/>
  <c r="E753" i="21" s="1"/>
  <c r="E754" i="21" a="1"/>
  <c r="E754" i="21" s="1"/>
  <c r="E755" i="21" a="1"/>
  <c r="E755" i="21" s="1"/>
  <c r="E756" i="21" a="1"/>
  <c r="E756" i="21" s="1"/>
  <c r="E757" i="21" a="1"/>
  <c r="E757" i="21" s="1"/>
  <c r="E758" i="21" a="1"/>
  <c r="E758" i="21" s="1"/>
  <c r="E759" i="21" a="1"/>
  <c r="E759" i="21" s="1"/>
  <c r="E760" i="21" a="1"/>
  <c r="E760" i="21" s="1"/>
  <c r="E761" i="21" a="1"/>
  <c r="E761" i="21" s="1"/>
  <c r="E762" i="21" a="1"/>
  <c r="E762" i="21" s="1"/>
  <c r="E763" i="21" a="1"/>
  <c r="E763" i="21" s="1"/>
  <c r="E764" i="21" a="1"/>
  <c r="E764" i="21" s="1"/>
  <c r="E765" i="21" a="1"/>
  <c r="E765" i="21" s="1"/>
  <c r="E766" i="21" a="1"/>
  <c r="E766" i="21" s="1"/>
  <c r="E767" i="21" a="1"/>
  <c r="E767" i="21" s="1"/>
  <c r="E768" i="21" a="1"/>
  <c r="E768" i="21" s="1"/>
  <c r="E769" i="21" a="1"/>
  <c r="E769" i="21" s="1"/>
  <c r="E770" i="21" a="1"/>
  <c r="E770" i="21" s="1"/>
  <c r="E771" i="21" a="1"/>
  <c r="E771" i="21" s="1"/>
  <c r="E772" i="21" a="1"/>
  <c r="E772" i="21" s="1"/>
  <c r="E773" i="21" a="1"/>
  <c r="E773" i="21" s="1"/>
  <c r="E774" i="21" a="1"/>
  <c r="E774" i="21" s="1"/>
  <c r="E775" i="21" a="1"/>
  <c r="E775" i="21" s="1"/>
  <c r="E776" i="21" a="1"/>
  <c r="E776" i="21" s="1"/>
  <c r="E777" i="21" a="1"/>
  <c r="E777" i="21" s="1"/>
  <c r="E778" i="21" a="1"/>
  <c r="E778" i="21" s="1"/>
  <c r="E779" i="21" a="1"/>
  <c r="E779" i="21" s="1"/>
  <c r="E780" i="21" a="1"/>
  <c r="E780" i="21" s="1"/>
  <c r="E781" i="21" a="1"/>
  <c r="E781" i="21" s="1"/>
  <c r="E782" i="21" a="1"/>
  <c r="E782" i="21" s="1"/>
  <c r="E783" i="21" a="1"/>
  <c r="E783" i="21" s="1"/>
  <c r="E784" i="21" a="1"/>
  <c r="E784" i="21" s="1"/>
  <c r="E785" i="21" a="1"/>
  <c r="E785" i="21" s="1"/>
  <c r="E786" i="21" a="1"/>
  <c r="E786" i="21" s="1"/>
  <c r="E787" i="21" a="1"/>
  <c r="E787" i="21" s="1"/>
  <c r="E788" i="21" a="1"/>
  <c r="E788" i="21" s="1"/>
  <c r="E789" i="21" a="1"/>
  <c r="E789" i="21" s="1"/>
  <c r="E790" i="21" a="1"/>
  <c r="E790" i="21" s="1"/>
  <c r="E791" i="21" a="1"/>
  <c r="E791" i="21" s="1"/>
  <c r="E792" i="21" a="1"/>
  <c r="E792" i="21" s="1"/>
  <c r="E793" i="21" a="1"/>
  <c r="E793" i="21" s="1"/>
  <c r="E794" i="21" a="1"/>
  <c r="E794" i="21" s="1"/>
  <c r="E795" i="21" a="1"/>
  <c r="E795" i="21" s="1"/>
  <c r="E796" i="21" a="1"/>
  <c r="E796" i="21" s="1"/>
  <c r="E797" i="21" a="1"/>
  <c r="E797" i="21" s="1"/>
  <c r="E798" i="21" a="1"/>
  <c r="E798" i="21" s="1"/>
  <c r="E799" i="21" a="1"/>
  <c r="E799" i="21" s="1"/>
  <c r="E800" i="21" a="1"/>
  <c r="E800" i="21" s="1"/>
  <c r="E801" i="21" a="1"/>
  <c r="E801" i="21" s="1"/>
  <c r="E802" i="21" a="1"/>
  <c r="E802" i="21" s="1"/>
  <c r="E803" i="21" a="1"/>
  <c r="E803" i="21" s="1"/>
  <c r="E804" i="21" a="1"/>
  <c r="E804" i="21" s="1"/>
  <c r="E805" i="21" a="1"/>
  <c r="E805" i="21" s="1"/>
  <c r="E806" i="21" a="1"/>
  <c r="E806" i="21" s="1"/>
  <c r="E807" i="21" a="1"/>
  <c r="E807" i="21" s="1"/>
  <c r="E808" i="21" a="1"/>
  <c r="E808" i="21" s="1"/>
  <c r="E809" i="21" a="1"/>
  <c r="E809" i="21" s="1"/>
  <c r="E810" i="21" a="1"/>
  <c r="E810" i="21" s="1"/>
  <c r="E811" i="21" a="1"/>
  <c r="E811" i="21" s="1"/>
  <c r="E812" i="21" a="1"/>
  <c r="E812" i="21" s="1"/>
  <c r="E813" i="21" a="1"/>
  <c r="E813" i="21" s="1"/>
  <c r="E814" i="21" a="1"/>
  <c r="E814" i="21" s="1"/>
  <c r="E815" i="21" a="1"/>
  <c r="E815" i="21" s="1"/>
  <c r="E816" i="21" a="1"/>
  <c r="E816" i="21" s="1"/>
  <c r="E817" i="21" a="1"/>
  <c r="E817" i="21" s="1"/>
  <c r="E818" i="21" a="1"/>
  <c r="E818" i="21" s="1"/>
  <c r="E819" i="21" a="1"/>
  <c r="E819" i="21" s="1"/>
  <c r="E820" i="21" a="1"/>
  <c r="E820" i="21" s="1"/>
  <c r="E821" i="21" a="1"/>
  <c r="E821" i="21" s="1"/>
  <c r="E822" i="21" a="1"/>
  <c r="E822" i="21" s="1"/>
  <c r="E823" i="21" a="1"/>
  <c r="E823" i="21" s="1"/>
  <c r="E824" i="21" a="1"/>
  <c r="E824" i="21" s="1"/>
  <c r="E825" i="21" a="1"/>
  <c r="E825" i="21" s="1"/>
  <c r="E826" i="21" a="1"/>
  <c r="E826" i="21" s="1"/>
  <c r="E827" i="21" a="1"/>
  <c r="E827" i="21" s="1"/>
  <c r="E828" i="21" a="1"/>
  <c r="E828" i="21" s="1"/>
  <c r="E829" i="21" a="1"/>
  <c r="E829" i="21" s="1"/>
  <c r="E830" i="21" a="1"/>
  <c r="E830" i="21" s="1"/>
  <c r="E831" i="21" a="1"/>
  <c r="E831" i="21" s="1"/>
  <c r="E832" i="21" a="1"/>
  <c r="E832" i="21" s="1"/>
  <c r="E833" i="21" a="1"/>
  <c r="E833" i="21" s="1"/>
  <c r="E834" i="21" a="1"/>
  <c r="E834" i="21" s="1"/>
  <c r="E835" i="21" a="1"/>
  <c r="E835" i="21" s="1"/>
  <c r="E836" i="21" a="1"/>
  <c r="E836" i="21" s="1"/>
  <c r="E837" i="21" a="1"/>
  <c r="E837" i="21" s="1"/>
  <c r="E838" i="21" a="1"/>
  <c r="E838" i="21" s="1"/>
  <c r="E839" i="21" a="1"/>
  <c r="E839" i="21" s="1"/>
  <c r="E840" i="21" a="1"/>
  <c r="E840" i="21" s="1"/>
  <c r="E841" i="21" a="1"/>
  <c r="E841" i="21" s="1"/>
  <c r="E842" i="21" a="1"/>
  <c r="E842" i="21" s="1"/>
  <c r="E843" i="21" a="1"/>
  <c r="E843" i="21" s="1"/>
  <c r="E844" i="21" a="1"/>
  <c r="E844" i="21" s="1"/>
  <c r="E845" i="21" a="1"/>
  <c r="E845" i="21" s="1"/>
  <c r="E846" i="21" a="1"/>
  <c r="E846" i="21" s="1"/>
  <c r="E847" i="21" a="1"/>
  <c r="E847" i="21" s="1"/>
  <c r="E848" i="21" a="1"/>
  <c r="E848" i="21" s="1"/>
  <c r="E849" i="21" a="1"/>
  <c r="E849" i="21" s="1"/>
  <c r="E850" i="21" a="1"/>
  <c r="E850" i="21" s="1"/>
  <c r="E851" i="21" a="1"/>
  <c r="E851" i="21" s="1"/>
  <c r="E852" i="21" a="1"/>
  <c r="E852" i="21" s="1"/>
  <c r="E853" i="21" a="1"/>
  <c r="E853" i="21" s="1"/>
  <c r="E854" i="21" a="1"/>
  <c r="E854" i="21" s="1"/>
  <c r="E855" i="21" a="1"/>
  <c r="E855" i="21" s="1"/>
  <c r="E856" i="21" a="1"/>
  <c r="E856" i="21" s="1"/>
  <c r="E857" i="21" a="1"/>
  <c r="E857" i="21" s="1"/>
  <c r="E858" i="21" a="1"/>
  <c r="E858" i="21" s="1"/>
  <c r="E859" i="21" a="1"/>
  <c r="E859" i="21" s="1"/>
  <c r="E860" i="21" a="1"/>
  <c r="E860" i="21" s="1"/>
  <c r="E861" i="21" a="1"/>
  <c r="E861" i="21" s="1"/>
  <c r="E862" i="21" a="1"/>
  <c r="E862" i="21" s="1"/>
  <c r="E863" i="21" a="1"/>
  <c r="E863" i="21" s="1"/>
  <c r="E864" i="21" a="1"/>
  <c r="E864" i="21" s="1"/>
  <c r="E865" i="21" a="1"/>
  <c r="E865" i="21" s="1"/>
  <c r="E866" i="21" a="1"/>
  <c r="E866" i="21" s="1"/>
  <c r="E867" i="21" a="1"/>
  <c r="E867" i="21" s="1"/>
  <c r="E868" i="21" a="1"/>
  <c r="E868" i="21" s="1"/>
  <c r="E869" i="21" a="1"/>
  <c r="E869" i="21" s="1"/>
  <c r="E870" i="21" a="1"/>
  <c r="E870" i="21" s="1"/>
  <c r="E871" i="21" a="1"/>
  <c r="E871" i="21" s="1"/>
  <c r="E872" i="21" a="1"/>
  <c r="E872" i="21" s="1"/>
  <c r="E873" i="21" a="1"/>
  <c r="E873" i="21" s="1"/>
  <c r="E874" i="21" a="1"/>
  <c r="E874" i="21" s="1"/>
  <c r="E875" i="21" a="1"/>
  <c r="E875" i="21" s="1"/>
  <c r="E876" i="21" a="1"/>
  <c r="E876" i="21" s="1"/>
  <c r="E877" i="21" a="1"/>
  <c r="E877" i="21" s="1"/>
  <c r="E878" i="21" a="1"/>
  <c r="E878" i="21" s="1"/>
  <c r="E879" i="21" a="1"/>
  <c r="E879" i="21" s="1"/>
  <c r="E880" i="21" a="1"/>
  <c r="E880" i="21" s="1"/>
  <c r="E881" i="21" a="1"/>
  <c r="E881" i="21" s="1"/>
  <c r="E882" i="21" a="1"/>
  <c r="E882" i="21" s="1"/>
  <c r="E883" i="21" a="1"/>
  <c r="E883" i="21" s="1"/>
  <c r="E884" i="21" a="1"/>
  <c r="E884" i="21" s="1"/>
  <c r="E885" i="21" a="1"/>
  <c r="E885" i="21" s="1"/>
  <c r="E886" i="21" a="1"/>
  <c r="E886" i="21" s="1"/>
  <c r="E887" i="21" a="1"/>
  <c r="E887" i="21" s="1"/>
  <c r="E888" i="21" a="1"/>
  <c r="E888" i="21" s="1"/>
  <c r="E889" i="21" a="1"/>
  <c r="E889" i="21" s="1"/>
  <c r="E890" i="21" a="1"/>
  <c r="E890" i="21" s="1"/>
  <c r="E891" i="21" a="1"/>
  <c r="E891" i="21" s="1"/>
  <c r="E892" i="21" a="1"/>
  <c r="E892" i="21" s="1"/>
  <c r="E893" i="21" a="1"/>
  <c r="E893" i="21" s="1"/>
  <c r="E894" i="21" a="1"/>
  <c r="E894" i="21" s="1"/>
  <c r="E895" i="21" a="1"/>
  <c r="E895" i="21" s="1"/>
  <c r="E896" i="21" a="1"/>
  <c r="E896" i="21" s="1"/>
  <c r="E897" i="21" a="1"/>
  <c r="E897" i="21" s="1"/>
  <c r="E898" i="21" a="1"/>
  <c r="E898" i="21" s="1"/>
  <c r="E899" i="21" a="1"/>
  <c r="E899" i="21" s="1"/>
  <c r="E900" i="21" a="1"/>
  <c r="E900" i="21" s="1"/>
  <c r="E901" i="21" a="1"/>
  <c r="E901" i="21" s="1"/>
  <c r="E902" i="21" a="1"/>
  <c r="E902" i="21" s="1"/>
  <c r="E903" i="21" a="1"/>
  <c r="E903" i="21" s="1"/>
  <c r="E904" i="21" a="1"/>
  <c r="E904" i="21" s="1"/>
  <c r="E905" i="21" a="1"/>
  <c r="E905" i="21" s="1"/>
  <c r="E906" i="21" a="1"/>
  <c r="E906" i="21" s="1"/>
  <c r="E907" i="21" a="1"/>
  <c r="E907" i="21" s="1"/>
  <c r="E908" i="21" a="1"/>
  <c r="E908" i="21" s="1"/>
  <c r="E909" i="21" a="1"/>
  <c r="E909" i="21" s="1"/>
  <c r="E910" i="21" a="1"/>
  <c r="E910" i="21" s="1"/>
  <c r="E911" i="21" a="1"/>
  <c r="E911" i="21" s="1"/>
  <c r="E912" i="21" a="1"/>
  <c r="E912" i="21" s="1"/>
  <c r="E913" i="21" a="1"/>
  <c r="E913" i="21" s="1"/>
  <c r="E914" i="21" a="1"/>
  <c r="E914" i="21" s="1"/>
  <c r="E915" i="21" a="1"/>
  <c r="E915" i="21" s="1"/>
  <c r="E916" i="21" a="1"/>
  <c r="E916" i="21" s="1"/>
  <c r="E917" i="21" a="1"/>
  <c r="E917" i="21" s="1"/>
  <c r="E918" i="21" a="1"/>
  <c r="E918" i="21" s="1"/>
  <c r="E919" i="21" a="1"/>
  <c r="E919" i="21" s="1"/>
  <c r="E920" i="21" a="1"/>
  <c r="E920" i="21" s="1"/>
  <c r="E921" i="21" a="1"/>
  <c r="E921" i="21" s="1"/>
  <c r="E922" i="21" a="1"/>
  <c r="E922" i="21" s="1"/>
  <c r="E923" i="21" a="1"/>
  <c r="E923" i="21" s="1"/>
  <c r="E924" i="21" a="1"/>
  <c r="E924" i="21" s="1"/>
  <c r="E925" i="21" a="1"/>
  <c r="E925" i="21" s="1"/>
  <c r="E926" i="21" a="1"/>
  <c r="E926" i="21" s="1"/>
  <c r="E927" i="21" a="1"/>
  <c r="E927" i="21" s="1"/>
  <c r="E928" i="21" a="1"/>
  <c r="E928" i="21" s="1"/>
  <c r="E929" i="21" a="1"/>
  <c r="E929" i="21" s="1"/>
  <c r="E930" i="21" a="1"/>
  <c r="E930" i="21" s="1"/>
  <c r="E931" i="21" a="1"/>
  <c r="E931" i="21" s="1"/>
  <c r="E932" i="21" a="1"/>
  <c r="E932" i="21" s="1"/>
  <c r="E933" i="21" a="1"/>
  <c r="E933" i="21" s="1"/>
  <c r="E934" i="21" a="1"/>
  <c r="E934" i="21" s="1"/>
  <c r="E935" i="21" a="1"/>
  <c r="E935" i="21" s="1"/>
  <c r="E936" i="21" a="1"/>
  <c r="E936" i="21" s="1"/>
  <c r="E937" i="21" a="1"/>
  <c r="E937" i="21" s="1"/>
  <c r="E938" i="21" a="1"/>
  <c r="E938" i="21" s="1"/>
  <c r="E939" i="21" a="1"/>
  <c r="E939" i="21" s="1"/>
  <c r="E940" i="21" a="1"/>
  <c r="E940" i="21" s="1"/>
  <c r="E941" i="21" a="1"/>
  <c r="E941" i="21" s="1"/>
  <c r="E942" i="21" a="1"/>
  <c r="E942" i="21" s="1"/>
  <c r="E943" i="21" a="1"/>
  <c r="E943" i="21" s="1"/>
  <c r="E944" i="21" a="1"/>
  <c r="E944" i="21" s="1"/>
  <c r="E945" i="21" a="1"/>
  <c r="E945" i="21" s="1"/>
  <c r="E946" i="21" a="1"/>
  <c r="E946" i="21" s="1"/>
  <c r="E947" i="21" a="1"/>
  <c r="E947" i="21" s="1"/>
  <c r="E948" i="21" a="1"/>
  <c r="E948" i="21" s="1"/>
  <c r="E949" i="21" a="1"/>
  <c r="E949" i="21" s="1"/>
  <c r="E950" i="21" a="1"/>
  <c r="E950" i="21" s="1"/>
  <c r="E951" i="21" a="1"/>
  <c r="E951" i="21" s="1"/>
  <c r="E952" i="21" a="1"/>
  <c r="E952" i="21" s="1"/>
  <c r="E953" i="21" a="1"/>
  <c r="E953" i="21" s="1"/>
  <c r="E954" i="21" a="1"/>
  <c r="E954" i="21" s="1"/>
  <c r="E955" i="21" a="1"/>
  <c r="E955" i="21" s="1"/>
  <c r="E956" i="21" a="1"/>
  <c r="E956" i="21" s="1"/>
  <c r="E957" i="21" a="1"/>
  <c r="E957" i="21" s="1"/>
  <c r="E958" i="21" a="1"/>
  <c r="E958" i="21" s="1"/>
  <c r="E959" i="21" a="1"/>
  <c r="E959" i="21" s="1"/>
  <c r="E960" i="21" a="1"/>
  <c r="E960" i="21" s="1"/>
  <c r="E961" i="21" a="1"/>
  <c r="E961" i="21" s="1"/>
  <c r="E962" i="21" a="1"/>
  <c r="E962" i="21" s="1"/>
  <c r="E963" i="21" a="1"/>
  <c r="E963" i="21" s="1"/>
  <c r="E964" i="21" a="1"/>
  <c r="E964" i="21" s="1"/>
  <c r="E965" i="21" a="1"/>
  <c r="E965" i="21" s="1"/>
  <c r="E966" i="21" a="1"/>
  <c r="E966" i="21" s="1"/>
  <c r="E967" i="21" a="1"/>
  <c r="E967" i="21" s="1"/>
  <c r="E968" i="21" a="1"/>
  <c r="E968" i="21" s="1"/>
  <c r="E969" i="21" a="1"/>
  <c r="E969" i="21" s="1"/>
  <c r="E970" i="21" a="1"/>
  <c r="E970" i="21" s="1"/>
  <c r="E971" i="21" a="1"/>
  <c r="E971" i="21" s="1"/>
  <c r="E972" i="21" a="1"/>
  <c r="E972" i="21" s="1"/>
  <c r="E973" i="21" a="1"/>
  <c r="E973" i="21" s="1"/>
  <c r="E974" i="21" a="1"/>
  <c r="E974" i="21" s="1"/>
  <c r="E975" i="21" a="1"/>
  <c r="E975" i="21" s="1"/>
  <c r="E976" i="21" a="1"/>
  <c r="E976" i="21" s="1"/>
  <c r="E977" i="21" a="1"/>
  <c r="E977" i="21" s="1"/>
  <c r="E978" i="21" a="1"/>
  <c r="E978" i="21" s="1"/>
  <c r="E979" i="21" a="1"/>
  <c r="E979" i="21" s="1"/>
  <c r="E980" i="21" a="1"/>
  <c r="E980" i="21" s="1"/>
  <c r="E981" i="21" a="1"/>
  <c r="E981" i="21" s="1"/>
  <c r="E982" i="21" a="1"/>
  <c r="E982" i="21" s="1"/>
  <c r="E983" i="21" a="1"/>
  <c r="E983" i="21" s="1"/>
  <c r="E984" i="21" a="1"/>
  <c r="E984" i="21" s="1"/>
  <c r="E985" i="21" a="1"/>
  <c r="E985" i="21" s="1"/>
  <c r="E986" i="21" a="1"/>
  <c r="E986" i="21" s="1"/>
  <c r="E987" i="21" a="1"/>
  <c r="E987" i="21" s="1"/>
  <c r="E988" i="21" a="1"/>
  <c r="E988" i="21" s="1"/>
  <c r="E989" i="21" a="1"/>
  <c r="E989" i="21" s="1"/>
  <c r="E990" i="21" a="1"/>
  <c r="E990" i="21" s="1"/>
  <c r="E991" i="21" a="1"/>
  <c r="E991" i="21" s="1"/>
  <c r="E992" i="21" a="1"/>
  <c r="E992" i="21" s="1"/>
  <c r="E993" i="21" a="1"/>
  <c r="E993" i="21" s="1"/>
  <c r="E994" i="21" a="1"/>
  <c r="E994" i="21" s="1"/>
  <c r="E995" i="21" a="1"/>
  <c r="E995" i="21" s="1"/>
  <c r="E996" i="21" a="1"/>
  <c r="E996" i="21" s="1"/>
  <c r="E997" i="21" a="1"/>
  <c r="E997" i="21" s="1"/>
  <c r="E998" i="21" a="1"/>
  <c r="E998" i="21" s="1"/>
  <c r="E999" i="21" a="1"/>
  <c r="E999" i="21" s="1"/>
  <c r="E1000" i="21" a="1"/>
  <c r="E1000" i="21" s="1"/>
  <c r="E1001" i="21" a="1"/>
  <c r="E1001" i="21" s="1"/>
  <c r="E1002" i="21" a="1"/>
  <c r="E1002" i="21" s="1"/>
  <c r="E1003" i="21" a="1"/>
  <c r="E1003" i="21" s="1"/>
  <c r="E1004" i="21" a="1"/>
  <c r="E1004" i="21" s="1"/>
  <c r="E5" i="21" a="1"/>
  <c r="E5" i="21" s="1"/>
  <c r="Q23" i="11"/>
  <c r="R11" i="11"/>
  <c r="P17" i="9"/>
  <c r="P15" i="9"/>
  <c r="R13" i="9"/>
  <c r="Q13" i="9"/>
  <c r="P13" i="9"/>
  <c r="R11" i="9"/>
  <c r="Q11" i="9"/>
  <c r="P11" i="9"/>
  <c r="R9" i="9"/>
  <c r="Q9" i="9"/>
  <c r="P9" i="9"/>
  <c r="R7" i="9"/>
  <c r="P7" i="9"/>
  <c r="Q7" i="9"/>
  <c r="R5" i="9"/>
  <c r="Q5" i="9"/>
  <c r="P5" i="9"/>
  <c r="R15" i="9"/>
  <c r="Q15" i="9"/>
  <c r="P23" i="11"/>
  <c r="R21" i="11"/>
  <c r="Q21" i="11"/>
  <c r="P21" i="11"/>
  <c r="V17" i="11"/>
  <c r="V16" i="11"/>
  <c r="V15" i="11"/>
  <c r="V14" i="11"/>
  <c r="V13" i="11"/>
  <c r="V12" i="11"/>
  <c r="V11" i="11"/>
  <c r="U11" i="11"/>
  <c r="U18" i="11" s="1"/>
  <c r="U17" i="11"/>
  <c r="U16" i="11"/>
  <c r="U15" i="11"/>
  <c r="U14" i="11"/>
  <c r="U13" i="11"/>
  <c r="U12" i="11"/>
  <c r="V5" i="11"/>
  <c r="V4" i="11"/>
  <c r="U5" i="11"/>
  <c r="U4" i="11"/>
  <c r="R19" i="11"/>
  <c r="Q19" i="11"/>
  <c r="P19" i="11"/>
  <c r="R17" i="11"/>
  <c r="Q17" i="11"/>
  <c r="P17" i="11"/>
  <c r="P15" i="11"/>
  <c r="R13" i="11"/>
  <c r="Q13" i="11"/>
  <c r="Q15" i="11"/>
  <c r="P13" i="11"/>
  <c r="Q11" i="11"/>
  <c r="R15" i="11" s="1"/>
  <c r="P11" i="11"/>
  <c r="J9" i="1"/>
  <c r="D16" i="4"/>
  <c r="D3" i="4"/>
  <c r="D4" i="4"/>
  <c r="D5" i="4"/>
  <c r="D6" i="4"/>
  <c r="D7" i="4"/>
  <c r="D8" i="4"/>
  <c r="D9" i="4"/>
  <c r="D10" i="4"/>
  <c r="D11" i="4"/>
  <c r="D12" i="4"/>
  <c r="D13" i="4"/>
  <c r="D14" i="4"/>
  <c r="D15"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2" i="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G23" i="4"/>
  <c r="G22" i="4"/>
  <c r="G21" i="4"/>
  <c r="G20" i="4"/>
  <c r="G19" i="4"/>
  <c r="G7" i="4"/>
  <c r="G6" i="4"/>
  <c r="G5" i="4"/>
  <c r="G18" i="4"/>
  <c r="G17" i="4"/>
  <c r="G16" i="4"/>
  <c r="G15" i="4"/>
  <c r="G14" i="4"/>
  <c r="G13" i="4"/>
  <c r="G12" i="4"/>
  <c r="G11" i="4"/>
  <c r="G10" i="4"/>
  <c r="G9" i="4"/>
  <c r="G8" i="4"/>
  <c r="G3" i="4"/>
  <c r="J14" i="3"/>
  <c r="I12" i="3"/>
  <c r="I14" i="3"/>
  <c r="J12" i="3"/>
  <c r="J10" i="3"/>
  <c r="I10" i="3"/>
  <c r="C48" i="26"/>
  <c r="C56" i="26"/>
  <c r="C55" i="26"/>
  <c r="C49" i="26"/>
  <c r="C57" i="26"/>
  <c r="C50" i="26"/>
  <c r="C58" i="26"/>
  <c r="C51" i="26"/>
  <c r="C47" i="26"/>
  <c r="C52" i="26"/>
  <c r="C53" i="26"/>
  <c r="C54" i="26"/>
  <c r="K206" i="21" l="1"/>
  <c r="J206" i="21"/>
  <c r="K182" i="21"/>
  <c r="J182" i="21"/>
  <c r="K142" i="21"/>
  <c r="J142" i="21"/>
  <c r="K204" i="21"/>
  <c r="J204" i="21"/>
  <c r="K164" i="21"/>
  <c r="J164" i="21"/>
  <c r="F89" i="21"/>
  <c r="F145" i="21"/>
  <c r="F57" i="21"/>
  <c r="F137" i="21"/>
  <c r="F105" i="21"/>
  <c r="F21" i="21"/>
  <c r="F197" i="21"/>
  <c r="F73" i="21"/>
  <c r="F141" i="21"/>
  <c r="F1002" i="21"/>
  <c r="F109" i="21"/>
  <c r="F17" i="21"/>
  <c r="H185" i="21"/>
  <c r="I185" i="21" s="1"/>
  <c r="F101" i="21"/>
  <c r="F157" i="21"/>
  <c r="F29" i="21"/>
  <c r="F213" i="21"/>
  <c r="F113" i="21"/>
  <c r="F85" i="21"/>
  <c r="F49" i="21"/>
  <c r="H889" i="21"/>
  <c r="I889" i="21" s="1"/>
  <c r="F301" i="21"/>
  <c r="F205" i="21"/>
  <c r="F77" i="21"/>
  <c r="F41" i="21"/>
  <c r="F13" i="21"/>
  <c r="H5" i="21"/>
  <c r="I5" i="21" s="1"/>
  <c r="H909" i="21"/>
  <c r="I909" i="21" s="1"/>
  <c r="F69" i="21"/>
  <c r="H1004" i="21"/>
  <c r="I1004" i="21" s="1"/>
  <c r="H996" i="21"/>
  <c r="I996" i="21" s="1"/>
  <c r="H988" i="21"/>
  <c r="I988" i="21" s="1"/>
  <c r="H980" i="21"/>
  <c r="I980" i="21" s="1"/>
  <c r="H972" i="21"/>
  <c r="I972" i="21" s="1"/>
  <c r="H964" i="21"/>
  <c r="I964" i="21" s="1"/>
  <c r="H956" i="21"/>
  <c r="I956" i="21" s="1"/>
  <c r="H948" i="21"/>
  <c r="I948" i="21" s="1"/>
  <c r="H940" i="21"/>
  <c r="I940" i="21" s="1"/>
  <c r="H932" i="21"/>
  <c r="I932" i="21" s="1"/>
  <c r="F189" i="21"/>
  <c r="H161" i="21"/>
  <c r="I161" i="21" s="1"/>
  <c r="F125" i="21"/>
  <c r="F61" i="21"/>
  <c r="F25" i="21"/>
  <c r="H745" i="21"/>
  <c r="I745" i="21" s="1"/>
  <c r="F181" i="21"/>
  <c r="F117" i="21"/>
  <c r="F53" i="21"/>
  <c r="F237" i="21"/>
  <c r="F45" i="21"/>
  <c r="F9" i="21"/>
  <c r="H1001" i="21"/>
  <c r="I1001" i="21" s="1"/>
  <c r="F281" i="21"/>
  <c r="H1000" i="21"/>
  <c r="I1000" i="21" s="1"/>
  <c r="H992" i="21"/>
  <c r="I992" i="21" s="1"/>
  <c r="H984" i="21"/>
  <c r="I984" i="21" s="1"/>
  <c r="H997" i="21"/>
  <c r="I997" i="21" s="1"/>
  <c r="H989" i="21"/>
  <c r="I989" i="21" s="1"/>
  <c r="H981" i="21"/>
  <c r="I981" i="21" s="1"/>
  <c r="H973" i="21"/>
  <c r="I973" i="21" s="1"/>
  <c r="H965" i="21"/>
  <c r="I965" i="21" s="1"/>
  <c r="H957" i="21"/>
  <c r="I957" i="21" s="1"/>
  <c r="H949" i="21"/>
  <c r="I949" i="21" s="1"/>
  <c r="H941" i="21"/>
  <c r="I941" i="21" s="1"/>
  <c r="H933" i="21"/>
  <c r="I933" i="21" s="1"/>
  <c r="H925" i="21"/>
  <c r="I925" i="21" s="1"/>
  <c r="H917" i="21"/>
  <c r="I917" i="21" s="1"/>
  <c r="H902" i="21"/>
  <c r="I902" i="21" s="1"/>
  <c r="H896" i="21"/>
  <c r="I896" i="21" s="1"/>
  <c r="H877" i="21"/>
  <c r="I877" i="21" s="1"/>
  <c r="H872" i="21"/>
  <c r="I872" i="21" s="1"/>
  <c r="H866" i="21"/>
  <c r="I866" i="21" s="1"/>
  <c r="H853" i="21"/>
  <c r="I853" i="21" s="1"/>
  <c r="H847" i="21"/>
  <c r="I847" i="21" s="1"/>
  <c r="H840" i="21"/>
  <c r="I840" i="21" s="1"/>
  <c r="H834" i="21"/>
  <c r="I834" i="21" s="1"/>
  <c r="H821" i="21"/>
  <c r="I821" i="21" s="1"/>
  <c r="H815" i="21"/>
  <c r="I815" i="21" s="1"/>
  <c r="H808" i="21"/>
  <c r="I808" i="21" s="1"/>
  <c r="H797" i="21"/>
  <c r="I797" i="21" s="1"/>
  <c r="H786" i="21"/>
  <c r="I786" i="21" s="1"/>
  <c r="H781" i="21"/>
  <c r="I781" i="21" s="1"/>
  <c r="H776" i="21"/>
  <c r="I776" i="21" s="1"/>
  <c r="H770" i="21"/>
  <c r="I770" i="21" s="1"/>
  <c r="H760" i="21"/>
  <c r="I760" i="21" s="1"/>
  <c r="H748" i="21"/>
  <c r="I748" i="21" s="1"/>
  <c r="H740" i="21"/>
  <c r="I740" i="21" s="1"/>
  <c r="H735" i="21"/>
  <c r="I735" i="21" s="1"/>
  <c r="H729" i="21"/>
  <c r="I729" i="21" s="1"/>
  <c r="H724" i="21"/>
  <c r="I724" i="21" s="1"/>
  <c r="H713" i="21"/>
  <c r="I713" i="21" s="1"/>
  <c r="H702" i="21"/>
  <c r="I702" i="21" s="1"/>
  <c r="H686" i="21"/>
  <c r="I686" i="21" s="1"/>
  <c r="H675" i="21"/>
  <c r="I675" i="21" s="1"/>
  <c r="H669" i="21"/>
  <c r="I669" i="21" s="1"/>
  <c r="H663" i="21"/>
  <c r="I663" i="21" s="1"/>
  <c r="H658" i="21"/>
  <c r="I658" i="21" s="1"/>
  <c r="H653" i="21"/>
  <c r="I653" i="21" s="1"/>
  <c r="H647" i="21"/>
  <c r="I647" i="21" s="1"/>
  <c r="H622" i="21"/>
  <c r="I622" i="21" s="1"/>
  <c r="H616" i="21"/>
  <c r="I616" i="21" s="1"/>
  <c r="H603" i="21"/>
  <c r="I603" i="21" s="1"/>
  <c r="H596" i="21"/>
  <c r="I596" i="21" s="1"/>
  <c r="H590" i="21"/>
  <c r="I590" i="21" s="1"/>
  <c r="H584" i="21"/>
  <c r="I584" i="21" s="1"/>
  <c r="H558" i="21"/>
  <c r="I558" i="21" s="1"/>
  <c r="H552" i="21"/>
  <c r="I552" i="21" s="1"/>
  <c r="H546" i="21"/>
  <c r="I546" i="21" s="1"/>
  <c r="H541" i="21"/>
  <c r="I541" i="21" s="1"/>
  <c r="H534" i="21"/>
  <c r="I534" i="21" s="1"/>
  <c r="H528" i="21"/>
  <c r="I528" i="21" s="1"/>
  <c r="H516" i="21"/>
  <c r="I516" i="21" s="1"/>
  <c r="H511" i="21"/>
  <c r="I511" i="21" s="1"/>
  <c r="H505" i="21"/>
  <c r="I505" i="21" s="1"/>
  <c r="H499" i="21"/>
  <c r="I499" i="21" s="1"/>
  <c r="H487" i="21"/>
  <c r="I487" i="21" s="1"/>
  <c r="H476" i="21"/>
  <c r="I476" i="21" s="1"/>
  <c r="H470" i="21"/>
  <c r="I470" i="21" s="1"/>
  <c r="H464" i="21"/>
  <c r="I464" i="21" s="1"/>
  <c r="H452" i="21"/>
  <c r="I452" i="21" s="1"/>
  <c r="H447" i="21"/>
  <c r="I447" i="21" s="1"/>
  <c r="H441" i="21"/>
  <c r="I441" i="21" s="1"/>
  <c r="H434" i="21"/>
  <c r="I434" i="21" s="1"/>
  <c r="H429" i="21"/>
  <c r="I429" i="21" s="1"/>
  <c r="H422" i="21"/>
  <c r="I422" i="21" s="1"/>
  <c r="H410" i="21"/>
  <c r="I410" i="21" s="1"/>
  <c r="H403" i="21"/>
  <c r="I403" i="21" s="1"/>
  <c r="H390" i="21"/>
  <c r="I390" i="21" s="1"/>
  <c r="H384" i="21"/>
  <c r="I384" i="21" s="1"/>
  <c r="H372" i="21"/>
  <c r="I372" i="21" s="1"/>
  <c r="H365" i="21"/>
  <c r="I365" i="21" s="1"/>
  <c r="H358" i="21"/>
  <c r="I358" i="21" s="1"/>
  <c r="H352" i="21"/>
  <c r="I352" i="21" s="1"/>
  <c r="H332" i="21"/>
  <c r="I332" i="21" s="1"/>
  <c r="H257" i="21"/>
  <c r="I257" i="21" s="1"/>
  <c r="H249" i="21"/>
  <c r="I249" i="21" s="1"/>
  <c r="H228" i="21"/>
  <c r="I228" i="21" s="1"/>
  <c r="H924" i="21"/>
  <c r="I924" i="21" s="1"/>
  <c r="H916" i="21"/>
  <c r="I916" i="21" s="1"/>
  <c r="H901" i="21"/>
  <c r="I901" i="21" s="1"/>
  <c r="H895" i="21"/>
  <c r="I895" i="21" s="1"/>
  <c r="H883" i="21"/>
  <c r="I883" i="21" s="1"/>
  <c r="H865" i="21"/>
  <c r="I865" i="21" s="1"/>
  <c r="H859" i="21"/>
  <c r="I859" i="21" s="1"/>
  <c r="H852" i="21"/>
  <c r="I852" i="21" s="1"/>
  <c r="H846" i="21"/>
  <c r="I846" i="21" s="1"/>
  <c r="H833" i="21"/>
  <c r="I833" i="21" s="1"/>
  <c r="H827" i="21"/>
  <c r="I827" i="21" s="1"/>
  <c r="H820" i="21"/>
  <c r="I820" i="21" s="1"/>
  <c r="H814" i="21"/>
  <c r="I814" i="21" s="1"/>
  <c r="H802" i="21"/>
  <c r="I802" i="21" s="1"/>
  <c r="H792" i="21"/>
  <c r="I792" i="21" s="1"/>
  <c r="H775" i="21"/>
  <c r="I775" i="21" s="1"/>
  <c r="H764" i="21"/>
  <c r="I764" i="21" s="1"/>
  <c r="H759" i="21"/>
  <c r="I759" i="21" s="1"/>
  <c r="H753" i="21"/>
  <c r="I753" i="21" s="1"/>
  <c r="H746" i="21"/>
  <c r="I746" i="21" s="1"/>
  <c r="H734" i="21"/>
  <c r="I734" i="21" s="1"/>
  <c r="H718" i="21"/>
  <c r="I718" i="21" s="1"/>
  <c r="H707" i="21"/>
  <c r="I707" i="21" s="1"/>
  <c r="H701" i="21"/>
  <c r="I701" i="21" s="1"/>
  <c r="H696" i="21"/>
  <c r="I696" i="21" s="1"/>
  <c r="H691" i="21"/>
  <c r="I691" i="21" s="1"/>
  <c r="H685" i="21"/>
  <c r="I685" i="21" s="1"/>
  <c r="H680" i="21"/>
  <c r="I680" i="21" s="1"/>
  <c r="H674" i="21"/>
  <c r="I674" i="21" s="1"/>
  <c r="H668" i="21"/>
  <c r="I668" i="21" s="1"/>
  <c r="H652" i="21"/>
  <c r="I652" i="21" s="1"/>
  <c r="H641" i="21"/>
  <c r="I641" i="21" s="1"/>
  <c r="H634" i="21"/>
  <c r="I634" i="21" s="1"/>
  <c r="H627" i="21"/>
  <c r="I627" i="21" s="1"/>
  <c r="H615" i="21"/>
  <c r="I615" i="21" s="1"/>
  <c r="H609" i="21"/>
  <c r="I609" i="21" s="1"/>
  <c r="H583" i="21"/>
  <c r="I583" i="21" s="1"/>
  <c r="H577" i="21"/>
  <c r="I577" i="21" s="1"/>
  <c r="H570" i="21"/>
  <c r="I570" i="21" s="1"/>
  <c r="H563" i="21"/>
  <c r="I563" i="21" s="1"/>
  <c r="H551" i="21"/>
  <c r="I551" i="21" s="1"/>
  <c r="H540" i="21"/>
  <c r="I540" i="21" s="1"/>
  <c r="H533" i="21"/>
  <c r="I533" i="21" s="1"/>
  <c r="H522" i="21"/>
  <c r="I522" i="21" s="1"/>
  <c r="H510" i="21"/>
  <c r="I510" i="21" s="1"/>
  <c r="H504" i="21"/>
  <c r="I504" i="21" s="1"/>
  <c r="H498" i="21"/>
  <c r="I498" i="21" s="1"/>
  <c r="H493" i="21"/>
  <c r="I493" i="21" s="1"/>
  <c r="H481" i="21"/>
  <c r="I481" i="21" s="1"/>
  <c r="H475" i="21"/>
  <c r="I475" i="21" s="1"/>
  <c r="H469" i="21"/>
  <c r="I469" i="21" s="1"/>
  <c r="H458" i="21"/>
  <c r="I458" i="21" s="1"/>
  <c r="H446" i="21"/>
  <c r="I446" i="21" s="1"/>
  <c r="H440" i="21"/>
  <c r="I440" i="21" s="1"/>
  <c r="H428" i="21"/>
  <c r="I428" i="21" s="1"/>
  <c r="H421" i="21"/>
  <c r="I421" i="21" s="1"/>
  <c r="H415" i="21"/>
  <c r="I415" i="21" s="1"/>
  <c r="H409" i="21"/>
  <c r="I409" i="21" s="1"/>
  <c r="H402" i="21"/>
  <c r="I402" i="21" s="1"/>
  <c r="H397" i="21"/>
  <c r="I397" i="21" s="1"/>
  <c r="H383" i="21"/>
  <c r="I383" i="21" s="1"/>
  <c r="H377" i="21"/>
  <c r="I377" i="21" s="1"/>
  <c r="H371" i="21"/>
  <c r="I371" i="21" s="1"/>
  <c r="H364" i="21"/>
  <c r="I364" i="21" s="1"/>
  <c r="H338" i="21"/>
  <c r="I338" i="21" s="1"/>
  <c r="H331" i="21"/>
  <c r="I331" i="21" s="1"/>
  <c r="H293" i="21"/>
  <c r="I293" i="21" s="1"/>
  <c r="H285" i="21"/>
  <c r="I285" i="21" s="1"/>
  <c r="H270" i="21"/>
  <c r="I270" i="21" s="1"/>
  <c r="H241" i="21"/>
  <c r="I241" i="21" s="1"/>
  <c r="H1003" i="21"/>
  <c r="I1003" i="21" s="1"/>
  <c r="H995" i="21"/>
  <c r="I995" i="21" s="1"/>
  <c r="H987" i="21"/>
  <c r="I987" i="21" s="1"/>
  <c r="H979" i="21"/>
  <c r="I979" i="21" s="1"/>
  <c r="H971" i="21"/>
  <c r="I971" i="21" s="1"/>
  <c r="H1002" i="21"/>
  <c r="I1002" i="21" s="1"/>
  <c r="H994" i="21"/>
  <c r="I994" i="21" s="1"/>
  <c r="H986" i="21"/>
  <c r="I986" i="21" s="1"/>
  <c r="H978" i="21"/>
  <c r="I978" i="21" s="1"/>
  <c r="H970" i="21"/>
  <c r="I970" i="21" s="1"/>
  <c r="H993" i="21"/>
  <c r="I993" i="21" s="1"/>
  <c r="H985" i="21"/>
  <c r="I985" i="21" s="1"/>
  <c r="H977" i="21"/>
  <c r="I977" i="21" s="1"/>
  <c r="H969" i="21"/>
  <c r="I969" i="21" s="1"/>
  <c r="H961" i="21"/>
  <c r="I961" i="21" s="1"/>
  <c r="H953" i="21"/>
  <c r="I953" i="21" s="1"/>
  <c r="H945" i="21"/>
  <c r="I945" i="21" s="1"/>
  <c r="H937" i="21"/>
  <c r="I937" i="21" s="1"/>
  <c r="H929" i="21"/>
  <c r="I929" i="21" s="1"/>
  <c r="H921" i="21"/>
  <c r="I921" i="21" s="1"/>
  <c r="H913" i="21"/>
  <c r="I913" i="21" s="1"/>
  <c r="H906" i="21"/>
  <c r="I906" i="21" s="1"/>
  <c r="H899" i="21"/>
  <c r="I899" i="21" s="1"/>
  <c r="H892" i="21"/>
  <c r="I892" i="21" s="1"/>
  <c r="H886" i="21"/>
  <c r="I886" i="21" s="1"/>
  <c r="H875" i="21"/>
  <c r="I875" i="21" s="1"/>
  <c r="H869" i="21"/>
  <c r="I869" i="21" s="1"/>
  <c r="H863" i="21"/>
  <c r="I863" i="21" s="1"/>
  <c r="H856" i="21"/>
  <c r="I856" i="21" s="1"/>
  <c r="H850" i="21"/>
  <c r="I850" i="21" s="1"/>
  <c r="H837" i="21"/>
  <c r="I837" i="21" s="1"/>
  <c r="H831" i="21"/>
  <c r="I831" i="21" s="1"/>
  <c r="H824" i="21"/>
  <c r="I824" i="21" s="1"/>
  <c r="H818" i="21"/>
  <c r="I818" i="21" s="1"/>
  <c r="H800" i="21"/>
  <c r="I800" i="21" s="1"/>
  <c r="H784" i="21"/>
  <c r="I784" i="21" s="1"/>
  <c r="H773" i="21"/>
  <c r="I773" i="21" s="1"/>
  <c r="H767" i="21"/>
  <c r="I767" i="21" s="1"/>
  <c r="H762" i="21"/>
  <c r="I762" i="21" s="1"/>
  <c r="H757" i="21"/>
  <c r="I757" i="21" s="1"/>
  <c r="H751" i="21"/>
  <c r="I751" i="21" s="1"/>
  <c r="H743" i="21"/>
  <c r="I743" i="21" s="1"/>
  <c r="H737" i="21"/>
  <c r="I737" i="21" s="1"/>
  <c r="H732" i="21"/>
  <c r="I732" i="21" s="1"/>
  <c r="H727" i="21"/>
  <c r="I727" i="21" s="1"/>
  <c r="H721" i="21"/>
  <c r="I721" i="21" s="1"/>
  <c r="H716" i="21"/>
  <c r="I716" i="21" s="1"/>
  <c r="H699" i="21"/>
  <c r="I699" i="21" s="1"/>
  <c r="H688" i="21"/>
  <c r="I688" i="21" s="1"/>
  <c r="H678" i="21"/>
  <c r="I678" i="21" s="1"/>
  <c r="H672" i="21"/>
  <c r="I672" i="21" s="1"/>
  <c r="H660" i="21"/>
  <c r="I660" i="21" s="1"/>
  <c r="H650" i="21"/>
  <c r="I650" i="21" s="1"/>
  <c r="H644" i="21"/>
  <c r="I644" i="21" s="1"/>
  <c r="H638" i="21"/>
  <c r="I638" i="21" s="1"/>
  <c r="H631" i="21"/>
  <c r="I631" i="21" s="1"/>
  <c r="H625" i="21"/>
  <c r="I625" i="21" s="1"/>
  <c r="H619" i="21"/>
  <c r="I619" i="21" s="1"/>
  <c r="H612" i="21"/>
  <c r="I612" i="21" s="1"/>
  <c r="H607" i="21"/>
  <c r="I607" i="21" s="1"/>
  <c r="H600" i="21"/>
  <c r="I600" i="21" s="1"/>
  <c r="H587" i="21"/>
  <c r="I587" i="21" s="1"/>
  <c r="H580" i="21"/>
  <c r="I580" i="21" s="1"/>
  <c r="H574" i="21"/>
  <c r="I574" i="21" s="1"/>
  <c r="H567" i="21"/>
  <c r="I567" i="21" s="1"/>
  <c r="H561" i="21"/>
  <c r="I561" i="21" s="1"/>
  <c r="H555" i="21"/>
  <c r="I555" i="21" s="1"/>
  <c r="H549" i="21"/>
  <c r="I549" i="21" s="1"/>
  <c r="H538" i="21"/>
  <c r="I538" i="21" s="1"/>
  <c r="H531" i="21"/>
  <c r="I531" i="21" s="1"/>
  <c r="H519" i="21"/>
  <c r="I519" i="21" s="1"/>
  <c r="H508" i="21"/>
  <c r="I508" i="21" s="1"/>
  <c r="H502" i="21"/>
  <c r="I502" i="21" s="1"/>
  <c r="H496" i="21"/>
  <c r="I496" i="21" s="1"/>
  <c r="H484" i="21"/>
  <c r="I484" i="21" s="1"/>
  <c r="H479" i="21"/>
  <c r="I479" i="21" s="1"/>
  <c r="H473" i="21"/>
  <c r="I473" i="21" s="1"/>
  <c r="H467" i="21"/>
  <c r="I467" i="21" s="1"/>
  <c r="H455" i="21"/>
  <c r="I455" i="21" s="1"/>
  <c r="H444" i="21"/>
  <c r="I444" i="21" s="1"/>
  <c r="H438" i="21"/>
  <c r="I438" i="21" s="1"/>
  <c r="H425" i="21"/>
  <c r="I425" i="21" s="1"/>
  <c r="H419" i="21"/>
  <c r="I419" i="21" s="1"/>
  <c r="H413" i="21"/>
  <c r="I413" i="21" s="1"/>
  <c r="H400" i="21"/>
  <c r="I400" i="21" s="1"/>
  <c r="H393" i="21"/>
  <c r="I393" i="21" s="1"/>
  <c r="H387" i="21"/>
  <c r="I387" i="21" s="1"/>
  <c r="H381" i="21"/>
  <c r="I381" i="21" s="1"/>
  <c r="H375" i="21"/>
  <c r="I375" i="21" s="1"/>
  <c r="H368" i="21"/>
  <c r="I368" i="21" s="1"/>
  <c r="H362" i="21"/>
  <c r="I362" i="21" s="1"/>
  <c r="H268" i="21"/>
  <c r="I268" i="21" s="1"/>
  <c r="H261" i="21"/>
  <c r="I261" i="21" s="1"/>
  <c r="H253" i="21"/>
  <c r="I253" i="21" s="1"/>
  <c r="H246" i="21"/>
  <c r="I246" i="21" s="1"/>
  <c r="H976" i="21"/>
  <c r="I976" i="21" s="1"/>
  <c r="H968" i="21"/>
  <c r="I968" i="21" s="1"/>
  <c r="H960" i="21"/>
  <c r="I960" i="21" s="1"/>
  <c r="H952" i="21"/>
  <c r="I952" i="21" s="1"/>
  <c r="H944" i="21"/>
  <c r="I944" i="21" s="1"/>
  <c r="H999" i="21"/>
  <c r="I999" i="21" s="1"/>
  <c r="H991" i="21"/>
  <c r="I991" i="21" s="1"/>
  <c r="H983" i="21"/>
  <c r="I983" i="21" s="1"/>
  <c r="H975" i="21"/>
  <c r="I975" i="21" s="1"/>
  <c r="H967" i="21"/>
  <c r="I967" i="21" s="1"/>
  <c r="H959" i="21"/>
  <c r="I959" i="21" s="1"/>
  <c r="H998" i="21"/>
  <c r="I998" i="21" s="1"/>
  <c r="H990" i="21"/>
  <c r="I990" i="21" s="1"/>
  <c r="H982" i="21"/>
  <c r="I982" i="21" s="1"/>
  <c r="H963" i="21"/>
  <c r="I963" i="21" s="1"/>
  <c r="H955" i="21"/>
  <c r="I955" i="21" s="1"/>
  <c r="H947" i="21"/>
  <c r="I947" i="21" s="1"/>
  <c r="H939" i="21"/>
  <c r="I939" i="21" s="1"/>
  <c r="H931" i="21"/>
  <c r="I931" i="21" s="1"/>
  <c r="H923" i="21"/>
  <c r="I923" i="21" s="1"/>
  <c r="H915" i="21"/>
  <c r="I915" i="21" s="1"/>
  <c r="H908" i="21"/>
  <c r="I908" i="21" s="1"/>
  <c r="H894" i="21"/>
  <c r="I894" i="21" s="1"/>
  <c r="H888" i="21"/>
  <c r="I888" i="21" s="1"/>
  <c r="H882" i="21"/>
  <c r="I882" i="21" s="1"/>
  <c r="H876" i="21"/>
  <c r="I876" i="21" s="1"/>
  <c r="H871" i="21"/>
  <c r="I871" i="21" s="1"/>
  <c r="H864" i="21"/>
  <c r="I864" i="21" s="1"/>
  <c r="H858" i="21"/>
  <c r="I858" i="21" s="1"/>
  <c r="H845" i="21"/>
  <c r="I845" i="21" s="1"/>
  <c r="H839" i="21"/>
  <c r="I839" i="21" s="1"/>
  <c r="H832" i="21"/>
  <c r="I832" i="21" s="1"/>
  <c r="H826" i="21"/>
  <c r="I826" i="21" s="1"/>
  <c r="H813" i="21"/>
  <c r="I813" i="21" s="1"/>
  <c r="H807" i="21"/>
  <c r="I807" i="21" s="1"/>
  <c r="H796" i="21"/>
  <c r="I796" i="21" s="1"/>
  <c r="H791" i="21"/>
  <c r="I791" i="21" s="1"/>
  <c r="H785" i="21"/>
  <c r="I785" i="21" s="1"/>
  <c r="H780" i="21"/>
  <c r="I780" i="21" s="1"/>
  <c r="H774" i="21"/>
  <c r="I774" i="21" s="1"/>
  <c r="H769" i="21"/>
  <c r="I769" i="21" s="1"/>
  <c r="H763" i="21"/>
  <c r="I763" i="21" s="1"/>
  <c r="H758" i="21"/>
  <c r="I758" i="21" s="1"/>
  <c r="H739" i="21"/>
  <c r="I739" i="21" s="1"/>
  <c r="H733" i="21"/>
  <c r="I733" i="21" s="1"/>
  <c r="H728" i="21"/>
  <c r="I728" i="21" s="1"/>
  <c r="H723" i="21"/>
  <c r="I723" i="21" s="1"/>
  <c r="H717" i="21"/>
  <c r="I717" i="21" s="1"/>
  <c r="H712" i="21"/>
  <c r="I712" i="21" s="1"/>
  <c r="H706" i="21"/>
  <c r="I706" i="21" s="1"/>
  <c r="H690" i="21"/>
  <c r="I690" i="21" s="1"/>
  <c r="H679" i="21"/>
  <c r="I679" i="21" s="1"/>
  <c r="H662" i="21"/>
  <c r="I662" i="21" s="1"/>
  <c r="H657" i="21"/>
  <c r="I657" i="21" s="1"/>
  <c r="H651" i="21"/>
  <c r="I651" i="21" s="1"/>
  <c r="H646" i="21"/>
  <c r="I646" i="21" s="1"/>
  <c r="H640" i="21"/>
  <c r="I640" i="21" s="1"/>
  <c r="H633" i="21"/>
  <c r="I633" i="21" s="1"/>
  <c r="H626" i="21"/>
  <c r="I626" i="21" s="1"/>
  <c r="H621" i="21"/>
  <c r="I621" i="21" s="1"/>
  <c r="H614" i="21"/>
  <c r="I614" i="21" s="1"/>
  <c r="H608" i="21"/>
  <c r="I608" i="21" s="1"/>
  <c r="H602" i="21"/>
  <c r="I602" i="21" s="1"/>
  <c r="H595" i="21"/>
  <c r="I595" i="21" s="1"/>
  <c r="H589" i="21"/>
  <c r="I589" i="21" s="1"/>
  <c r="H582" i="21"/>
  <c r="I582" i="21" s="1"/>
  <c r="H576" i="21"/>
  <c r="I576" i="21" s="1"/>
  <c r="H569" i="21"/>
  <c r="I569" i="21" s="1"/>
  <c r="H562" i="21"/>
  <c r="I562" i="21" s="1"/>
  <c r="H557" i="21"/>
  <c r="I557" i="21" s="1"/>
  <c r="H545" i="21"/>
  <c r="I545" i="21" s="1"/>
  <c r="H539" i="21"/>
  <c r="I539" i="21" s="1"/>
  <c r="H532" i="21"/>
  <c r="I532" i="21" s="1"/>
  <c r="H527" i="21"/>
  <c r="I527" i="21" s="1"/>
  <c r="H521" i="21"/>
  <c r="I521" i="21" s="1"/>
  <c r="H515" i="21"/>
  <c r="I515" i="21" s="1"/>
  <c r="H503" i="21"/>
  <c r="I503" i="21" s="1"/>
  <c r="H492" i="21"/>
  <c r="I492" i="21" s="1"/>
  <c r="H486" i="21"/>
  <c r="I486" i="21" s="1"/>
  <c r="H480" i="21"/>
  <c r="I480" i="21" s="1"/>
  <c r="H468" i="21"/>
  <c r="I468" i="21" s="1"/>
  <c r="H463" i="21"/>
  <c r="I463" i="21" s="1"/>
  <c r="H457" i="21"/>
  <c r="I457" i="21" s="1"/>
  <c r="H451" i="21"/>
  <c r="I451" i="21" s="1"/>
  <c r="H439" i="21"/>
  <c r="I439" i="21" s="1"/>
  <c r="H433" i="21"/>
  <c r="I433" i="21" s="1"/>
  <c r="H427" i="21"/>
  <c r="I427" i="21" s="1"/>
  <c r="H420" i="21"/>
  <c r="I420" i="21" s="1"/>
  <c r="H414" i="21"/>
  <c r="I414" i="21" s="1"/>
  <c r="H408" i="21"/>
  <c r="I408" i="21" s="1"/>
  <c r="H396" i="21"/>
  <c r="I396" i="21" s="1"/>
  <c r="H389" i="21"/>
  <c r="I389" i="21" s="1"/>
  <c r="H376" i="21"/>
  <c r="I376" i="21" s="1"/>
  <c r="H370" i="21"/>
  <c r="I370" i="21" s="1"/>
  <c r="H357" i="21"/>
  <c r="I357" i="21" s="1"/>
  <c r="H344" i="21"/>
  <c r="I344" i="21" s="1"/>
  <c r="H292" i="21"/>
  <c r="I292" i="21" s="1"/>
  <c r="H277" i="21"/>
  <c r="I277" i="21" s="1"/>
  <c r="H962" i="21"/>
  <c r="I962" i="21" s="1"/>
  <c r="H954" i="21"/>
  <c r="I954" i="21" s="1"/>
  <c r="H946" i="21"/>
  <c r="I946" i="21" s="1"/>
  <c r="H938" i="21"/>
  <c r="I938" i="21" s="1"/>
  <c r="H930" i="21"/>
  <c r="I930" i="21" s="1"/>
  <c r="H922" i="21"/>
  <c r="I922" i="21" s="1"/>
  <c r="H914" i="21"/>
  <c r="I914" i="21" s="1"/>
  <c r="H907" i="21"/>
  <c r="I907" i="21" s="1"/>
  <c r="H900" i="21"/>
  <c r="I900" i="21" s="1"/>
  <c r="H893" i="21"/>
  <c r="I893" i="21" s="1"/>
  <c r="H887" i="21"/>
  <c r="I887" i="21" s="1"/>
  <c r="H881" i="21"/>
  <c r="I881" i="21" s="1"/>
  <c r="H870" i="21"/>
  <c r="I870" i="21" s="1"/>
  <c r="H857" i="21"/>
  <c r="I857" i="21" s="1"/>
  <c r="H851" i="21"/>
  <c r="I851" i="21" s="1"/>
  <c r="H844" i="21"/>
  <c r="I844" i="21" s="1"/>
  <c r="H838" i="21"/>
  <c r="I838" i="21" s="1"/>
  <c r="H825" i="21"/>
  <c r="I825" i="21" s="1"/>
  <c r="H819" i="21"/>
  <c r="I819" i="21" s="1"/>
  <c r="H812" i="21"/>
  <c r="I812" i="21" s="1"/>
  <c r="H806" i="21"/>
  <c r="I806" i="21" s="1"/>
  <c r="H801" i="21"/>
  <c r="I801" i="21" s="1"/>
  <c r="H795" i="21"/>
  <c r="I795" i="21" s="1"/>
  <c r="H790" i="21"/>
  <c r="I790" i="21" s="1"/>
  <c r="H779" i="21"/>
  <c r="I779" i="21" s="1"/>
  <c r="H768" i="21"/>
  <c r="I768" i="21" s="1"/>
  <c r="H752" i="21"/>
  <c r="I752" i="21" s="1"/>
  <c r="H744" i="21"/>
  <c r="I744" i="21" s="1"/>
  <c r="H738" i="21"/>
  <c r="I738" i="21" s="1"/>
  <c r="H722" i="21"/>
  <c r="I722" i="21" s="1"/>
  <c r="H711" i="21"/>
  <c r="I711" i="21" s="1"/>
  <c r="H705" i="21"/>
  <c r="I705" i="21" s="1"/>
  <c r="H700" i="21"/>
  <c r="I700" i="21" s="1"/>
  <c r="H695" i="21"/>
  <c r="I695" i="21" s="1"/>
  <c r="H689" i="21"/>
  <c r="I689" i="21" s="1"/>
  <c r="H684" i="21"/>
  <c r="I684" i="21" s="1"/>
  <c r="H673" i="21"/>
  <c r="I673" i="21" s="1"/>
  <c r="H667" i="21"/>
  <c r="I667" i="21" s="1"/>
  <c r="H661" i="21"/>
  <c r="I661" i="21" s="1"/>
  <c r="H656" i="21"/>
  <c r="I656" i="21" s="1"/>
  <c r="H645" i="21"/>
  <c r="I645" i="21" s="1"/>
  <c r="H639" i="21"/>
  <c r="I639" i="21" s="1"/>
  <c r="H632" i="21"/>
  <c r="I632" i="21" s="1"/>
  <c r="H620" i="21"/>
  <c r="I620" i="21" s="1"/>
  <c r="H613" i="21"/>
  <c r="I613" i="21" s="1"/>
  <c r="H601" i="21"/>
  <c r="I601" i="21" s="1"/>
  <c r="H594" i="21"/>
  <c r="I594" i="21" s="1"/>
  <c r="H588" i="21"/>
  <c r="I588" i="21" s="1"/>
  <c r="H581" i="21"/>
  <c r="I581" i="21" s="1"/>
  <c r="H575" i="21"/>
  <c r="I575" i="21" s="1"/>
  <c r="H568" i="21"/>
  <c r="I568" i="21" s="1"/>
  <c r="H556" i="21"/>
  <c r="I556" i="21" s="1"/>
  <c r="H550" i="21"/>
  <c r="I550" i="21" s="1"/>
  <c r="H544" i="21"/>
  <c r="I544" i="21" s="1"/>
  <c r="H526" i="21"/>
  <c r="I526" i="21" s="1"/>
  <c r="H520" i="21"/>
  <c r="I520" i="21" s="1"/>
  <c r="H514" i="21"/>
  <c r="I514" i="21" s="1"/>
  <c r="H509" i="21"/>
  <c r="I509" i="21" s="1"/>
  <c r="H497" i="21"/>
  <c r="I497" i="21" s="1"/>
  <c r="H491" i="21"/>
  <c r="I491" i="21" s="1"/>
  <c r="H485" i="21"/>
  <c r="I485" i="21" s="1"/>
  <c r="H474" i="21"/>
  <c r="I474" i="21" s="1"/>
  <c r="H462" i="21"/>
  <c r="I462" i="21" s="1"/>
  <c r="H456" i="21"/>
  <c r="I456" i="21" s="1"/>
  <c r="H450" i="21"/>
  <c r="I450" i="21" s="1"/>
  <c r="H445" i="21"/>
  <c r="I445" i="21" s="1"/>
  <c r="H432" i="21"/>
  <c r="I432" i="21" s="1"/>
  <c r="H426" i="21"/>
  <c r="I426" i="21" s="1"/>
  <c r="H407" i="21"/>
  <c r="I407" i="21" s="1"/>
  <c r="H401" i="21"/>
  <c r="I401" i="21" s="1"/>
  <c r="H394" i="21"/>
  <c r="I394" i="21" s="1"/>
  <c r="H388" i="21"/>
  <c r="I388" i="21" s="1"/>
  <c r="H382" i="21"/>
  <c r="I382" i="21" s="1"/>
  <c r="H369" i="21"/>
  <c r="I369" i="21" s="1"/>
  <c r="H363" i="21"/>
  <c r="I363" i="21" s="1"/>
  <c r="H356" i="21"/>
  <c r="I356" i="21" s="1"/>
  <c r="H350" i="21"/>
  <c r="I350" i="21" s="1"/>
  <c r="H321" i="21"/>
  <c r="I321" i="21" s="1"/>
  <c r="H313" i="21"/>
  <c r="I313" i="21" s="1"/>
  <c r="H305" i="21"/>
  <c r="I305" i="21" s="1"/>
  <c r="H225" i="21"/>
  <c r="I225" i="21" s="1"/>
  <c r="H936" i="21"/>
  <c r="I936" i="21" s="1"/>
  <c r="H928" i="21"/>
  <c r="I928" i="21" s="1"/>
  <c r="H920" i="21"/>
  <c r="I920" i="21" s="1"/>
  <c r="H912" i="21"/>
  <c r="I912" i="21" s="1"/>
  <c r="H905" i="21"/>
  <c r="I905" i="21" s="1"/>
  <c r="H898" i="21"/>
  <c r="I898" i="21" s="1"/>
  <c r="H885" i="21"/>
  <c r="I885" i="21" s="1"/>
  <c r="H880" i="21"/>
  <c r="I880" i="21" s="1"/>
  <c r="H868" i="21"/>
  <c r="I868" i="21" s="1"/>
  <c r="H862" i="21"/>
  <c r="I862" i="21" s="1"/>
  <c r="H849" i="21"/>
  <c r="I849" i="21" s="1"/>
  <c r="H843" i="21"/>
  <c r="I843" i="21" s="1"/>
  <c r="H836" i="21"/>
  <c r="I836" i="21" s="1"/>
  <c r="H830" i="21"/>
  <c r="I830" i="21" s="1"/>
  <c r="H817" i="21"/>
  <c r="I817" i="21" s="1"/>
  <c r="H811" i="21"/>
  <c r="I811" i="21" s="1"/>
  <c r="H805" i="21"/>
  <c r="I805" i="21" s="1"/>
  <c r="H799" i="21"/>
  <c r="I799" i="21" s="1"/>
  <c r="H794" i="21"/>
  <c r="I794" i="21" s="1"/>
  <c r="H789" i="21"/>
  <c r="I789" i="21" s="1"/>
  <c r="H783" i="21"/>
  <c r="I783" i="21" s="1"/>
  <c r="H778" i="21"/>
  <c r="I778" i="21" s="1"/>
  <c r="H772" i="21"/>
  <c r="I772" i="21" s="1"/>
  <c r="H756" i="21"/>
  <c r="I756" i="21" s="1"/>
  <c r="H750" i="21"/>
  <c r="I750" i="21" s="1"/>
  <c r="H731" i="21"/>
  <c r="I731" i="21" s="1"/>
  <c r="H720" i="21"/>
  <c r="I720" i="21" s="1"/>
  <c r="H715" i="21"/>
  <c r="I715" i="21" s="1"/>
  <c r="H710" i="21"/>
  <c r="I710" i="21" s="1"/>
  <c r="H704" i="21"/>
  <c r="I704" i="21" s="1"/>
  <c r="H694" i="21"/>
  <c r="I694" i="21" s="1"/>
  <c r="H683" i="21"/>
  <c r="I683" i="21" s="1"/>
  <c r="H677" i="21"/>
  <c r="I677" i="21" s="1"/>
  <c r="H671" i="21"/>
  <c r="I671" i="21" s="1"/>
  <c r="H666" i="21"/>
  <c r="I666" i="21" s="1"/>
  <c r="H655" i="21"/>
  <c r="I655" i="21" s="1"/>
  <c r="H637" i="21"/>
  <c r="I637" i="21" s="1"/>
  <c r="H630" i="21"/>
  <c r="I630" i="21" s="1"/>
  <c r="H624" i="21"/>
  <c r="I624" i="21" s="1"/>
  <c r="H606" i="21"/>
  <c r="I606" i="21" s="1"/>
  <c r="H599" i="21"/>
  <c r="I599" i="21" s="1"/>
  <c r="H593" i="21"/>
  <c r="I593" i="21" s="1"/>
  <c r="H573" i="21"/>
  <c r="I573" i="21" s="1"/>
  <c r="H566" i="21"/>
  <c r="I566" i="21" s="1"/>
  <c r="H560" i="21"/>
  <c r="I560" i="21" s="1"/>
  <c r="H548" i="21"/>
  <c r="I548" i="21" s="1"/>
  <c r="H543" i="21"/>
  <c r="I543" i="21" s="1"/>
  <c r="H537" i="21"/>
  <c r="I537" i="21" s="1"/>
  <c r="H530" i="21"/>
  <c r="I530" i="21" s="1"/>
  <c r="H525" i="21"/>
  <c r="I525" i="21" s="1"/>
  <c r="H513" i="21"/>
  <c r="I513" i="21" s="1"/>
  <c r="H507" i="21"/>
  <c r="I507" i="21" s="1"/>
  <c r="H501" i="21"/>
  <c r="I501" i="21" s="1"/>
  <c r="H490" i="21"/>
  <c r="I490" i="21" s="1"/>
  <c r="H478" i="21"/>
  <c r="I478" i="21" s="1"/>
  <c r="H472" i="21"/>
  <c r="I472" i="21" s="1"/>
  <c r="H466" i="21"/>
  <c r="I466" i="21" s="1"/>
  <c r="H461" i="21"/>
  <c r="I461" i="21" s="1"/>
  <c r="H449" i="21"/>
  <c r="I449" i="21" s="1"/>
  <c r="H443" i="21"/>
  <c r="I443" i="21" s="1"/>
  <c r="H437" i="21"/>
  <c r="I437" i="21" s="1"/>
  <c r="H431" i="21"/>
  <c r="I431" i="21" s="1"/>
  <c r="H424" i="21"/>
  <c r="I424" i="21" s="1"/>
  <c r="H418" i="21"/>
  <c r="I418" i="21" s="1"/>
  <c r="H412" i="21"/>
  <c r="I412" i="21" s="1"/>
  <c r="H406" i="21"/>
  <c r="I406" i="21" s="1"/>
  <c r="H392" i="21"/>
  <c r="I392" i="21" s="1"/>
  <c r="H380" i="21"/>
  <c r="I380" i="21" s="1"/>
  <c r="H374" i="21"/>
  <c r="I374" i="21" s="1"/>
  <c r="H367" i="21"/>
  <c r="I367" i="21" s="1"/>
  <c r="H361" i="21"/>
  <c r="I361" i="21" s="1"/>
  <c r="H348" i="21"/>
  <c r="I348" i="21" s="1"/>
  <c r="H289" i="21"/>
  <c r="I289" i="21" s="1"/>
  <c r="H245" i="21"/>
  <c r="I245" i="21" s="1"/>
  <c r="H209" i="21"/>
  <c r="I209" i="21" s="1"/>
  <c r="H951" i="21"/>
  <c r="I951" i="21" s="1"/>
  <c r="H943" i="21"/>
  <c r="I943" i="21" s="1"/>
  <c r="H935" i="21"/>
  <c r="I935" i="21" s="1"/>
  <c r="H927" i="21"/>
  <c r="I927" i="21" s="1"/>
  <c r="H919" i="21"/>
  <c r="I919" i="21" s="1"/>
  <c r="H911" i="21"/>
  <c r="I911" i="21" s="1"/>
  <c r="H904" i="21"/>
  <c r="I904" i="21" s="1"/>
  <c r="H897" i="21"/>
  <c r="I897" i="21" s="1"/>
  <c r="H891" i="21"/>
  <c r="I891" i="21" s="1"/>
  <c r="H879" i="21"/>
  <c r="I879" i="21" s="1"/>
  <c r="H874" i="21"/>
  <c r="I874" i="21" s="1"/>
  <c r="H861" i="21"/>
  <c r="I861" i="21" s="1"/>
  <c r="H855" i="21"/>
  <c r="I855" i="21" s="1"/>
  <c r="H848" i="21"/>
  <c r="I848" i="21" s="1"/>
  <c r="H842" i="21"/>
  <c r="I842" i="21" s="1"/>
  <c r="H829" i="21"/>
  <c r="I829" i="21" s="1"/>
  <c r="H823" i="21"/>
  <c r="I823" i="21" s="1"/>
  <c r="H816" i="21"/>
  <c r="I816" i="21" s="1"/>
  <c r="H810" i="21"/>
  <c r="I810" i="21" s="1"/>
  <c r="H804" i="21"/>
  <c r="I804" i="21" s="1"/>
  <c r="H788" i="21"/>
  <c r="I788" i="21" s="1"/>
  <c r="H777" i="21"/>
  <c r="I777" i="21" s="1"/>
  <c r="H771" i="21"/>
  <c r="I771" i="21" s="1"/>
  <c r="H766" i="21"/>
  <c r="I766" i="21" s="1"/>
  <c r="H761" i="21"/>
  <c r="I761" i="21" s="1"/>
  <c r="H755" i="21"/>
  <c r="I755" i="21" s="1"/>
  <c r="H749" i="21"/>
  <c r="I749" i="21" s="1"/>
  <c r="H742" i="21"/>
  <c r="I742" i="21" s="1"/>
  <c r="H736" i="21"/>
  <c r="I736" i="21" s="1"/>
  <c r="H726" i="21"/>
  <c r="I726" i="21" s="1"/>
  <c r="H709" i="21"/>
  <c r="I709" i="21" s="1"/>
  <c r="H698" i="21"/>
  <c r="I698" i="21" s="1"/>
  <c r="H693" i="21"/>
  <c r="I693" i="21" s="1"/>
  <c r="H687" i="21"/>
  <c r="I687" i="21" s="1"/>
  <c r="H682" i="21"/>
  <c r="I682" i="21" s="1"/>
  <c r="H676" i="21"/>
  <c r="I676" i="21" s="1"/>
  <c r="H665" i="21"/>
  <c r="I665" i="21" s="1"/>
  <c r="H659" i="21"/>
  <c r="I659" i="21" s="1"/>
  <c r="H654" i="21"/>
  <c r="I654" i="21" s="1"/>
  <c r="H649" i="21"/>
  <c r="I649" i="21" s="1"/>
  <c r="H643" i="21"/>
  <c r="I643" i="21" s="1"/>
  <c r="H636" i="21"/>
  <c r="I636" i="21" s="1"/>
  <c r="H629" i="21"/>
  <c r="I629" i="21" s="1"/>
  <c r="H618" i="21"/>
  <c r="I618" i="21" s="1"/>
  <c r="H611" i="21"/>
  <c r="I611" i="21" s="1"/>
  <c r="H605" i="21"/>
  <c r="I605" i="21" s="1"/>
  <c r="H598" i="21"/>
  <c r="I598" i="21" s="1"/>
  <c r="H592" i="21"/>
  <c r="I592" i="21" s="1"/>
  <c r="H586" i="21"/>
  <c r="I586" i="21" s="1"/>
  <c r="H579" i="21"/>
  <c r="I579" i="21" s="1"/>
  <c r="H572" i="21"/>
  <c r="I572" i="21" s="1"/>
  <c r="H565" i="21"/>
  <c r="I565" i="21" s="1"/>
  <c r="H554" i="21"/>
  <c r="I554" i="21" s="1"/>
  <c r="H542" i="21"/>
  <c r="I542" i="21" s="1"/>
  <c r="H536" i="21"/>
  <c r="I536" i="21" s="1"/>
  <c r="H524" i="21"/>
  <c r="I524" i="21" s="1"/>
  <c r="H518" i="21"/>
  <c r="I518" i="21" s="1"/>
  <c r="H512" i="21"/>
  <c r="I512" i="21" s="1"/>
  <c r="H500" i="21"/>
  <c r="I500" i="21" s="1"/>
  <c r="H495" i="21"/>
  <c r="I495" i="21" s="1"/>
  <c r="H489" i="21"/>
  <c r="I489" i="21" s="1"/>
  <c r="H483" i="21"/>
  <c r="I483" i="21" s="1"/>
  <c r="H471" i="21"/>
  <c r="I471" i="21" s="1"/>
  <c r="H460" i="21"/>
  <c r="I460" i="21" s="1"/>
  <c r="H454" i="21"/>
  <c r="I454" i="21" s="1"/>
  <c r="H448" i="21"/>
  <c r="I448" i="21" s="1"/>
  <c r="H436" i="21"/>
  <c r="I436" i="21" s="1"/>
  <c r="H430" i="21"/>
  <c r="I430" i="21" s="1"/>
  <c r="H423" i="21"/>
  <c r="I423" i="21" s="1"/>
  <c r="H417" i="21"/>
  <c r="I417" i="21" s="1"/>
  <c r="H411" i="21"/>
  <c r="I411" i="21" s="1"/>
  <c r="H405" i="21"/>
  <c r="I405" i="21" s="1"/>
  <c r="H399" i="21"/>
  <c r="I399" i="21" s="1"/>
  <c r="H386" i="21"/>
  <c r="I386" i="21" s="1"/>
  <c r="H379" i="21"/>
  <c r="I379" i="21" s="1"/>
  <c r="H360" i="21"/>
  <c r="I360" i="21" s="1"/>
  <c r="H354" i="21"/>
  <c r="I354" i="21" s="1"/>
  <c r="H347" i="21"/>
  <c r="I347" i="21" s="1"/>
  <c r="H341" i="21"/>
  <c r="I341" i="21" s="1"/>
  <c r="H334" i="21"/>
  <c r="I334" i="21" s="1"/>
  <c r="H310" i="21"/>
  <c r="I310" i="21" s="1"/>
  <c r="H273" i="21"/>
  <c r="I273" i="21" s="1"/>
  <c r="H974" i="21"/>
  <c r="I974" i="21" s="1"/>
  <c r="H966" i="21"/>
  <c r="I966" i="21" s="1"/>
  <c r="H958" i="21"/>
  <c r="I958" i="21" s="1"/>
  <c r="H950" i="21"/>
  <c r="I950" i="21" s="1"/>
  <c r="H942" i="21"/>
  <c r="I942" i="21" s="1"/>
  <c r="H934" i="21"/>
  <c r="I934" i="21" s="1"/>
  <c r="H926" i="21"/>
  <c r="I926" i="21" s="1"/>
  <c r="H918" i="21"/>
  <c r="I918" i="21" s="1"/>
  <c r="H910" i="21"/>
  <c r="I910" i="21" s="1"/>
  <c r="H903" i="21"/>
  <c r="I903" i="21" s="1"/>
  <c r="H890" i="21"/>
  <c r="I890" i="21" s="1"/>
  <c r="H884" i="21"/>
  <c r="I884" i="21" s="1"/>
  <c r="H878" i="21"/>
  <c r="I878" i="21" s="1"/>
  <c r="H873" i="21"/>
  <c r="I873" i="21" s="1"/>
  <c r="H867" i="21"/>
  <c r="I867" i="21" s="1"/>
  <c r="H860" i="21"/>
  <c r="I860" i="21" s="1"/>
  <c r="H854" i="21"/>
  <c r="I854" i="21" s="1"/>
  <c r="H841" i="21"/>
  <c r="I841" i="21" s="1"/>
  <c r="H835" i="21"/>
  <c r="I835" i="21" s="1"/>
  <c r="H828" i="21"/>
  <c r="I828" i="21" s="1"/>
  <c r="H822" i="21"/>
  <c r="I822" i="21" s="1"/>
  <c r="H809" i="21"/>
  <c r="I809" i="21" s="1"/>
  <c r="H803" i="21"/>
  <c r="I803" i="21" s="1"/>
  <c r="H798" i="21"/>
  <c r="I798" i="21" s="1"/>
  <c r="H793" i="21"/>
  <c r="I793" i="21" s="1"/>
  <c r="H787" i="21"/>
  <c r="I787" i="21" s="1"/>
  <c r="H782" i="21"/>
  <c r="I782" i="21" s="1"/>
  <c r="H765" i="21"/>
  <c r="I765" i="21" s="1"/>
  <c r="H754" i="21"/>
  <c r="I754" i="21" s="1"/>
  <c r="H741" i="21"/>
  <c r="I741" i="21" s="1"/>
  <c r="H730" i="21"/>
  <c r="I730" i="21" s="1"/>
  <c r="H725" i="21"/>
  <c r="I725" i="21" s="1"/>
  <c r="H719" i="21"/>
  <c r="I719" i="21" s="1"/>
  <c r="H714" i="21"/>
  <c r="I714" i="21" s="1"/>
  <c r="H708" i="21"/>
  <c r="I708" i="21" s="1"/>
  <c r="H703" i="21"/>
  <c r="I703" i="21" s="1"/>
  <c r="H697" i="21"/>
  <c r="I697" i="21" s="1"/>
  <c r="H692" i="21"/>
  <c r="I692" i="21" s="1"/>
  <c r="H681" i="21"/>
  <c r="I681" i="21" s="1"/>
  <c r="H670" i="21"/>
  <c r="I670" i="21" s="1"/>
  <c r="H664" i="21"/>
  <c r="I664" i="21" s="1"/>
  <c r="H648" i="21"/>
  <c r="I648" i="21" s="1"/>
  <c r="H642" i="21"/>
  <c r="I642" i="21" s="1"/>
  <c r="H635" i="21"/>
  <c r="I635" i="21" s="1"/>
  <c r="H628" i="21"/>
  <c r="I628" i="21" s="1"/>
  <c r="H623" i="21"/>
  <c r="I623" i="21" s="1"/>
  <c r="H617" i="21"/>
  <c r="I617" i="21" s="1"/>
  <c r="H610" i="21"/>
  <c r="I610" i="21" s="1"/>
  <c r="H604" i="21"/>
  <c r="I604" i="21" s="1"/>
  <c r="H597" i="21"/>
  <c r="I597" i="21" s="1"/>
  <c r="H591" i="21"/>
  <c r="I591" i="21" s="1"/>
  <c r="H585" i="21"/>
  <c r="I585" i="21" s="1"/>
  <c r="H578" i="21"/>
  <c r="I578" i="21" s="1"/>
  <c r="H571" i="21"/>
  <c r="I571" i="21" s="1"/>
  <c r="H564" i="21"/>
  <c r="I564" i="21" s="1"/>
  <c r="H559" i="21"/>
  <c r="I559" i="21" s="1"/>
  <c r="H553" i="21"/>
  <c r="I553" i="21" s="1"/>
  <c r="H547" i="21"/>
  <c r="I547" i="21" s="1"/>
  <c r="H535" i="21"/>
  <c r="I535" i="21" s="1"/>
  <c r="H529" i="21"/>
  <c r="I529" i="21" s="1"/>
  <c r="H523" i="21"/>
  <c r="I523" i="21" s="1"/>
  <c r="H517" i="21"/>
  <c r="I517" i="21" s="1"/>
  <c r="H506" i="21"/>
  <c r="I506" i="21" s="1"/>
  <c r="H494" i="21"/>
  <c r="I494" i="21" s="1"/>
  <c r="H488" i="21"/>
  <c r="I488" i="21" s="1"/>
  <c r="H482" i="21"/>
  <c r="I482" i="21" s="1"/>
  <c r="H477" i="21"/>
  <c r="I477" i="21" s="1"/>
  <c r="H465" i="21"/>
  <c r="I465" i="21" s="1"/>
  <c r="H459" i="21"/>
  <c r="I459" i="21" s="1"/>
  <c r="H453" i="21"/>
  <c r="I453" i="21" s="1"/>
  <c r="H442" i="21"/>
  <c r="I442" i="21" s="1"/>
  <c r="H435" i="21"/>
  <c r="I435" i="21" s="1"/>
  <c r="H416" i="21"/>
  <c r="I416" i="21" s="1"/>
  <c r="H404" i="21"/>
  <c r="I404" i="21" s="1"/>
  <c r="H398" i="21"/>
  <c r="I398" i="21" s="1"/>
  <c r="H391" i="21"/>
  <c r="I391" i="21" s="1"/>
  <c r="H385" i="21"/>
  <c r="I385" i="21" s="1"/>
  <c r="H378" i="21"/>
  <c r="I378" i="21" s="1"/>
  <c r="H373" i="21"/>
  <c r="I373" i="21" s="1"/>
  <c r="H366" i="21"/>
  <c r="I366" i="21" s="1"/>
  <c r="H359" i="21"/>
  <c r="I359" i="21" s="1"/>
  <c r="H353" i="21"/>
  <c r="I353" i="21" s="1"/>
  <c r="H346" i="21"/>
  <c r="I346" i="21" s="1"/>
  <c r="H229" i="21"/>
  <c r="I229" i="21" s="1"/>
  <c r="H221" i="21"/>
  <c r="I221" i="21" s="1"/>
  <c r="F140" i="21"/>
  <c r="H140" i="21"/>
  <c r="I140" i="21" s="1"/>
  <c r="F121" i="21"/>
  <c r="H121" i="21"/>
  <c r="I121" i="21" s="1"/>
  <c r="F118" i="21"/>
  <c r="H118" i="21"/>
  <c r="I118" i="21" s="1"/>
  <c r="F100" i="21"/>
  <c r="H100" i="21"/>
  <c r="I100" i="21" s="1"/>
  <c r="F97" i="21"/>
  <c r="H97" i="21"/>
  <c r="I97" i="21" s="1"/>
  <c r="F70" i="21"/>
  <c r="H70" i="21"/>
  <c r="I70" i="21" s="1"/>
  <c r="F65" i="21"/>
  <c r="H65" i="21"/>
  <c r="I65" i="21" s="1"/>
  <c r="F38" i="21"/>
  <c r="H38" i="21"/>
  <c r="I38" i="21" s="1"/>
  <c r="F33" i="21"/>
  <c r="H33" i="21"/>
  <c r="I33" i="21" s="1"/>
  <c r="F6" i="21"/>
  <c r="H6" i="21"/>
  <c r="I6" i="21" s="1"/>
  <c r="H323" i="21"/>
  <c r="I323" i="21" s="1"/>
  <c r="H316" i="21"/>
  <c r="I316" i="21" s="1"/>
  <c r="H308" i="21"/>
  <c r="I308" i="21" s="1"/>
  <c r="H301" i="21"/>
  <c r="I301" i="21" s="1"/>
  <c r="H295" i="21"/>
  <c r="I295" i="21" s="1"/>
  <c r="H282" i="21"/>
  <c r="I282" i="21" s="1"/>
  <c r="H276" i="21"/>
  <c r="I276" i="21" s="1"/>
  <c r="H269" i="21"/>
  <c r="I269" i="21" s="1"/>
  <c r="H263" i="21"/>
  <c r="I263" i="21" s="1"/>
  <c r="H250" i="21"/>
  <c r="I250" i="21" s="1"/>
  <c r="H244" i="21"/>
  <c r="I244" i="21" s="1"/>
  <c r="H237" i="21"/>
  <c r="I237" i="21" s="1"/>
  <c r="H231" i="21"/>
  <c r="I231" i="21" s="1"/>
  <c r="H218" i="21"/>
  <c r="I218" i="21" s="1"/>
  <c r="H212" i="21"/>
  <c r="I212" i="21" s="1"/>
  <c r="H205" i="21"/>
  <c r="I205" i="21" s="1"/>
  <c r="H199" i="21"/>
  <c r="I199" i="21" s="1"/>
  <c r="H186" i="21"/>
  <c r="I186" i="21" s="1"/>
  <c r="H180" i="21"/>
  <c r="I180" i="21" s="1"/>
  <c r="H173" i="21"/>
  <c r="I173" i="21" s="1"/>
  <c r="H167" i="21"/>
  <c r="I167" i="21" s="1"/>
  <c r="H154" i="21"/>
  <c r="I154" i="21" s="1"/>
  <c r="H148" i="21"/>
  <c r="I148" i="21" s="1"/>
  <c r="H141" i="21"/>
  <c r="I141" i="21" s="1"/>
  <c r="H135" i="21"/>
  <c r="I135" i="21" s="1"/>
  <c r="H122" i="21"/>
  <c r="I122" i="21" s="1"/>
  <c r="H116" i="21"/>
  <c r="I116" i="21" s="1"/>
  <c r="H109" i="21"/>
  <c r="I109" i="21" s="1"/>
  <c r="H103" i="21"/>
  <c r="I103" i="21" s="1"/>
  <c r="H90" i="21"/>
  <c r="I90" i="21" s="1"/>
  <c r="H84" i="21"/>
  <c r="I84" i="21" s="1"/>
  <c r="H77" i="21"/>
  <c r="I77" i="21" s="1"/>
  <c r="H71" i="21"/>
  <c r="I71" i="21" s="1"/>
  <c r="H58" i="21"/>
  <c r="I58" i="21" s="1"/>
  <c r="H52" i="21"/>
  <c r="I52" i="21" s="1"/>
  <c r="H45" i="21"/>
  <c r="I45" i="21" s="1"/>
  <c r="H39" i="21"/>
  <c r="I39" i="21" s="1"/>
  <c r="H26" i="21"/>
  <c r="I26" i="21" s="1"/>
  <c r="H20" i="21"/>
  <c r="I20" i="21" s="1"/>
  <c r="H13" i="21"/>
  <c r="I13" i="21" s="1"/>
  <c r="H7" i="21"/>
  <c r="I7" i="21" s="1"/>
  <c r="H355" i="21"/>
  <c r="I355" i="21" s="1"/>
  <c r="H349" i="21"/>
  <c r="I349" i="21" s="1"/>
  <c r="H343" i="21"/>
  <c r="I343" i="21" s="1"/>
  <c r="H337" i="21"/>
  <c r="I337" i="21" s="1"/>
  <c r="H330" i="21"/>
  <c r="I330" i="21" s="1"/>
  <c r="H322" i="21"/>
  <c r="I322" i="21" s="1"/>
  <c r="H315" i="21"/>
  <c r="I315" i="21" s="1"/>
  <c r="H307" i="21"/>
  <c r="I307" i="21" s="1"/>
  <c r="H294" i="21"/>
  <c r="I294" i="21" s="1"/>
  <c r="H288" i="21"/>
  <c r="I288" i="21" s="1"/>
  <c r="H281" i="21"/>
  <c r="I281" i="21" s="1"/>
  <c r="H275" i="21"/>
  <c r="I275" i="21" s="1"/>
  <c r="H262" i="21"/>
  <c r="I262" i="21" s="1"/>
  <c r="H256" i="21"/>
  <c r="I256" i="21" s="1"/>
  <c r="H243" i="21"/>
  <c r="I243" i="21" s="1"/>
  <c r="H230" i="21"/>
  <c r="I230" i="21" s="1"/>
  <c r="H224" i="21"/>
  <c r="I224" i="21" s="1"/>
  <c r="H217" i="21"/>
  <c r="I217" i="21" s="1"/>
  <c r="H211" i="21"/>
  <c r="I211" i="21" s="1"/>
  <c r="H198" i="21"/>
  <c r="I198" i="21" s="1"/>
  <c r="H192" i="21"/>
  <c r="I192" i="21" s="1"/>
  <c r="H179" i="21"/>
  <c r="I179" i="21" s="1"/>
  <c r="H166" i="21"/>
  <c r="I166" i="21" s="1"/>
  <c r="H160" i="21"/>
  <c r="I160" i="21" s="1"/>
  <c r="H153" i="21"/>
  <c r="I153" i="21" s="1"/>
  <c r="H147" i="21"/>
  <c r="I147" i="21" s="1"/>
  <c r="H134" i="21"/>
  <c r="I134" i="21" s="1"/>
  <c r="H128" i="21"/>
  <c r="I128" i="21" s="1"/>
  <c r="H115" i="21"/>
  <c r="I115" i="21" s="1"/>
  <c r="H102" i="21"/>
  <c r="I102" i="21" s="1"/>
  <c r="H96" i="21"/>
  <c r="I96" i="21" s="1"/>
  <c r="H89" i="21"/>
  <c r="I89" i="21" s="1"/>
  <c r="H83" i="21"/>
  <c r="I83" i="21" s="1"/>
  <c r="H64" i="21"/>
  <c r="I64" i="21" s="1"/>
  <c r="H57" i="21"/>
  <c r="I57" i="21" s="1"/>
  <c r="H51" i="21"/>
  <c r="I51" i="21" s="1"/>
  <c r="H32" i="21"/>
  <c r="I32" i="21" s="1"/>
  <c r="H25" i="21"/>
  <c r="I25" i="21" s="1"/>
  <c r="H19" i="21"/>
  <c r="I19" i="21" s="1"/>
  <c r="H329" i="21"/>
  <c r="I329" i="21" s="1"/>
  <c r="H314" i="21"/>
  <c r="I314" i="21" s="1"/>
  <c r="H306" i="21"/>
  <c r="I306" i="21" s="1"/>
  <c r="H300" i="21"/>
  <c r="I300" i="21" s="1"/>
  <c r="H287" i="21"/>
  <c r="I287" i="21" s="1"/>
  <c r="H274" i="21"/>
  <c r="I274" i="21" s="1"/>
  <c r="H255" i="21"/>
  <c r="I255" i="21" s="1"/>
  <c r="H242" i="21"/>
  <c r="I242" i="21" s="1"/>
  <c r="H236" i="21"/>
  <c r="I236" i="21" s="1"/>
  <c r="H223" i="21"/>
  <c r="I223" i="21" s="1"/>
  <c r="H210" i="21"/>
  <c r="I210" i="21" s="1"/>
  <c r="H197" i="21"/>
  <c r="I197" i="21" s="1"/>
  <c r="H191" i="21"/>
  <c r="I191" i="21" s="1"/>
  <c r="H178" i="21"/>
  <c r="I178" i="21" s="1"/>
  <c r="H172" i="21"/>
  <c r="I172" i="21" s="1"/>
  <c r="H165" i="21"/>
  <c r="I165" i="21" s="1"/>
  <c r="H159" i="21"/>
  <c r="I159" i="21" s="1"/>
  <c r="H146" i="21"/>
  <c r="I146" i="21" s="1"/>
  <c r="H133" i="21"/>
  <c r="I133" i="21" s="1"/>
  <c r="H127" i="21"/>
  <c r="I127" i="21" s="1"/>
  <c r="H114" i="21"/>
  <c r="I114" i="21" s="1"/>
  <c r="H108" i="21"/>
  <c r="I108" i="21" s="1"/>
  <c r="H101" i="21"/>
  <c r="I101" i="21" s="1"/>
  <c r="H95" i="21"/>
  <c r="I95" i="21" s="1"/>
  <c r="H82" i="21"/>
  <c r="I82" i="21" s="1"/>
  <c r="H76" i="21"/>
  <c r="I76" i="21" s="1"/>
  <c r="H69" i="21"/>
  <c r="I69" i="21" s="1"/>
  <c r="H63" i="21"/>
  <c r="I63" i="21" s="1"/>
  <c r="H50" i="21"/>
  <c r="I50" i="21" s="1"/>
  <c r="H44" i="21"/>
  <c r="I44" i="21" s="1"/>
  <c r="H37" i="21"/>
  <c r="I37" i="21" s="1"/>
  <c r="H31" i="21"/>
  <c r="I31" i="21" s="1"/>
  <c r="H18" i="21"/>
  <c r="I18" i="21" s="1"/>
  <c r="H12" i="21"/>
  <c r="I12" i="21" s="1"/>
  <c r="H395" i="21"/>
  <c r="I395" i="21" s="1"/>
  <c r="H342" i="21"/>
  <c r="I342" i="21" s="1"/>
  <c r="H336" i="21"/>
  <c r="I336" i="21" s="1"/>
  <c r="H328" i="21"/>
  <c r="I328" i="21" s="1"/>
  <c r="H299" i="21"/>
  <c r="I299" i="21" s="1"/>
  <c r="H286" i="21"/>
  <c r="I286" i="21" s="1"/>
  <c r="H280" i="21"/>
  <c r="I280" i="21" s="1"/>
  <c r="H267" i="21"/>
  <c r="I267" i="21" s="1"/>
  <c r="H254" i="21"/>
  <c r="I254" i="21" s="1"/>
  <c r="H248" i="21"/>
  <c r="I248" i="21" s="1"/>
  <c r="H235" i="21"/>
  <c r="I235" i="21" s="1"/>
  <c r="H222" i="21"/>
  <c r="I222" i="21" s="1"/>
  <c r="H216" i="21"/>
  <c r="I216" i="21" s="1"/>
  <c r="H203" i="21"/>
  <c r="I203" i="21" s="1"/>
  <c r="H190" i="21"/>
  <c r="I190" i="21" s="1"/>
  <c r="H184" i="21"/>
  <c r="I184" i="21" s="1"/>
  <c r="H177" i="21"/>
  <c r="I177" i="21" s="1"/>
  <c r="H171" i="21"/>
  <c r="I171" i="21" s="1"/>
  <c r="H158" i="21"/>
  <c r="I158" i="21" s="1"/>
  <c r="H152" i="21"/>
  <c r="I152" i="21" s="1"/>
  <c r="H145" i="21"/>
  <c r="I145" i="21" s="1"/>
  <c r="H139" i="21"/>
  <c r="I139" i="21" s="1"/>
  <c r="H126" i="21"/>
  <c r="I126" i="21" s="1"/>
  <c r="H120" i="21"/>
  <c r="I120" i="21" s="1"/>
  <c r="H113" i="21"/>
  <c r="I113" i="21" s="1"/>
  <c r="H107" i="21"/>
  <c r="I107" i="21" s="1"/>
  <c r="H94" i="21"/>
  <c r="I94" i="21" s="1"/>
  <c r="H88" i="21"/>
  <c r="I88" i="21" s="1"/>
  <c r="H81" i="21"/>
  <c r="I81" i="21" s="1"/>
  <c r="H75" i="21"/>
  <c r="I75" i="21" s="1"/>
  <c r="H62" i="21"/>
  <c r="I62" i="21" s="1"/>
  <c r="H56" i="21"/>
  <c r="I56" i="21" s="1"/>
  <c r="H49" i="21"/>
  <c r="I49" i="21" s="1"/>
  <c r="H43" i="21"/>
  <c r="I43" i="21" s="1"/>
  <c r="H30" i="21"/>
  <c r="I30" i="21" s="1"/>
  <c r="H24" i="21"/>
  <c r="I24" i="21" s="1"/>
  <c r="H17" i="21"/>
  <c r="I17" i="21" s="1"/>
  <c r="H11" i="21"/>
  <c r="I11" i="21" s="1"/>
  <c r="H335" i="21"/>
  <c r="I335" i="21" s="1"/>
  <c r="H327" i="21"/>
  <c r="I327" i="21" s="1"/>
  <c r="H320" i="21"/>
  <c r="I320" i="21" s="1"/>
  <c r="H312" i="21"/>
  <c r="I312" i="21" s="1"/>
  <c r="H298" i="21"/>
  <c r="I298" i="21" s="1"/>
  <c r="H279" i="21"/>
  <c r="I279" i="21" s="1"/>
  <c r="H266" i="21"/>
  <c r="I266" i="21" s="1"/>
  <c r="H260" i="21"/>
  <c r="I260" i="21" s="1"/>
  <c r="H247" i="21"/>
  <c r="I247" i="21" s="1"/>
  <c r="H234" i="21"/>
  <c r="I234" i="21" s="1"/>
  <c r="H215" i="21"/>
  <c r="I215" i="21" s="1"/>
  <c r="H202" i="21"/>
  <c r="I202" i="21" s="1"/>
  <c r="H196" i="21"/>
  <c r="I196" i="21" s="1"/>
  <c r="H189" i="21"/>
  <c r="I189" i="21" s="1"/>
  <c r="H183" i="21"/>
  <c r="I183" i="21" s="1"/>
  <c r="H170" i="21"/>
  <c r="I170" i="21" s="1"/>
  <c r="H157" i="21"/>
  <c r="I157" i="21" s="1"/>
  <c r="H151" i="21"/>
  <c r="I151" i="21" s="1"/>
  <c r="H138" i="21"/>
  <c r="I138" i="21" s="1"/>
  <c r="H132" i="21"/>
  <c r="I132" i="21" s="1"/>
  <c r="H125" i="21"/>
  <c r="I125" i="21" s="1"/>
  <c r="H119" i="21"/>
  <c r="I119" i="21" s="1"/>
  <c r="H106" i="21"/>
  <c r="I106" i="21" s="1"/>
  <c r="H93" i="21"/>
  <c r="I93" i="21" s="1"/>
  <c r="H87" i="21"/>
  <c r="I87" i="21" s="1"/>
  <c r="H74" i="21"/>
  <c r="I74" i="21" s="1"/>
  <c r="H68" i="21"/>
  <c r="I68" i="21" s="1"/>
  <c r="H61" i="21"/>
  <c r="I61" i="21" s="1"/>
  <c r="H55" i="21"/>
  <c r="I55" i="21" s="1"/>
  <c r="H42" i="21"/>
  <c r="I42" i="21" s="1"/>
  <c r="H36" i="21"/>
  <c r="I36" i="21" s="1"/>
  <c r="H29" i="21"/>
  <c r="I29" i="21" s="1"/>
  <c r="H23" i="21"/>
  <c r="I23" i="21" s="1"/>
  <c r="H10" i="21"/>
  <c r="I10" i="21" s="1"/>
  <c r="H326" i="21"/>
  <c r="I326" i="21" s="1"/>
  <c r="H319" i="21"/>
  <c r="I319" i="21" s="1"/>
  <c r="H311" i="21"/>
  <c r="I311" i="21" s="1"/>
  <c r="H304" i="21"/>
  <c r="I304" i="21" s="1"/>
  <c r="H297" i="21"/>
  <c r="I297" i="21" s="1"/>
  <c r="H291" i="21"/>
  <c r="I291" i="21" s="1"/>
  <c r="H278" i="21"/>
  <c r="I278" i="21" s="1"/>
  <c r="H272" i="21"/>
  <c r="I272" i="21" s="1"/>
  <c r="H265" i="21"/>
  <c r="I265" i="21" s="1"/>
  <c r="H259" i="21"/>
  <c r="I259" i="21" s="1"/>
  <c r="H240" i="21"/>
  <c r="I240" i="21" s="1"/>
  <c r="H233" i="21"/>
  <c r="I233" i="21" s="1"/>
  <c r="H227" i="21"/>
  <c r="I227" i="21" s="1"/>
  <c r="H214" i="21"/>
  <c r="I214" i="21" s="1"/>
  <c r="H208" i="21"/>
  <c r="I208" i="21" s="1"/>
  <c r="H201" i="21"/>
  <c r="I201" i="21" s="1"/>
  <c r="H195" i="21"/>
  <c r="I195" i="21" s="1"/>
  <c r="H176" i="21"/>
  <c r="I176" i="21" s="1"/>
  <c r="H169" i="21"/>
  <c r="I169" i="21" s="1"/>
  <c r="H163" i="21"/>
  <c r="I163" i="21" s="1"/>
  <c r="H150" i="21"/>
  <c r="I150" i="21" s="1"/>
  <c r="H144" i="21"/>
  <c r="I144" i="21" s="1"/>
  <c r="H137" i="21"/>
  <c r="I137" i="21" s="1"/>
  <c r="H131" i="21"/>
  <c r="I131" i="21" s="1"/>
  <c r="H112" i="21"/>
  <c r="I112" i="21" s="1"/>
  <c r="H105" i="21"/>
  <c r="I105" i="21" s="1"/>
  <c r="H99" i="21"/>
  <c r="I99" i="21" s="1"/>
  <c r="H86" i="21"/>
  <c r="I86" i="21" s="1"/>
  <c r="H80" i="21"/>
  <c r="I80" i="21" s="1"/>
  <c r="H73" i="21"/>
  <c r="I73" i="21" s="1"/>
  <c r="H67" i="21"/>
  <c r="I67" i="21" s="1"/>
  <c r="H54" i="21"/>
  <c r="I54" i="21" s="1"/>
  <c r="H48" i="21"/>
  <c r="I48" i="21" s="1"/>
  <c r="H41" i="21"/>
  <c r="I41" i="21" s="1"/>
  <c r="H35" i="21"/>
  <c r="I35" i="21" s="1"/>
  <c r="H22" i="21"/>
  <c r="I22" i="21" s="1"/>
  <c r="H16" i="21"/>
  <c r="I16" i="21" s="1"/>
  <c r="H9" i="21"/>
  <c r="I9" i="21" s="1"/>
  <c r="H351" i="21"/>
  <c r="I351" i="21" s="1"/>
  <c r="H340" i="21"/>
  <c r="I340" i="21" s="1"/>
  <c r="H333" i="21"/>
  <c r="I333" i="21" s="1"/>
  <c r="H325" i="21"/>
  <c r="I325" i="21" s="1"/>
  <c r="H318" i="21"/>
  <c r="I318" i="21" s="1"/>
  <c r="H303" i="21"/>
  <c r="I303" i="21" s="1"/>
  <c r="H290" i="21"/>
  <c r="I290" i="21" s="1"/>
  <c r="H284" i="21"/>
  <c r="I284" i="21" s="1"/>
  <c r="H271" i="21"/>
  <c r="I271" i="21" s="1"/>
  <c r="H258" i="21"/>
  <c r="I258" i="21" s="1"/>
  <c r="H252" i="21"/>
  <c r="I252" i="21" s="1"/>
  <c r="H239" i="21"/>
  <c r="I239" i="21" s="1"/>
  <c r="H226" i="21"/>
  <c r="I226" i="21" s="1"/>
  <c r="H220" i="21"/>
  <c r="I220" i="21" s="1"/>
  <c r="H213" i="21"/>
  <c r="I213" i="21" s="1"/>
  <c r="H207" i="21"/>
  <c r="I207" i="21" s="1"/>
  <c r="H194" i="21"/>
  <c r="I194" i="21" s="1"/>
  <c r="H188" i="21"/>
  <c r="I188" i="21" s="1"/>
  <c r="H181" i="21"/>
  <c r="I181" i="21" s="1"/>
  <c r="H175" i="21"/>
  <c r="I175" i="21" s="1"/>
  <c r="H162" i="21"/>
  <c r="I162" i="21" s="1"/>
  <c r="H156" i="21"/>
  <c r="I156" i="21" s="1"/>
  <c r="H149" i="21"/>
  <c r="I149" i="21" s="1"/>
  <c r="H143" i="21"/>
  <c r="I143" i="21" s="1"/>
  <c r="H130" i="21"/>
  <c r="I130" i="21" s="1"/>
  <c r="H124" i="21"/>
  <c r="I124" i="21" s="1"/>
  <c r="H117" i="21"/>
  <c r="I117" i="21" s="1"/>
  <c r="H111" i="21"/>
  <c r="I111" i="21" s="1"/>
  <c r="H98" i="21"/>
  <c r="I98" i="21" s="1"/>
  <c r="H92" i="21"/>
  <c r="I92" i="21" s="1"/>
  <c r="H85" i="21"/>
  <c r="I85" i="21" s="1"/>
  <c r="H79" i="21"/>
  <c r="I79" i="21" s="1"/>
  <c r="H66" i="21"/>
  <c r="I66" i="21" s="1"/>
  <c r="H60" i="21"/>
  <c r="I60" i="21" s="1"/>
  <c r="H53" i="21"/>
  <c r="I53" i="21" s="1"/>
  <c r="H47" i="21"/>
  <c r="I47" i="21" s="1"/>
  <c r="H34" i="21"/>
  <c r="I34" i="21" s="1"/>
  <c r="H28" i="21"/>
  <c r="I28" i="21" s="1"/>
  <c r="H21" i="21"/>
  <c r="I21" i="21" s="1"/>
  <c r="H15" i="21"/>
  <c r="I15" i="21" s="1"/>
  <c r="H747" i="21"/>
  <c r="I747" i="21" s="1"/>
  <c r="H345" i="21"/>
  <c r="I345" i="21" s="1"/>
  <c r="H339" i="21"/>
  <c r="I339" i="21" s="1"/>
  <c r="H324" i="21"/>
  <c r="I324" i="21" s="1"/>
  <c r="H317" i="21"/>
  <c r="I317" i="21" s="1"/>
  <c r="H309" i="21"/>
  <c r="I309" i="21" s="1"/>
  <c r="H302" i="21"/>
  <c r="I302" i="21" s="1"/>
  <c r="H296" i="21"/>
  <c r="I296" i="21" s="1"/>
  <c r="H283" i="21"/>
  <c r="I283" i="21" s="1"/>
  <c r="H264" i="21"/>
  <c r="I264" i="21" s="1"/>
  <c r="H251" i="21"/>
  <c r="I251" i="21" s="1"/>
  <c r="H238" i="21"/>
  <c r="I238" i="21" s="1"/>
  <c r="H232" i="21"/>
  <c r="I232" i="21" s="1"/>
  <c r="H219" i="21"/>
  <c r="I219" i="21" s="1"/>
  <c r="H200" i="21"/>
  <c r="I200" i="21" s="1"/>
  <c r="H193" i="21"/>
  <c r="I193" i="21" s="1"/>
  <c r="H187" i="21"/>
  <c r="I187" i="21" s="1"/>
  <c r="H174" i="21"/>
  <c r="I174" i="21" s="1"/>
  <c r="H168" i="21"/>
  <c r="I168" i="21" s="1"/>
  <c r="H155" i="21"/>
  <c r="I155" i="21" s="1"/>
  <c r="H136" i="21"/>
  <c r="I136" i="21" s="1"/>
  <c r="H129" i="21"/>
  <c r="I129" i="21" s="1"/>
  <c r="H123" i="21"/>
  <c r="I123" i="21" s="1"/>
  <c r="H110" i="21"/>
  <c r="I110" i="21" s="1"/>
  <c r="H104" i="21"/>
  <c r="I104" i="21" s="1"/>
  <c r="H91" i="21"/>
  <c r="I91" i="21" s="1"/>
  <c r="H78" i="21"/>
  <c r="I78" i="21" s="1"/>
  <c r="H72" i="21"/>
  <c r="I72" i="21" s="1"/>
  <c r="H59" i="21"/>
  <c r="I59" i="21" s="1"/>
  <c r="H46" i="21"/>
  <c r="I46" i="21" s="1"/>
  <c r="H40" i="21"/>
  <c r="I40" i="21" s="1"/>
  <c r="H27" i="21"/>
  <c r="I27" i="21" s="1"/>
  <c r="H14" i="21"/>
  <c r="I14" i="21" s="1"/>
  <c r="H8" i="21"/>
  <c r="I8" i="21" s="1"/>
  <c r="G857" i="21"/>
  <c r="F857" i="21"/>
  <c r="G869" i="21"/>
  <c r="F869" i="21"/>
  <c r="G757" i="21"/>
  <c r="F757" i="21"/>
  <c r="G716" i="21"/>
  <c r="F716" i="21"/>
  <c r="G638" i="21"/>
  <c r="F638" i="21"/>
  <c r="G574" i="21"/>
  <c r="F574" i="21"/>
  <c r="F822" i="21"/>
  <c r="G822" i="21"/>
  <c r="G798" i="21"/>
  <c r="F798" i="21"/>
  <c r="G834" i="21"/>
  <c r="F834" i="21"/>
  <c r="F871" i="21"/>
  <c r="G871" i="21"/>
  <c r="G807" i="21"/>
  <c r="F807" i="21"/>
  <c r="F983" i="21"/>
  <c r="G983" i="21"/>
  <c r="F951" i="21"/>
  <c r="G951" i="21"/>
  <c r="G892" i="21"/>
  <c r="F892" i="21"/>
  <c r="G877" i="21"/>
  <c r="F877" i="21"/>
  <c r="G648" i="21"/>
  <c r="F648" i="21"/>
  <c r="G388" i="21"/>
  <c r="F388" i="21"/>
  <c r="F345" i="21"/>
  <c r="G848" i="21"/>
  <c r="F848" i="21"/>
  <c r="G824" i="21"/>
  <c r="F824" i="21"/>
  <c r="F790" i="21"/>
  <c r="G790" i="21"/>
  <c r="F607" i="21"/>
  <c r="G607" i="21"/>
  <c r="F543" i="21"/>
  <c r="G543" i="21"/>
  <c r="F473" i="21"/>
  <c r="G941" i="21"/>
  <c r="F941" i="21"/>
  <c r="G933" i="21"/>
  <c r="F933" i="21"/>
  <c r="F903" i="21"/>
  <c r="G903" i="21"/>
  <c r="G635" i="21"/>
  <c r="F635" i="21"/>
  <c r="G629" i="21"/>
  <c r="F629" i="21"/>
  <c r="G600" i="21"/>
  <c r="F600" i="21"/>
  <c r="G542" i="21"/>
  <c r="F542" i="21"/>
  <c r="G501" i="21"/>
  <c r="F501" i="21"/>
  <c r="G964" i="21"/>
  <c r="F964" i="21"/>
  <c r="G956" i="21"/>
  <c r="F956" i="21"/>
  <c r="G780" i="21"/>
  <c r="F780" i="21"/>
  <c r="G617" i="21"/>
  <c r="F617" i="21"/>
  <c r="G611" i="21"/>
  <c r="F611" i="21"/>
  <c r="G588" i="21"/>
  <c r="F588" i="21"/>
  <c r="G582" i="21"/>
  <c r="F582" i="21"/>
  <c r="G553" i="21"/>
  <c r="F553" i="21"/>
  <c r="G524" i="21"/>
  <c r="F524" i="21"/>
  <c r="G460" i="21"/>
  <c r="F460" i="21"/>
  <c r="F727" i="21"/>
  <c r="G727" i="21"/>
  <c r="F695" i="21"/>
  <c r="G695" i="21"/>
  <c r="G558" i="21"/>
  <c r="F558" i="21"/>
  <c r="F373" i="21"/>
  <c r="G644" i="21"/>
  <c r="F644" i="21"/>
  <c r="G569" i="21"/>
  <c r="F569" i="21"/>
  <c r="F516" i="21"/>
  <c r="F452" i="21"/>
  <c r="F429" i="21"/>
  <c r="F365" i="21"/>
  <c r="G985" i="21"/>
  <c r="F985" i="21"/>
  <c r="G977" i="21"/>
  <c r="F977" i="21"/>
  <c r="G921" i="21"/>
  <c r="F921" i="21"/>
  <c r="G913" i="21"/>
  <c r="F913" i="21"/>
  <c r="G900" i="21"/>
  <c r="F900" i="21"/>
  <c r="G626" i="21"/>
  <c r="F626" i="21"/>
  <c r="G684" i="21"/>
  <c r="F684" i="21"/>
  <c r="G620" i="21"/>
  <c r="F620" i="21"/>
  <c r="G608" i="21"/>
  <c r="F608" i="21"/>
  <c r="G596" i="21"/>
  <c r="F596" i="21"/>
  <c r="G396" i="21"/>
  <c r="F396" i="21"/>
  <c r="G437" i="21"/>
  <c r="G301" i="21"/>
  <c r="G237" i="21"/>
  <c r="G205" i="21"/>
  <c r="G154" i="21"/>
  <c r="G148" i="21"/>
  <c r="G141" i="21"/>
  <c r="G135" i="21"/>
  <c r="G116" i="21"/>
  <c r="G537" i="21"/>
  <c r="G473" i="21"/>
  <c r="G409" i="21"/>
  <c r="G353" i="21"/>
  <c r="G281" i="21"/>
  <c r="G224" i="21"/>
  <c r="G192" i="21"/>
  <c r="G166" i="21"/>
  <c r="G147" i="21"/>
  <c r="G134" i="21"/>
  <c r="G121" i="21"/>
  <c r="G115" i="21"/>
  <c r="G102" i="21"/>
  <c r="G96" i="21"/>
  <c r="G89" i="21"/>
  <c r="G83" i="21"/>
  <c r="G268" i="21"/>
  <c r="G229" i="21"/>
  <c r="G197" i="21"/>
  <c r="G172" i="21"/>
  <c r="G146" i="21"/>
  <c r="G140" i="21"/>
  <c r="F537" i="21"/>
  <c r="G481" i="21"/>
  <c r="G417" i="21"/>
  <c r="G216" i="21"/>
  <c r="G184" i="21"/>
  <c r="G145" i="21"/>
  <c r="G139" i="21"/>
  <c r="G120" i="21"/>
  <c r="G113" i="21"/>
  <c r="G107" i="21"/>
  <c r="G94" i="21"/>
  <c r="G88" i="21"/>
  <c r="G81" i="21"/>
  <c r="G75" i="21"/>
  <c r="G62" i="21"/>
  <c r="G56" i="21"/>
  <c r="G49" i="21"/>
  <c r="G43" i="21"/>
  <c r="G30" i="21"/>
  <c r="G24" i="21"/>
  <c r="G17" i="21"/>
  <c r="G11" i="21"/>
  <c r="F437" i="21"/>
  <c r="F407" i="21"/>
  <c r="G365" i="21"/>
  <c r="G260" i="21"/>
  <c r="G221" i="21"/>
  <c r="G189" i="21"/>
  <c r="G157" i="21"/>
  <c r="G125" i="21"/>
  <c r="G516" i="21"/>
  <c r="G452" i="21"/>
  <c r="G208" i="21"/>
  <c r="G163" i="21"/>
  <c r="G137" i="21"/>
  <c r="F417" i="21"/>
  <c r="G653" i="21"/>
  <c r="G493" i="21"/>
  <c r="G429" i="21"/>
  <c r="G373" i="21"/>
  <c r="G245" i="21"/>
  <c r="G213" i="21"/>
  <c r="G181" i="21"/>
  <c r="G175" i="21"/>
  <c r="G143" i="21"/>
  <c r="G130" i="21"/>
  <c r="G124" i="21"/>
  <c r="G117" i="21"/>
  <c r="G111" i="21"/>
  <c r="G98" i="21"/>
  <c r="G92" i="21"/>
  <c r="G85" i="21"/>
  <c r="G79" i="21"/>
  <c r="G66" i="21"/>
  <c r="G60" i="21"/>
  <c r="G53" i="21"/>
  <c r="G47" i="21"/>
  <c r="G34" i="21"/>
  <c r="G28" i="21"/>
  <c r="G21" i="21"/>
  <c r="G15" i="21"/>
  <c r="G747" i="21"/>
  <c r="F653" i="21"/>
  <c r="F493" i="21"/>
  <c r="F409" i="21"/>
  <c r="G345" i="21"/>
  <c r="G332" i="21"/>
  <c r="G324" i="21"/>
  <c r="G309" i="21"/>
  <c r="G289" i="21"/>
  <c r="G232" i="21"/>
  <c r="G200" i="21"/>
  <c r="F481" i="21"/>
  <c r="G407" i="21"/>
  <c r="G93" i="21"/>
  <c r="F93" i="21"/>
  <c r="G5" i="21"/>
  <c r="F5" i="21"/>
  <c r="G1004" i="21"/>
  <c r="F1004" i="21"/>
  <c r="G1003" i="21"/>
  <c r="F1003" i="21"/>
  <c r="F999" i="21"/>
  <c r="G999" i="21"/>
  <c r="G993" i="21"/>
  <c r="F993" i="21"/>
  <c r="G989" i="21"/>
  <c r="F989" i="21"/>
  <c r="G988" i="21"/>
  <c r="F988" i="21"/>
  <c r="F982" i="21"/>
  <c r="G982" i="21"/>
  <c r="G981" i="21"/>
  <c r="F981" i="21"/>
  <c r="G980" i="21"/>
  <c r="F980" i="21"/>
  <c r="G973" i="21"/>
  <c r="F973" i="21"/>
  <c r="G972" i="21"/>
  <c r="F972" i="21"/>
  <c r="G969" i="21"/>
  <c r="F969" i="21"/>
  <c r="F967" i="21"/>
  <c r="G967" i="21"/>
  <c r="G965" i="21"/>
  <c r="F965" i="21"/>
  <c r="G961" i="21"/>
  <c r="F961" i="21"/>
  <c r="G957" i="21"/>
  <c r="F957" i="21"/>
  <c r="G953" i="21"/>
  <c r="F953" i="21"/>
  <c r="F950" i="21"/>
  <c r="G950" i="21"/>
  <c r="G949" i="21"/>
  <c r="F949" i="21"/>
  <c r="G948" i="21"/>
  <c r="F948" i="21"/>
  <c r="G945" i="21"/>
  <c r="F945" i="21"/>
  <c r="G940" i="21"/>
  <c r="F940" i="21"/>
  <c r="G937" i="21"/>
  <c r="F937" i="21"/>
  <c r="F935" i="21"/>
  <c r="G935" i="21"/>
  <c r="G932" i="21"/>
  <c r="F932" i="21"/>
  <c r="G929" i="21"/>
  <c r="F929" i="21"/>
  <c r="G925" i="21"/>
  <c r="F925" i="21"/>
  <c r="G924" i="21"/>
  <c r="F924" i="21"/>
  <c r="F919" i="21"/>
  <c r="G919" i="21"/>
  <c r="F918" i="21"/>
  <c r="G918" i="21"/>
  <c r="G917" i="21"/>
  <c r="F917" i="21"/>
  <c r="G916" i="21"/>
  <c r="F916" i="21"/>
  <c r="G909" i="21"/>
  <c r="F909" i="21"/>
  <c r="G908" i="21"/>
  <c r="F908" i="21"/>
  <c r="G905" i="21"/>
  <c r="F905" i="21"/>
  <c r="G901" i="21"/>
  <c r="F901" i="21"/>
  <c r="G897" i="21"/>
  <c r="F897" i="21"/>
  <c r="G893" i="21"/>
  <c r="F893" i="21"/>
  <c r="G889" i="21"/>
  <c r="F889" i="21"/>
  <c r="F887" i="21"/>
  <c r="G887" i="21"/>
  <c r="F886" i="21"/>
  <c r="G886" i="21"/>
  <c r="G885" i="21"/>
  <c r="F885" i="21"/>
  <c r="G884" i="21"/>
  <c r="F884" i="21"/>
  <c r="G881" i="21"/>
  <c r="F881" i="21"/>
  <c r="G876" i="21"/>
  <c r="F876" i="21"/>
  <c r="G873" i="21"/>
  <c r="F873" i="21"/>
  <c r="G868" i="21"/>
  <c r="F868" i="21"/>
  <c r="G865" i="21"/>
  <c r="F865" i="21"/>
  <c r="G861" i="21"/>
  <c r="F861" i="21"/>
  <c r="G860" i="21"/>
  <c r="F860" i="21"/>
  <c r="F855" i="21"/>
  <c r="G855" i="21"/>
  <c r="F854" i="21"/>
  <c r="G854" i="21"/>
  <c r="G853" i="21"/>
  <c r="F853" i="21"/>
  <c r="G852" i="21"/>
  <c r="F852" i="21"/>
  <c r="G844" i="21"/>
  <c r="F844" i="21"/>
  <c r="G843" i="21"/>
  <c r="F843" i="21"/>
  <c r="G839" i="21"/>
  <c r="F839" i="21"/>
  <c r="G835" i="21"/>
  <c r="F835" i="21"/>
  <c r="G830" i="21"/>
  <c r="F830" i="21"/>
  <c r="G826" i="21"/>
  <c r="F826" i="21"/>
  <c r="F823" i="21"/>
  <c r="G823" i="21"/>
  <c r="G821" i="21"/>
  <c r="F821" i="21"/>
  <c r="G816" i="21"/>
  <c r="F816" i="21"/>
  <c r="G815" i="21"/>
  <c r="F815" i="21"/>
  <c r="G812" i="21"/>
  <c r="F812" i="21"/>
  <c r="G806" i="21"/>
  <c r="F806" i="21"/>
  <c r="G803" i="21"/>
  <c r="F803" i="21"/>
  <c r="G797" i="21"/>
  <c r="F797" i="21"/>
  <c r="G792" i="21"/>
  <c r="F792" i="21"/>
  <c r="F791" i="21"/>
  <c r="G791" i="21"/>
  <c r="G788" i="21"/>
  <c r="F788" i="21"/>
  <c r="G787" i="21"/>
  <c r="F787" i="21"/>
  <c r="F775" i="21"/>
  <c r="G775" i="21"/>
  <c r="G771" i="21"/>
  <c r="F771" i="21"/>
  <c r="G765" i="21"/>
  <c r="F765" i="21"/>
  <c r="F759" i="21"/>
  <c r="G759" i="21"/>
  <c r="F758" i="21"/>
  <c r="G758" i="21"/>
  <c r="G748" i="21"/>
  <c r="F748" i="21"/>
  <c r="F743" i="21"/>
  <c r="G743" i="21"/>
  <c r="G733" i="21"/>
  <c r="F733" i="21"/>
  <c r="F726" i="21"/>
  <c r="G726" i="21"/>
  <c r="G717" i="21"/>
  <c r="F717" i="21"/>
  <c r="F711" i="21"/>
  <c r="G711" i="21"/>
  <c r="G701" i="21"/>
  <c r="F701" i="21"/>
  <c r="F694" i="21"/>
  <c r="G694" i="21"/>
  <c r="G685" i="21"/>
  <c r="F685" i="21"/>
  <c r="F671" i="21"/>
  <c r="G671" i="21"/>
  <c r="G669" i="21"/>
  <c r="F669" i="21"/>
  <c r="G652" i="21"/>
  <c r="F652" i="21"/>
  <c r="G651" i="21"/>
  <c r="F651" i="21"/>
  <c r="G650" i="21"/>
  <c r="F650" i="21"/>
  <c r="G649" i="21"/>
  <c r="F649" i="21"/>
  <c r="G646" i="21"/>
  <c r="F646" i="21"/>
  <c r="G645" i="21"/>
  <c r="F645" i="21"/>
  <c r="G643" i="21"/>
  <c r="F643" i="21"/>
  <c r="G642" i="21"/>
  <c r="F642" i="21"/>
  <c r="G641" i="21"/>
  <c r="F641" i="21"/>
  <c r="G640" i="21"/>
  <c r="F640" i="21"/>
  <c r="F639" i="21"/>
  <c r="G639" i="21"/>
  <c r="G637" i="21"/>
  <c r="F637" i="21"/>
  <c r="G636" i="21"/>
  <c r="F636" i="21"/>
  <c r="G634" i="21"/>
  <c r="F634" i="21"/>
  <c r="G633" i="21"/>
  <c r="F633" i="21"/>
  <c r="G632" i="21"/>
  <c r="F632" i="21"/>
  <c r="G630" i="21"/>
  <c r="F630" i="21"/>
  <c r="G628" i="21"/>
  <c r="F628" i="21"/>
  <c r="G627" i="21"/>
  <c r="F627" i="21"/>
  <c r="G625" i="21"/>
  <c r="F625" i="21"/>
  <c r="G624" i="21"/>
  <c r="F624" i="21"/>
  <c r="G622" i="21"/>
  <c r="F622" i="21"/>
  <c r="G621" i="21"/>
  <c r="F621" i="21"/>
  <c r="G619" i="21"/>
  <c r="F619" i="21"/>
  <c r="G618" i="21"/>
  <c r="F618" i="21"/>
  <c r="G616" i="21"/>
  <c r="F616" i="21"/>
  <c r="G614" i="21"/>
  <c r="F614" i="21"/>
  <c r="G613" i="21"/>
  <c r="F613" i="21"/>
  <c r="G612" i="21"/>
  <c r="F612" i="21"/>
  <c r="G610" i="21"/>
  <c r="F610" i="21"/>
  <c r="G609" i="21"/>
  <c r="F609" i="21"/>
  <c r="G606" i="21"/>
  <c r="F606" i="21"/>
  <c r="G605" i="21"/>
  <c r="F605" i="21"/>
  <c r="G604" i="21"/>
  <c r="F604" i="21"/>
  <c r="G601" i="21"/>
  <c r="F601" i="21"/>
  <c r="G598" i="21"/>
  <c r="F598" i="21"/>
  <c r="G597" i="21"/>
  <c r="F597" i="21"/>
  <c r="G593" i="21"/>
  <c r="F593" i="21"/>
  <c r="G592" i="21"/>
  <c r="F592" i="21"/>
  <c r="G590" i="21"/>
  <c r="F590" i="21"/>
  <c r="G589" i="21"/>
  <c r="F589" i="21"/>
  <c r="G585" i="21"/>
  <c r="F585" i="21"/>
  <c r="G584" i="21"/>
  <c r="F584" i="21"/>
  <c r="G581" i="21"/>
  <c r="F581" i="21"/>
  <c r="G580" i="21"/>
  <c r="F580" i="21"/>
  <c r="G577" i="21"/>
  <c r="F577" i="21"/>
  <c r="G576" i="21"/>
  <c r="F576" i="21"/>
  <c r="F575" i="21"/>
  <c r="G575" i="21"/>
  <c r="G573" i="21"/>
  <c r="F573" i="21"/>
  <c r="G572" i="21"/>
  <c r="F572" i="21"/>
  <c r="G566" i="21"/>
  <c r="F566" i="21"/>
  <c r="G565" i="21"/>
  <c r="F565" i="21"/>
  <c r="G564" i="21"/>
  <c r="F564" i="21"/>
  <c r="G561" i="21"/>
  <c r="F561" i="21"/>
  <c r="G557" i="21"/>
  <c r="F557" i="21"/>
  <c r="G556" i="21"/>
  <c r="F556" i="21"/>
  <c r="G550" i="21"/>
  <c r="F550" i="21"/>
  <c r="G549" i="21"/>
  <c r="F549" i="21"/>
  <c r="G548" i="21"/>
  <c r="F548" i="21"/>
  <c r="G545" i="21"/>
  <c r="F545" i="21"/>
  <c r="G541" i="21"/>
  <c r="F541" i="21"/>
  <c r="G540" i="21"/>
  <c r="F540" i="21"/>
  <c r="G533" i="21"/>
  <c r="F533" i="21"/>
  <c r="G532" i="21"/>
  <c r="F532" i="21"/>
  <c r="G529" i="21"/>
  <c r="F529" i="21"/>
  <c r="G525" i="21"/>
  <c r="F525" i="21"/>
  <c r="G521" i="21"/>
  <c r="F521" i="21"/>
  <c r="G517" i="21"/>
  <c r="F517" i="21"/>
  <c r="G513" i="21"/>
  <c r="F513" i="21"/>
  <c r="F511" i="21"/>
  <c r="G511" i="21"/>
  <c r="F510" i="21"/>
  <c r="G510" i="21"/>
  <c r="G509" i="21"/>
  <c r="F509" i="21"/>
  <c r="G508" i="21"/>
  <c r="F508" i="21"/>
  <c r="G505" i="21"/>
  <c r="F505" i="21"/>
  <c r="G500" i="21"/>
  <c r="F500" i="21"/>
  <c r="G497" i="21"/>
  <c r="F497" i="21"/>
  <c r="G492" i="21"/>
  <c r="F492" i="21"/>
  <c r="G489" i="21"/>
  <c r="F489" i="21"/>
  <c r="G485" i="21"/>
  <c r="F485" i="21"/>
  <c r="G484" i="21"/>
  <c r="F484" i="21"/>
  <c r="G477" i="21"/>
  <c r="F477" i="21"/>
  <c r="G476" i="21"/>
  <c r="F476" i="21"/>
  <c r="G469" i="21"/>
  <c r="F469" i="21"/>
  <c r="G468" i="21"/>
  <c r="F468" i="21"/>
  <c r="G465" i="21"/>
  <c r="F465" i="21"/>
  <c r="G461" i="21"/>
  <c r="F461" i="21"/>
  <c r="G457" i="21"/>
  <c r="F457" i="21"/>
  <c r="G453" i="21"/>
  <c r="F453" i="21"/>
  <c r="G449" i="21"/>
  <c r="F449" i="21"/>
  <c r="G445" i="21"/>
  <c r="F445" i="21"/>
  <c r="G444" i="21"/>
  <c r="F444" i="21"/>
  <c r="G441" i="21"/>
  <c r="F441" i="21"/>
  <c r="G436" i="21"/>
  <c r="F436" i="21"/>
  <c r="G433" i="21"/>
  <c r="F433" i="21"/>
  <c r="G428" i="21"/>
  <c r="F428" i="21"/>
  <c r="G425" i="21"/>
  <c r="F425" i="21"/>
  <c r="G421" i="21"/>
  <c r="F421" i="21"/>
  <c r="G420" i="21"/>
  <c r="F420" i="21"/>
  <c r="G413" i="21"/>
  <c r="F413" i="21"/>
  <c r="G412" i="21"/>
  <c r="F412" i="21"/>
  <c r="G405" i="21"/>
  <c r="F405" i="21"/>
  <c r="G404" i="21"/>
  <c r="F404" i="21"/>
  <c r="G401" i="21"/>
  <c r="F401" i="21"/>
  <c r="G397" i="21"/>
  <c r="F397" i="21"/>
  <c r="G393" i="21"/>
  <c r="F393" i="21"/>
  <c r="G389" i="21"/>
  <c r="F389" i="21"/>
  <c r="G385" i="21"/>
  <c r="F385" i="21"/>
  <c r="G381" i="21"/>
  <c r="F381" i="21"/>
  <c r="G380" i="21"/>
  <c r="F380" i="21"/>
  <c r="G377" i="21"/>
  <c r="F377" i="21"/>
  <c r="G372" i="21"/>
  <c r="F372" i="21"/>
  <c r="G369" i="21"/>
  <c r="F369" i="21"/>
  <c r="G364" i="21"/>
  <c r="F364" i="21"/>
  <c r="G361" i="21"/>
  <c r="F361" i="21"/>
  <c r="G357" i="21"/>
  <c r="F357" i="21"/>
  <c r="G356" i="21"/>
  <c r="F356" i="21"/>
  <c r="G349" i="21"/>
  <c r="F349" i="21"/>
  <c r="G348" i="21"/>
  <c r="F348" i="21"/>
  <c r="G341" i="21"/>
  <c r="F341" i="21"/>
  <c r="G340" i="21"/>
  <c r="F340" i="21"/>
  <c r="G337" i="21"/>
  <c r="F337" i="21"/>
  <c r="G333" i="21"/>
  <c r="F333" i="21"/>
  <c r="G329" i="21"/>
  <c r="F329" i="21"/>
  <c r="G325" i="21"/>
  <c r="F325" i="21"/>
  <c r="G321" i="21"/>
  <c r="F321" i="21"/>
  <c r="G317" i="21"/>
  <c r="F317" i="21"/>
  <c r="G316" i="21"/>
  <c r="F316" i="21"/>
  <c r="G313" i="21"/>
  <c r="F313" i="21"/>
  <c r="G308" i="21"/>
  <c r="F308" i="21"/>
  <c r="G305" i="21"/>
  <c r="F305" i="21"/>
  <c r="G300" i="21"/>
  <c r="F300" i="21"/>
  <c r="G297" i="21"/>
  <c r="F297" i="21"/>
  <c r="G293" i="21"/>
  <c r="F293" i="21"/>
  <c r="G292" i="21"/>
  <c r="F292" i="21"/>
  <c r="G285" i="21"/>
  <c r="F285" i="21"/>
  <c r="G284" i="21"/>
  <c r="F284" i="21"/>
  <c r="F279" i="21"/>
  <c r="G279" i="21"/>
  <c r="G277" i="21"/>
  <c r="F277" i="21"/>
  <c r="G276" i="21"/>
  <c r="F276" i="21"/>
  <c r="G273" i="21"/>
  <c r="F273" i="21"/>
  <c r="G269" i="21"/>
  <c r="F269" i="21"/>
  <c r="G265" i="21"/>
  <c r="F265" i="21"/>
  <c r="G261" i="21"/>
  <c r="F261" i="21"/>
  <c r="G257" i="21"/>
  <c r="F257" i="21"/>
  <c r="G253" i="21"/>
  <c r="F253" i="21"/>
  <c r="G252" i="21"/>
  <c r="F252" i="21"/>
  <c r="G249" i="21"/>
  <c r="F249" i="21"/>
  <c r="G244" i="21"/>
  <c r="F244" i="21"/>
  <c r="G241" i="21"/>
  <c r="F241" i="21"/>
  <c r="G236" i="21"/>
  <c r="F236" i="21"/>
  <c r="G234" i="21"/>
  <c r="F234" i="21"/>
  <c r="G233" i="21"/>
  <c r="F233" i="21"/>
  <c r="G231" i="21"/>
  <c r="F231" i="21"/>
  <c r="G230" i="21"/>
  <c r="F230" i="21"/>
  <c r="G228" i="21"/>
  <c r="F228" i="21"/>
  <c r="G227" i="21"/>
  <c r="F227" i="21"/>
  <c r="G226" i="21"/>
  <c r="F226" i="21"/>
  <c r="G225" i="21"/>
  <c r="F225" i="21"/>
  <c r="G223" i="21"/>
  <c r="F223" i="21"/>
  <c r="G222" i="21"/>
  <c r="F222" i="21"/>
  <c r="G220" i="21"/>
  <c r="F220" i="21"/>
  <c r="G219" i="21"/>
  <c r="F219" i="21"/>
  <c r="G218" i="21"/>
  <c r="F218" i="21"/>
  <c r="G217" i="21"/>
  <c r="F217" i="21"/>
  <c r="G215" i="21"/>
  <c r="F215" i="21"/>
  <c r="G214" i="21"/>
  <c r="F214" i="21"/>
  <c r="G212" i="21"/>
  <c r="F212" i="21"/>
  <c r="G211" i="21"/>
  <c r="F211" i="21"/>
  <c r="G210" i="21"/>
  <c r="F210" i="21"/>
  <c r="G209" i="21"/>
  <c r="F209" i="21"/>
  <c r="G207" i="21"/>
  <c r="F207" i="21"/>
  <c r="G206" i="21"/>
  <c r="F206" i="21"/>
  <c r="G204" i="21"/>
  <c r="F204" i="21"/>
  <c r="G203" i="21"/>
  <c r="F203" i="21"/>
  <c r="G202" i="21"/>
  <c r="F202" i="21"/>
  <c r="G201" i="21"/>
  <c r="F201" i="21"/>
  <c r="G199" i="21"/>
  <c r="F199" i="21"/>
  <c r="G198" i="21"/>
  <c r="F198" i="21"/>
  <c r="G196" i="21"/>
  <c r="F196" i="21"/>
  <c r="G195" i="21"/>
  <c r="F195" i="21"/>
  <c r="G194" i="21"/>
  <c r="F194" i="21"/>
  <c r="G193" i="21"/>
  <c r="F193" i="21"/>
  <c r="G191" i="21"/>
  <c r="F191" i="21"/>
  <c r="G190" i="21"/>
  <c r="F190" i="21"/>
  <c r="G188" i="21"/>
  <c r="F188" i="21"/>
  <c r="G187" i="21"/>
  <c r="F187" i="21"/>
  <c r="G186" i="21"/>
  <c r="F186" i="21"/>
  <c r="G185" i="21"/>
  <c r="F185" i="21"/>
  <c r="G183" i="21"/>
  <c r="F183" i="21"/>
  <c r="G182" i="21"/>
  <c r="F182" i="21"/>
  <c r="G180" i="21"/>
  <c r="F180" i="21"/>
  <c r="G179" i="21"/>
  <c r="F179" i="21"/>
  <c r="G178" i="21"/>
  <c r="F178" i="21"/>
  <c r="G177" i="21"/>
  <c r="F177" i="21"/>
  <c r="G174" i="21"/>
  <c r="F174" i="21"/>
  <c r="G173" i="21"/>
  <c r="F173" i="21"/>
  <c r="G171" i="21"/>
  <c r="F171" i="21"/>
  <c r="G170" i="21"/>
  <c r="F170" i="21"/>
  <c r="G169" i="21"/>
  <c r="F169" i="21"/>
  <c r="G167" i="21"/>
  <c r="F167" i="21"/>
  <c r="G165" i="21"/>
  <c r="F165" i="21"/>
  <c r="G164" i="21"/>
  <c r="F164" i="21"/>
  <c r="G162" i="21"/>
  <c r="F162" i="21"/>
  <c r="G161" i="21"/>
  <c r="F161" i="21"/>
  <c r="G159" i="21"/>
  <c r="F159" i="21"/>
  <c r="G158" i="21"/>
  <c r="F158" i="21"/>
  <c r="G156" i="21"/>
  <c r="F156" i="21"/>
  <c r="G155" i="21"/>
  <c r="F155" i="21"/>
  <c r="G153" i="21"/>
  <c r="F153" i="21"/>
  <c r="G151" i="21"/>
  <c r="F151" i="21"/>
  <c r="G150" i="21"/>
  <c r="F150" i="21"/>
  <c r="G149" i="21"/>
  <c r="F149" i="21"/>
  <c r="G142" i="21"/>
  <c r="F142" i="21"/>
  <c r="G138" i="21"/>
  <c r="F138" i="21"/>
  <c r="G133" i="21"/>
  <c r="F133" i="21"/>
  <c r="G132" i="21"/>
  <c r="F132" i="21"/>
  <c r="G131" i="21"/>
  <c r="F131" i="21"/>
  <c r="G129" i="21"/>
  <c r="F129" i="21"/>
  <c r="G126" i="21"/>
  <c r="F126" i="21"/>
  <c r="G122" i="21"/>
  <c r="F122" i="21"/>
  <c r="G119" i="21"/>
  <c r="F119" i="21"/>
  <c r="G106" i="21"/>
  <c r="G100" i="21"/>
  <c r="G87" i="21"/>
  <c r="G74" i="21"/>
  <c r="G68" i="21"/>
  <c r="G61" i="21"/>
  <c r="G55" i="21"/>
  <c r="G42" i="21"/>
  <c r="G36" i="21"/>
  <c r="G29" i="21"/>
  <c r="G23" i="21"/>
  <c r="G10" i="21"/>
  <c r="G118" i="21"/>
  <c r="G112" i="21"/>
  <c r="G105" i="21"/>
  <c r="G99" i="21"/>
  <c r="G86" i="21"/>
  <c r="G80" i="21"/>
  <c r="G73" i="21"/>
  <c r="G67" i="21"/>
  <c r="G54" i="21"/>
  <c r="G48" i="21"/>
  <c r="G41" i="21"/>
  <c r="G35" i="21"/>
  <c r="G22" i="21"/>
  <c r="G16" i="21"/>
  <c r="G9" i="21"/>
  <c r="G123" i="21"/>
  <c r="G110" i="21"/>
  <c r="G104" i="21"/>
  <c r="G97" i="21"/>
  <c r="G91" i="21"/>
  <c r="G78" i="21"/>
  <c r="G72" i="21"/>
  <c r="G65" i="21"/>
  <c r="G59" i="21"/>
  <c r="G46" i="21"/>
  <c r="G40" i="21"/>
  <c r="G33" i="21"/>
  <c r="G27" i="21"/>
  <c r="G14" i="21"/>
  <c r="G8" i="21"/>
  <c r="G109" i="21"/>
  <c r="G103" i="21"/>
  <c r="G90" i="21"/>
  <c r="G84" i="21"/>
  <c r="G77" i="21"/>
  <c r="G71" i="21"/>
  <c r="G58" i="21"/>
  <c r="G52" i="21"/>
  <c r="G45" i="21"/>
  <c r="G39" i="21"/>
  <c r="G26" i="21"/>
  <c r="G20" i="21"/>
  <c r="G13" i="21"/>
  <c r="G7" i="21"/>
  <c r="G70" i="21"/>
  <c r="G64" i="21"/>
  <c r="G57" i="21"/>
  <c r="G51" i="21"/>
  <c r="G38" i="21"/>
  <c r="G32" i="21"/>
  <c r="G25" i="21"/>
  <c r="G19" i="21"/>
  <c r="G6" i="21"/>
  <c r="G127" i="21"/>
  <c r="G114" i="21"/>
  <c r="G108" i="21"/>
  <c r="G101" i="21"/>
  <c r="G95" i="21"/>
  <c r="G82" i="21"/>
  <c r="G76" i="21"/>
  <c r="G69" i="21"/>
  <c r="G63" i="21"/>
  <c r="G50" i="21"/>
  <c r="G44" i="21"/>
  <c r="G37" i="21"/>
  <c r="G31" i="21"/>
  <c r="G18" i="21"/>
  <c r="G12" i="21"/>
  <c r="G1002" i="21"/>
  <c r="G1001" i="21"/>
  <c r="F1001" i="21"/>
  <c r="G1000" i="21"/>
  <c r="F1000" i="21"/>
  <c r="F998" i="21"/>
  <c r="G998" i="21"/>
  <c r="F997" i="21"/>
  <c r="G997" i="21"/>
  <c r="G996" i="21"/>
  <c r="F996" i="21"/>
  <c r="G995" i="21"/>
  <c r="F995" i="21"/>
  <c r="G994" i="21"/>
  <c r="F994" i="21"/>
  <c r="G992" i="21"/>
  <c r="F992" i="21"/>
  <c r="G991" i="21"/>
  <c r="F991" i="21"/>
  <c r="G990" i="21"/>
  <c r="F990" i="21"/>
  <c r="G987" i="21"/>
  <c r="F987" i="21"/>
  <c r="G986" i="21"/>
  <c r="F986" i="21"/>
  <c r="G984" i="21"/>
  <c r="F984" i="21"/>
  <c r="G979" i="21"/>
  <c r="F979" i="21"/>
  <c r="G978" i="21"/>
  <c r="F978" i="21"/>
  <c r="G976" i="21"/>
  <c r="F976" i="21"/>
  <c r="F975" i="21"/>
  <c r="G975" i="21"/>
  <c r="F974" i="21"/>
  <c r="G974" i="21"/>
  <c r="G971" i="21"/>
  <c r="F971" i="21"/>
  <c r="G970" i="21"/>
  <c r="F970" i="21"/>
  <c r="G968" i="21"/>
  <c r="F968" i="21"/>
  <c r="F966" i="21"/>
  <c r="G966" i="21"/>
  <c r="G963" i="21"/>
  <c r="F963" i="21"/>
  <c r="G962" i="21"/>
  <c r="F962" i="21"/>
  <c r="G960" i="21"/>
  <c r="F960" i="21"/>
  <c r="G959" i="21"/>
  <c r="F959" i="21"/>
  <c r="G958" i="21"/>
  <c r="F958" i="21"/>
  <c r="G955" i="21"/>
  <c r="F955" i="21"/>
  <c r="G954" i="21"/>
  <c r="F954" i="21"/>
  <c r="G952" i="21"/>
  <c r="F952" i="21"/>
  <c r="G947" i="21"/>
  <c r="F947" i="21"/>
  <c r="G946" i="21"/>
  <c r="F946" i="21"/>
  <c r="G944" i="21"/>
  <c r="F944" i="21"/>
  <c r="F943" i="21"/>
  <c r="G943" i="21"/>
  <c r="F942" i="21"/>
  <c r="G942" i="21"/>
  <c r="G939" i="21"/>
  <c r="F939" i="21"/>
  <c r="G938" i="21"/>
  <c r="F938" i="21"/>
  <c r="G936" i="21"/>
  <c r="F936" i="21"/>
  <c r="F934" i="21"/>
  <c r="G934" i="21"/>
  <c r="G931" i="21"/>
  <c r="F931" i="21"/>
  <c r="G930" i="21"/>
  <c r="F930" i="21"/>
  <c r="G928" i="21"/>
  <c r="F928" i="21"/>
  <c r="G927" i="21"/>
  <c r="F927" i="21"/>
  <c r="G926" i="21"/>
  <c r="F926" i="21"/>
  <c r="G923" i="21"/>
  <c r="F923" i="21"/>
  <c r="G922" i="21"/>
  <c r="F922" i="21"/>
  <c r="G920" i="21"/>
  <c r="F920" i="21"/>
  <c r="G915" i="21"/>
  <c r="F915" i="21"/>
  <c r="G914" i="21"/>
  <c r="F914" i="21"/>
  <c r="G912" i="21"/>
  <c r="F912" i="21"/>
  <c r="F911" i="21"/>
  <c r="G911" i="21"/>
  <c r="F910" i="21"/>
  <c r="G910" i="21"/>
  <c r="G907" i="21"/>
  <c r="F907" i="21"/>
  <c r="G906" i="21"/>
  <c r="F906" i="21"/>
  <c r="G904" i="21"/>
  <c r="F904" i="21"/>
  <c r="F902" i="21"/>
  <c r="G902" i="21"/>
  <c r="G899" i="21"/>
  <c r="F899" i="21"/>
  <c r="G898" i="21"/>
  <c r="F898" i="21"/>
  <c r="G896" i="21"/>
  <c r="F896" i="21"/>
  <c r="G895" i="21"/>
  <c r="F895" i="21"/>
  <c r="G894" i="21"/>
  <c r="F894" i="21"/>
  <c r="G891" i="21"/>
  <c r="F891" i="21"/>
  <c r="G890" i="21"/>
  <c r="F890" i="21"/>
  <c r="G888" i="21"/>
  <c r="F888" i="21"/>
  <c r="G883" i="21"/>
  <c r="F883" i="21"/>
  <c r="G882" i="21"/>
  <c r="F882" i="21"/>
  <c r="G880" i="21"/>
  <c r="F880" i="21"/>
  <c r="F879" i="21"/>
  <c r="G879" i="21"/>
  <c r="F878" i="21"/>
  <c r="G878" i="21"/>
  <c r="G875" i="21"/>
  <c r="F875" i="21"/>
  <c r="G874" i="21"/>
  <c r="F874" i="21"/>
  <c r="G872" i="21"/>
  <c r="F872" i="21"/>
  <c r="F870" i="21"/>
  <c r="G870" i="21"/>
  <c r="G867" i="21"/>
  <c r="F867" i="21"/>
  <c r="G866" i="21"/>
  <c r="F866" i="21"/>
  <c r="G864" i="21"/>
  <c r="F864" i="21"/>
  <c r="G863" i="21"/>
  <c r="F863" i="21"/>
  <c r="G862" i="21"/>
  <c r="F862" i="21"/>
  <c r="G859" i="21"/>
  <c r="F859" i="21"/>
  <c r="G858" i="21"/>
  <c r="F858" i="21"/>
  <c r="G856" i="21"/>
  <c r="F856" i="21"/>
  <c r="G851" i="21"/>
  <c r="F851" i="21"/>
  <c r="G850" i="21"/>
  <c r="F850" i="21"/>
  <c r="G849" i="21"/>
  <c r="F849" i="21"/>
  <c r="F847" i="21"/>
  <c r="G847" i="21"/>
  <c r="F846" i="21"/>
  <c r="G846" i="21"/>
  <c r="G845" i="21"/>
  <c r="F845" i="21"/>
  <c r="G842" i="21"/>
  <c r="F842" i="21"/>
  <c r="G841" i="21"/>
  <c r="F841" i="21"/>
  <c r="G840" i="21"/>
  <c r="F840" i="21"/>
  <c r="G838" i="21"/>
  <c r="F838" i="21"/>
  <c r="G837" i="21"/>
  <c r="F837" i="21"/>
  <c r="G836" i="21"/>
  <c r="F836" i="21"/>
  <c r="G833" i="21"/>
  <c r="F833" i="21"/>
  <c r="G832" i="21"/>
  <c r="F832" i="21"/>
  <c r="G831" i="21"/>
  <c r="F831" i="21"/>
  <c r="G829" i="21"/>
  <c r="F829" i="21"/>
  <c r="G828" i="21"/>
  <c r="F828" i="21"/>
  <c r="G827" i="21"/>
  <c r="F827" i="21"/>
  <c r="G825" i="21"/>
  <c r="F825" i="21"/>
  <c r="G820" i="21"/>
  <c r="F820" i="21"/>
  <c r="G819" i="21"/>
  <c r="F819" i="21"/>
  <c r="G818" i="21"/>
  <c r="F818" i="21"/>
  <c r="G817" i="21"/>
  <c r="F817" i="21"/>
  <c r="G814" i="21"/>
  <c r="F814" i="21"/>
  <c r="G813" i="21"/>
  <c r="F813" i="21"/>
  <c r="G811" i="21"/>
  <c r="F811" i="21"/>
  <c r="G810" i="21"/>
  <c r="F810" i="21"/>
  <c r="G809" i="21"/>
  <c r="F809" i="21"/>
  <c r="G808" i="21"/>
  <c r="F808" i="21"/>
  <c r="G805" i="21"/>
  <c r="F805" i="21"/>
  <c r="G804" i="21"/>
  <c r="F804" i="21"/>
  <c r="G802" i="21"/>
  <c r="F802" i="21"/>
  <c r="G801" i="21"/>
  <c r="F801" i="21"/>
  <c r="G800" i="21"/>
  <c r="F800" i="21"/>
  <c r="F799" i="21"/>
  <c r="G799" i="21"/>
  <c r="G796" i="21"/>
  <c r="F796" i="21"/>
  <c r="G795" i="21"/>
  <c r="F795" i="21"/>
  <c r="G794" i="21"/>
  <c r="F794" i="21"/>
  <c r="G793" i="21"/>
  <c r="F793" i="21"/>
  <c r="G789" i="21"/>
  <c r="F789" i="21"/>
  <c r="G786" i="21"/>
  <c r="F786" i="21"/>
  <c r="G785" i="21"/>
  <c r="F785" i="21"/>
  <c r="G784" i="21"/>
  <c r="F784" i="21"/>
  <c r="F783" i="21"/>
  <c r="G783" i="21"/>
  <c r="G782" i="21"/>
  <c r="F782" i="21"/>
  <c r="G781" i="21"/>
  <c r="F781" i="21"/>
  <c r="G779" i="21"/>
  <c r="F779" i="21"/>
  <c r="G778" i="21"/>
  <c r="F778" i="21"/>
  <c r="G777" i="21"/>
  <c r="F777" i="21"/>
  <c r="G776" i="21"/>
  <c r="F776" i="21"/>
  <c r="F774" i="21"/>
  <c r="G774" i="21"/>
  <c r="G773" i="21"/>
  <c r="F773" i="21"/>
  <c r="G772" i="21"/>
  <c r="F772" i="21"/>
  <c r="G770" i="21"/>
  <c r="F770" i="21"/>
  <c r="G769" i="21"/>
  <c r="F769" i="21"/>
  <c r="G768" i="21"/>
  <c r="F768" i="21"/>
  <c r="F767" i="21"/>
  <c r="G767" i="21"/>
  <c r="F766" i="21"/>
  <c r="G766" i="21"/>
  <c r="G764" i="21"/>
  <c r="F764" i="21"/>
  <c r="G763" i="21"/>
  <c r="F763" i="21"/>
  <c r="G762" i="21"/>
  <c r="F762" i="21"/>
  <c r="G761" i="21"/>
  <c r="F761" i="21"/>
  <c r="G760" i="21"/>
  <c r="F760" i="21"/>
  <c r="G756" i="21"/>
  <c r="F756" i="21"/>
  <c r="G755" i="21"/>
  <c r="F755" i="21"/>
  <c r="G754" i="21"/>
  <c r="F754" i="21"/>
  <c r="G753" i="21"/>
  <c r="F753" i="21"/>
  <c r="G752" i="21"/>
  <c r="F752" i="21"/>
  <c r="F751" i="21"/>
  <c r="G751" i="21"/>
  <c r="F750" i="21"/>
  <c r="G750" i="21"/>
  <c r="G749" i="21"/>
  <c r="F749" i="21"/>
  <c r="G746" i="21"/>
  <c r="F746" i="21"/>
  <c r="G744" i="21"/>
  <c r="F744" i="21"/>
  <c r="F742" i="21"/>
  <c r="G742" i="21"/>
  <c r="G741" i="21"/>
  <c r="F741" i="21"/>
  <c r="G740" i="21"/>
  <c r="F740" i="21"/>
  <c r="G739" i="21"/>
  <c r="F739" i="21"/>
  <c r="G738" i="21"/>
  <c r="F738" i="21"/>
  <c r="G737" i="21"/>
  <c r="F737" i="21"/>
  <c r="G736" i="21"/>
  <c r="F736" i="21"/>
  <c r="F735" i="21"/>
  <c r="G735" i="21"/>
  <c r="F734" i="21"/>
  <c r="G734" i="21"/>
  <c r="G732" i="21"/>
  <c r="F732" i="21"/>
  <c r="G731" i="21"/>
  <c r="F731" i="21"/>
  <c r="G730" i="21"/>
  <c r="F730" i="21"/>
  <c r="G729" i="21"/>
  <c r="F729" i="21"/>
  <c r="G728" i="21"/>
  <c r="F728" i="21"/>
  <c r="G725" i="21"/>
  <c r="F725" i="21"/>
  <c r="G724" i="21"/>
  <c r="F724" i="21"/>
  <c r="G723" i="21"/>
  <c r="F723" i="21"/>
  <c r="G722" i="21"/>
  <c r="F722" i="21"/>
  <c r="G721" i="21"/>
  <c r="F721" i="21"/>
  <c r="G720" i="21"/>
  <c r="F720" i="21"/>
  <c r="F719" i="21"/>
  <c r="G719" i="21"/>
  <c r="F718" i="21"/>
  <c r="G718" i="21"/>
  <c r="G715" i="21"/>
  <c r="F715" i="21"/>
  <c r="G714" i="21"/>
  <c r="F714" i="21"/>
  <c r="G713" i="21"/>
  <c r="F713" i="21"/>
  <c r="G712" i="21"/>
  <c r="F712" i="21"/>
  <c r="F710" i="21"/>
  <c r="G710" i="21"/>
  <c r="G709" i="21"/>
  <c r="F709" i="21"/>
  <c r="G708" i="21"/>
  <c r="F708" i="21"/>
  <c r="G707" i="21"/>
  <c r="F707" i="21"/>
  <c r="G706" i="21"/>
  <c r="F706" i="21"/>
  <c r="G705" i="21"/>
  <c r="F705" i="21"/>
  <c r="G704" i="21"/>
  <c r="F704" i="21"/>
  <c r="F703" i="21"/>
  <c r="G703" i="21"/>
  <c r="F702" i="21"/>
  <c r="G702" i="21"/>
  <c r="G700" i="21"/>
  <c r="F700" i="21"/>
  <c r="G699" i="21"/>
  <c r="F699" i="21"/>
  <c r="G698" i="21"/>
  <c r="F698" i="21"/>
  <c r="G697" i="21"/>
  <c r="F697" i="21"/>
  <c r="G696" i="21"/>
  <c r="F696" i="21"/>
  <c r="G693" i="21"/>
  <c r="F693" i="21"/>
  <c r="G692" i="21"/>
  <c r="F692" i="21"/>
  <c r="G691" i="21"/>
  <c r="F691" i="21"/>
  <c r="G690" i="21"/>
  <c r="F690" i="21"/>
  <c r="G689" i="21"/>
  <c r="F689" i="21"/>
  <c r="G688" i="21"/>
  <c r="F688" i="21"/>
  <c r="F687" i="21"/>
  <c r="G687" i="21"/>
  <c r="F686" i="21"/>
  <c r="G686" i="21"/>
  <c r="G683" i="21"/>
  <c r="F683" i="21"/>
  <c r="G682" i="21"/>
  <c r="F682" i="21"/>
  <c r="G681" i="21"/>
  <c r="F681" i="21"/>
  <c r="F680" i="21"/>
  <c r="G680" i="21"/>
  <c r="F679" i="21"/>
  <c r="G679" i="21"/>
  <c r="F678" i="21"/>
  <c r="G678" i="21"/>
  <c r="G677" i="21"/>
  <c r="F677" i="21"/>
  <c r="G676" i="21"/>
  <c r="F676" i="21"/>
  <c r="G675" i="21"/>
  <c r="F675" i="21"/>
  <c r="G674" i="21"/>
  <c r="F674" i="21"/>
  <c r="G673" i="21"/>
  <c r="F673" i="21"/>
  <c r="G672" i="21"/>
  <c r="F672" i="21"/>
  <c r="F670" i="21"/>
  <c r="G670" i="21"/>
  <c r="G668" i="21"/>
  <c r="F668" i="21"/>
  <c r="G667" i="21"/>
  <c r="F667" i="21"/>
  <c r="G666" i="21"/>
  <c r="F666" i="21"/>
  <c r="G665" i="21"/>
  <c r="F665" i="21"/>
  <c r="F664" i="21"/>
  <c r="G664" i="21"/>
  <c r="F663" i="21"/>
  <c r="G663" i="21"/>
  <c r="F662" i="21"/>
  <c r="G662" i="21"/>
  <c r="G661" i="21"/>
  <c r="F661" i="21"/>
  <c r="G660" i="21"/>
  <c r="F660" i="21"/>
  <c r="G659" i="21"/>
  <c r="F659" i="21"/>
  <c r="G658" i="21"/>
  <c r="F658" i="21"/>
  <c r="G657" i="21"/>
  <c r="F657" i="21"/>
  <c r="G656" i="21"/>
  <c r="F656" i="21"/>
  <c r="F655" i="21"/>
  <c r="G655" i="21"/>
  <c r="F654" i="21"/>
  <c r="G654" i="21"/>
  <c r="G647" i="21"/>
  <c r="F647" i="21"/>
  <c r="G631" i="21"/>
  <c r="F631" i="21"/>
  <c r="F623" i="21"/>
  <c r="G623" i="21"/>
  <c r="G615" i="21"/>
  <c r="F615" i="21"/>
  <c r="G603" i="21"/>
  <c r="F603" i="21"/>
  <c r="G602" i="21"/>
  <c r="F602" i="21"/>
  <c r="G599" i="21"/>
  <c r="F599" i="21"/>
  <c r="G595" i="21"/>
  <c r="F595" i="21"/>
  <c r="G594" i="21"/>
  <c r="F594" i="21"/>
  <c r="G591" i="21"/>
  <c r="F591" i="21"/>
  <c r="G587" i="21"/>
  <c r="F587" i="21"/>
  <c r="G586" i="21"/>
  <c r="F586" i="21"/>
  <c r="G583" i="21"/>
  <c r="F583" i="21"/>
  <c r="G579" i="21"/>
  <c r="F579" i="21"/>
  <c r="G578" i="21"/>
  <c r="F578" i="21"/>
  <c r="G571" i="21"/>
  <c r="F571" i="21"/>
  <c r="G570" i="21"/>
  <c r="F570" i="21"/>
  <c r="G568" i="21"/>
  <c r="F568" i="21"/>
  <c r="G567" i="21"/>
  <c r="F567" i="21"/>
  <c r="G563" i="21"/>
  <c r="F563" i="21"/>
  <c r="G562" i="21"/>
  <c r="F562" i="21"/>
  <c r="G560" i="21"/>
  <c r="F560" i="21"/>
  <c r="F559" i="21"/>
  <c r="G559" i="21"/>
  <c r="G555" i="21"/>
  <c r="F555" i="21"/>
  <c r="G554" i="21"/>
  <c r="F554" i="21"/>
  <c r="G552" i="21"/>
  <c r="F552" i="21"/>
  <c r="G551" i="21"/>
  <c r="F551" i="21"/>
  <c r="G547" i="21"/>
  <c r="F547" i="21"/>
  <c r="G546" i="21"/>
  <c r="F546" i="21"/>
  <c r="G544" i="21"/>
  <c r="F544" i="21"/>
  <c r="G539" i="21"/>
  <c r="F539" i="21"/>
  <c r="G538" i="21"/>
  <c r="F538" i="21"/>
  <c r="G536" i="21"/>
  <c r="F536" i="21"/>
  <c r="G535" i="21"/>
  <c r="F535" i="21"/>
  <c r="G534" i="21"/>
  <c r="F534" i="21"/>
  <c r="G531" i="21"/>
  <c r="F531" i="21"/>
  <c r="G530" i="21"/>
  <c r="F530" i="21"/>
  <c r="G528" i="21"/>
  <c r="F528" i="21"/>
  <c r="G527" i="21"/>
  <c r="F527" i="21"/>
  <c r="G526" i="21"/>
  <c r="F526" i="21"/>
  <c r="G523" i="21"/>
  <c r="F523" i="21"/>
  <c r="G522" i="21"/>
  <c r="F522" i="21"/>
  <c r="G520" i="21"/>
  <c r="F520" i="21"/>
  <c r="G519" i="21"/>
  <c r="F519" i="21"/>
  <c r="G518" i="21"/>
  <c r="F518" i="21"/>
  <c r="G515" i="21"/>
  <c r="F515" i="21"/>
  <c r="G514" i="21"/>
  <c r="F514" i="21"/>
  <c r="G512" i="21"/>
  <c r="F512" i="21"/>
  <c r="G507" i="21"/>
  <c r="F507" i="21"/>
  <c r="G506" i="21"/>
  <c r="F506" i="21"/>
  <c r="G504" i="21"/>
  <c r="F504" i="21"/>
  <c r="G503" i="21"/>
  <c r="F503" i="21"/>
  <c r="G502" i="21"/>
  <c r="F502" i="21"/>
  <c r="G499" i="21"/>
  <c r="F499" i="21"/>
  <c r="G498" i="21"/>
  <c r="F498" i="21"/>
  <c r="G496" i="21"/>
  <c r="F496" i="21"/>
  <c r="F495" i="21"/>
  <c r="G495" i="21"/>
  <c r="F494" i="21"/>
  <c r="G494" i="21"/>
  <c r="G491" i="21"/>
  <c r="F491" i="21"/>
  <c r="G490" i="21"/>
  <c r="F490" i="21"/>
  <c r="G488" i="21"/>
  <c r="F488" i="21"/>
  <c r="G487" i="21"/>
  <c r="F487" i="21"/>
  <c r="G486" i="21"/>
  <c r="F486" i="21"/>
  <c r="G483" i="21"/>
  <c r="F483" i="21"/>
  <c r="G482" i="21"/>
  <c r="F482" i="21"/>
  <c r="G480" i="21"/>
  <c r="F480" i="21"/>
  <c r="G479" i="21"/>
  <c r="F479" i="21"/>
  <c r="G478" i="21"/>
  <c r="F478" i="21"/>
  <c r="G475" i="21"/>
  <c r="F475" i="21"/>
  <c r="G474" i="21"/>
  <c r="F474" i="21"/>
  <c r="G472" i="21"/>
  <c r="F472" i="21"/>
  <c r="F471" i="21"/>
  <c r="G471" i="21"/>
  <c r="G470" i="21"/>
  <c r="F470" i="21"/>
  <c r="G467" i="21"/>
  <c r="F467" i="21"/>
  <c r="G466" i="21"/>
  <c r="F466" i="21"/>
  <c r="G464" i="21"/>
  <c r="F464" i="21"/>
  <c r="G463" i="21"/>
  <c r="F463" i="21"/>
  <c r="G462" i="21"/>
  <c r="F462" i="21"/>
  <c r="G459" i="21"/>
  <c r="F459" i="21"/>
  <c r="G458" i="21"/>
  <c r="F458" i="21"/>
  <c r="G456" i="21"/>
  <c r="F456" i="21"/>
  <c r="G455" i="21"/>
  <c r="F455" i="21"/>
  <c r="G454" i="21"/>
  <c r="F454" i="21"/>
  <c r="G451" i="21"/>
  <c r="F451" i="21"/>
  <c r="G450" i="21"/>
  <c r="F450" i="21"/>
  <c r="G448" i="21"/>
  <c r="F448" i="21"/>
  <c r="G447" i="21"/>
  <c r="F447" i="21"/>
  <c r="G446" i="21"/>
  <c r="F446" i="21"/>
  <c r="G443" i="21"/>
  <c r="F443" i="21"/>
  <c r="G442" i="21"/>
  <c r="F442" i="21"/>
  <c r="G440" i="21"/>
  <c r="F440" i="21"/>
  <c r="G439" i="21"/>
  <c r="F439" i="21"/>
  <c r="G438" i="21"/>
  <c r="F438" i="21"/>
  <c r="G435" i="21"/>
  <c r="F435" i="21"/>
  <c r="G434" i="21"/>
  <c r="F434" i="21"/>
  <c r="G432" i="21"/>
  <c r="F432" i="21"/>
  <c r="G431" i="21"/>
  <c r="F431" i="21"/>
  <c r="G430" i="21"/>
  <c r="F430" i="21"/>
  <c r="G427" i="21"/>
  <c r="F427" i="21"/>
  <c r="G426" i="21"/>
  <c r="F426" i="21"/>
  <c r="G424" i="21"/>
  <c r="F424" i="21"/>
  <c r="G423" i="21"/>
  <c r="F423" i="21"/>
  <c r="G422" i="21"/>
  <c r="F422" i="21"/>
  <c r="G419" i="21"/>
  <c r="F419" i="21"/>
  <c r="G418" i="21"/>
  <c r="F418" i="21"/>
  <c r="G416" i="21"/>
  <c r="F416" i="21"/>
  <c r="G415" i="21"/>
  <c r="F415" i="21"/>
  <c r="G414" i="21"/>
  <c r="F414" i="21"/>
  <c r="G411" i="21"/>
  <c r="F411" i="21"/>
  <c r="G410" i="21"/>
  <c r="F410" i="21"/>
  <c r="G408" i="21"/>
  <c r="F408" i="21"/>
  <c r="G406" i="21"/>
  <c r="F406" i="21"/>
  <c r="G403" i="21"/>
  <c r="F403" i="21"/>
  <c r="G402" i="21"/>
  <c r="F402" i="21"/>
  <c r="G400" i="21"/>
  <c r="F400" i="21"/>
  <c r="G399" i="21"/>
  <c r="F399" i="21"/>
  <c r="G398" i="21"/>
  <c r="F398" i="21"/>
  <c r="G394" i="21"/>
  <c r="F394" i="21"/>
  <c r="G392" i="21"/>
  <c r="F392" i="21"/>
  <c r="G391" i="21"/>
  <c r="F391" i="21"/>
  <c r="G390" i="21"/>
  <c r="F390" i="21"/>
  <c r="G387" i="21"/>
  <c r="F387" i="21"/>
  <c r="G386" i="21"/>
  <c r="F386" i="21"/>
  <c r="G384" i="21"/>
  <c r="F384" i="21"/>
  <c r="G383" i="21"/>
  <c r="F383" i="21"/>
  <c r="G382" i="21"/>
  <c r="F382" i="21"/>
  <c r="G379" i="21"/>
  <c r="F379" i="21"/>
  <c r="G378" i="21"/>
  <c r="F378" i="21"/>
  <c r="G376" i="21"/>
  <c r="F376" i="21"/>
  <c r="F375" i="21"/>
  <c r="G375" i="21"/>
  <c r="G374" i="21"/>
  <c r="F374" i="21"/>
  <c r="G371" i="21"/>
  <c r="F371" i="21"/>
  <c r="G370" i="21"/>
  <c r="F370" i="21"/>
  <c r="G368" i="21"/>
  <c r="F368" i="21"/>
  <c r="G367" i="21"/>
  <c r="F367" i="21"/>
  <c r="G366" i="21"/>
  <c r="F366" i="21"/>
  <c r="G363" i="21"/>
  <c r="F363" i="21"/>
  <c r="G362" i="21"/>
  <c r="F362" i="21"/>
  <c r="G360" i="21"/>
  <c r="F360" i="21"/>
  <c r="G359" i="21"/>
  <c r="F359" i="21"/>
  <c r="G358" i="21"/>
  <c r="F358" i="21"/>
  <c r="G355" i="21"/>
  <c r="F355" i="21"/>
  <c r="G354" i="21"/>
  <c r="F354" i="21"/>
  <c r="G352" i="21"/>
  <c r="F352" i="21"/>
  <c r="G351" i="21"/>
  <c r="F351" i="21"/>
  <c r="G350" i="21"/>
  <c r="F350" i="21"/>
  <c r="G347" i="21"/>
  <c r="F347" i="21"/>
  <c r="G346" i="21"/>
  <c r="F346" i="21"/>
  <c r="G344" i="21"/>
  <c r="F344" i="21"/>
  <c r="F343" i="21"/>
  <c r="G343" i="21"/>
  <c r="G342" i="21"/>
  <c r="F342" i="21"/>
  <c r="G339" i="21"/>
  <c r="F339" i="21"/>
  <c r="G338" i="21"/>
  <c r="F338" i="21"/>
  <c r="G336" i="21"/>
  <c r="F336" i="21"/>
  <c r="G335" i="21"/>
  <c r="F335" i="21"/>
  <c r="G334" i="21"/>
  <c r="F334" i="21"/>
  <c r="G331" i="21"/>
  <c r="F331" i="21"/>
  <c r="G330" i="21"/>
  <c r="F330" i="21"/>
  <c r="G328" i="21"/>
  <c r="F328" i="21"/>
  <c r="G327" i="21"/>
  <c r="F327" i="21"/>
  <c r="G326" i="21"/>
  <c r="F326" i="21"/>
  <c r="G323" i="21"/>
  <c r="F323" i="21"/>
  <c r="G322" i="21"/>
  <c r="F322" i="21"/>
  <c r="G320" i="21"/>
  <c r="F320" i="21"/>
  <c r="G319" i="21"/>
  <c r="F319" i="21"/>
  <c r="G318" i="21"/>
  <c r="F318" i="21"/>
  <c r="G315" i="21"/>
  <c r="F315" i="21"/>
  <c r="G314" i="21"/>
  <c r="F314" i="21"/>
  <c r="G312" i="21"/>
  <c r="F312" i="21"/>
  <c r="G311" i="21"/>
  <c r="F311" i="21"/>
  <c r="G310" i="21"/>
  <c r="F310" i="21"/>
  <c r="G307" i="21"/>
  <c r="F307" i="21"/>
  <c r="G306" i="21"/>
  <c r="F306" i="21"/>
  <c r="G304" i="21"/>
  <c r="F304" i="21"/>
  <c r="G303" i="21"/>
  <c r="F303" i="21"/>
  <c r="G302" i="21"/>
  <c r="F302" i="21"/>
  <c r="G299" i="21"/>
  <c r="F299" i="21"/>
  <c r="G298" i="21"/>
  <c r="F298" i="21"/>
  <c r="G296" i="21"/>
  <c r="F296" i="21"/>
  <c r="G295" i="21"/>
  <c r="F295" i="21"/>
  <c r="G294" i="21"/>
  <c r="F294" i="21"/>
  <c r="G291" i="21"/>
  <c r="F291" i="21"/>
  <c r="G290" i="21"/>
  <c r="F290" i="21"/>
  <c r="G288" i="21"/>
  <c r="F288" i="21"/>
  <c r="G287" i="21"/>
  <c r="F287" i="21"/>
  <c r="G286" i="21"/>
  <c r="F286" i="21"/>
  <c r="G283" i="21"/>
  <c r="F283" i="21"/>
  <c r="G282" i="21"/>
  <c r="F282" i="21"/>
  <c r="G280" i="21"/>
  <c r="F280" i="21"/>
  <c r="G278" i="21"/>
  <c r="F278" i="21"/>
  <c r="G275" i="21"/>
  <c r="F275" i="21"/>
  <c r="G274" i="21"/>
  <c r="F274" i="21"/>
  <c r="G272" i="21"/>
  <c r="F272" i="21"/>
  <c r="G271" i="21"/>
  <c r="F271" i="21"/>
  <c r="G270" i="21"/>
  <c r="F270" i="21"/>
  <c r="G267" i="21"/>
  <c r="F267" i="21"/>
  <c r="G266" i="21"/>
  <c r="F266" i="21"/>
  <c r="G264" i="21"/>
  <c r="F264" i="21"/>
  <c r="G263" i="21"/>
  <c r="F263" i="21"/>
  <c r="G262" i="21"/>
  <c r="F262" i="21"/>
  <c r="G259" i="21"/>
  <c r="F259" i="21"/>
  <c r="G258" i="21"/>
  <c r="F258" i="21"/>
  <c r="G256" i="21"/>
  <c r="F256" i="21"/>
  <c r="G255" i="21"/>
  <c r="F255" i="21"/>
  <c r="G254" i="21"/>
  <c r="F254" i="21"/>
  <c r="G251" i="21"/>
  <c r="F251" i="21"/>
  <c r="G250" i="21"/>
  <c r="F250" i="21"/>
  <c r="G248" i="21"/>
  <c r="F248" i="21"/>
  <c r="F247" i="21"/>
  <c r="G247" i="21"/>
  <c r="G246" i="21"/>
  <c r="F246" i="21"/>
  <c r="G243" i="21"/>
  <c r="F243" i="21"/>
  <c r="G242" i="21"/>
  <c r="F242" i="21"/>
  <c r="G240" i="21"/>
  <c r="F240" i="21"/>
  <c r="G239" i="21"/>
  <c r="F239" i="21"/>
  <c r="G238" i="21"/>
  <c r="F238" i="21"/>
  <c r="G235" i="21"/>
  <c r="F235" i="21"/>
  <c r="G176" i="21"/>
  <c r="F176" i="21"/>
  <c r="G168" i="21"/>
  <c r="F168" i="21"/>
  <c r="G160" i="21"/>
  <c r="F160" i="21"/>
  <c r="G152" i="21"/>
  <c r="F152" i="21"/>
  <c r="G144" i="21"/>
  <c r="F144" i="21"/>
  <c r="G136" i="21"/>
  <c r="F136" i="21"/>
  <c r="G128" i="21"/>
  <c r="F128" i="21"/>
  <c r="G395" i="21"/>
  <c r="F395" i="21"/>
  <c r="G745" i="21"/>
  <c r="F745" i="21"/>
  <c r="D54" i="26"/>
  <c r="D51" i="26"/>
  <c r="E49" i="26"/>
  <c r="D56" i="26"/>
  <c r="E57" i="26"/>
  <c r="D48" i="26"/>
  <c r="E54" i="26"/>
  <c r="E51" i="26"/>
  <c r="D49" i="26"/>
  <c r="D50" i="26"/>
  <c r="E53" i="26"/>
  <c r="D58" i="26"/>
  <c r="E55" i="26"/>
  <c r="E52" i="26"/>
  <c r="E48" i="26"/>
  <c r="E47" i="26"/>
  <c r="D53" i="26"/>
  <c r="E58" i="26"/>
  <c r="D55" i="26"/>
  <c r="D47" i="26"/>
  <c r="D57" i="26"/>
  <c r="D52" i="26"/>
  <c r="E50" i="26"/>
  <c r="E56" i="26"/>
  <c r="K104" i="21" l="1"/>
  <c r="J104" i="21"/>
  <c r="K130" i="21"/>
  <c r="J130" i="21"/>
  <c r="K278" i="21"/>
  <c r="J278" i="21"/>
  <c r="K335" i="21"/>
  <c r="J335" i="21"/>
  <c r="K82" i="21"/>
  <c r="J82" i="21"/>
  <c r="K89" i="21"/>
  <c r="J89" i="21"/>
  <c r="K7" i="21"/>
  <c r="J7" i="21"/>
  <c r="K404" i="21"/>
  <c r="J404" i="21"/>
  <c r="K565" i="21"/>
  <c r="J565" i="21"/>
  <c r="K302" i="21"/>
  <c r="J302" i="21"/>
  <c r="K290" i="21"/>
  <c r="J290" i="21"/>
  <c r="K297" i="21"/>
  <c r="J297" i="21"/>
  <c r="K17" i="21"/>
  <c r="J17" i="21"/>
  <c r="K299" i="21"/>
  <c r="J299" i="21"/>
  <c r="K25" i="21"/>
  <c r="J25" i="21"/>
  <c r="K20" i="21"/>
  <c r="J20" i="21"/>
  <c r="K366" i="21"/>
  <c r="J366" i="21"/>
  <c r="K725" i="21"/>
  <c r="J725" i="21"/>
  <c r="K386" i="21"/>
  <c r="J386" i="21"/>
  <c r="K687" i="21"/>
  <c r="J687" i="21"/>
  <c r="K437" i="21"/>
  <c r="J437" i="21"/>
  <c r="K836" i="21"/>
  <c r="J836" i="21"/>
  <c r="K474" i="21"/>
  <c r="J474" i="21"/>
  <c r="K801" i="21"/>
  <c r="J801" i="21"/>
  <c r="K480" i="21"/>
  <c r="J480" i="21"/>
  <c r="K832" i="21"/>
  <c r="J832" i="21"/>
  <c r="K387" i="21"/>
  <c r="J387" i="21"/>
  <c r="K716" i="21"/>
  <c r="J716" i="21"/>
  <c r="J994" i="21"/>
  <c r="K994" i="21"/>
  <c r="K583" i="21"/>
  <c r="J583" i="21"/>
  <c r="K883" i="21"/>
  <c r="J883" i="21"/>
  <c r="K534" i="21"/>
  <c r="J534" i="21"/>
  <c r="K815" i="21"/>
  <c r="J815" i="21"/>
  <c r="K877" i="21"/>
  <c r="J877" i="21"/>
  <c r="K957" i="21"/>
  <c r="J957" i="21"/>
  <c r="K1000" i="21"/>
  <c r="J1000" i="21"/>
  <c r="K940" i="21"/>
  <c r="J940" i="21"/>
  <c r="K46" i="21"/>
  <c r="J46" i="21"/>
  <c r="K129" i="21"/>
  <c r="J129" i="21"/>
  <c r="K219" i="21"/>
  <c r="J219" i="21"/>
  <c r="K309" i="21"/>
  <c r="J309" i="21"/>
  <c r="K28" i="21"/>
  <c r="J28" i="21"/>
  <c r="K92" i="21"/>
  <c r="J92" i="21"/>
  <c r="K156" i="21"/>
  <c r="J156" i="21"/>
  <c r="K220" i="21"/>
  <c r="J220" i="21"/>
  <c r="K303" i="21"/>
  <c r="J303" i="21"/>
  <c r="K22" i="21"/>
  <c r="J22" i="21"/>
  <c r="K86" i="21"/>
  <c r="J86" i="21"/>
  <c r="K163" i="21"/>
  <c r="J163" i="21"/>
  <c r="K233" i="21"/>
  <c r="J233" i="21"/>
  <c r="K304" i="21"/>
  <c r="J304" i="21"/>
  <c r="K42" i="21"/>
  <c r="J42" i="21"/>
  <c r="K119" i="21"/>
  <c r="J119" i="21"/>
  <c r="K189" i="21"/>
  <c r="J189" i="21"/>
  <c r="K279" i="21"/>
  <c r="J279" i="21"/>
  <c r="J24" i="21"/>
  <c r="K24" i="21"/>
  <c r="J88" i="21"/>
  <c r="K88" i="21"/>
  <c r="J152" i="21"/>
  <c r="K152" i="21"/>
  <c r="K222" i="21"/>
  <c r="J222" i="21"/>
  <c r="K328" i="21"/>
  <c r="J328" i="21"/>
  <c r="K44" i="21"/>
  <c r="J44" i="21"/>
  <c r="K108" i="21"/>
  <c r="J108" i="21"/>
  <c r="K178" i="21"/>
  <c r="J178" i="21"/>
  <c r="K274" i="21"/>
  <c r="J274" i="21"/>
  <c r="K32" i="21"/>
  <c r="J32" i="21"/>
  <c r="K115" i="21"/>
  <c r="J115" i="21"/>
  <c r="K192" i="21"/>
  <c r="J192" i="21"/>
  <c r="K262" i="21"/>
  <c r="J262" i="21"/>
  <c r="K330" i="21"/>
  <c r="J330" i="21"/>
  <c r="K26" i="21"/>
  <c r="J26" i="21"/>
  <c r="K90" i="21"/>
  <c r="J90" i="21"/>
  <c r="K154" i="21"/>
  <c r="J154" i="21"/>
  <c r="K218" i="21"/>
  <c r="J218" i="21"/>
  <c r="K282" i="21"/>
  <c r="J282" i="21"/>
  <c r="K33" i="21"/>
  <c r="J33" i="21"/>
  <c r="K97" i="21"/>
  <c r="J97" i="21"/>
  <c r="K140" i="21"/>
  <c r="J140" i="21"/>
  <c r="K373" i="21"/>
  <c r="J373" i="21"/>
  <c r="K442" i="21"/>
  <c r="J442" i="21"/>
  <c r="K506" i="21"/>
  <c r="J506" i="21"/>
  <c r="J564" i="21"/>
  <c r="K564" i="21"/>
  <c r="K617" i="21"/>
  <c r="J617" i="21"/>
  <c r="K681" i="21"/>
  <c r="J681" i="21"/>
  <c r="K730" i="21"/>
  <c r="J730" i="21"/>
  <c r="K803" i="21"/>
  <c r="J803" i="21"/>
  <c r="K867" i="21"/>
  <c r="J867" i="21"/>
  <c r="K926" i="21"/>
  <c r="J926" i="21"/>
  <c r="K310" i="21"/>
  <c r="J310" i="21"/>
  <c r="K399" i="21"/>
  <c r="J399" i="21"/>
  <c r="K454" i="21"/>
  <c r="J454" i="21"/>
  <c r="K518" i="21"/>
  <c r="J518" i="21"/>
  <c r="K586" i="21"/>
  <c r="J586" i="21"/>
  <c r="K643" i="21"/>
  <c r="J643" i="21"/>
  <c r="K693" i="21"/>
  <c r="J693" i="21"/>
  <c r="K761" i="21"/>
  <c r="J761" i="21"/>
  <c r="K823" i="21"/>
  <c r="J823" i="21"/>
  <c r="K891" i="21"/>
  <c r="J891" i="21"/>
  <c r="K951" i="21"/>
  <c r="J951" i="21"/>
  <c r="J380" i="21"/>
  <c r="K380" i="21"/>
  <c r="K443" i="21"/>
  <c r="J443" i="21"/>
  <c r="K507" i="21"/>
  <c r="J507" i="21"/>
  <c r="K566" i="21"/>
  <c r="J566" i="21"/>
  <c r="K655" i="21"/>
  <c r="J655" i="21"/>
  <c r="J715" i="21"/>
  <c r="K715" i="21"/>
  <c r="K789" i="21"/>
  <c r="J789" i="21"/>
  <c r="K843" i="21"/>
  <c r="J843" i="21"/>
  <c r="K912" i="21"/>
  <c r="J912" i="21"/>
  <c r="K350" i="21"/>
  <c r="J350" i="21"/>
  <c r="K407" i="21"/>
  <c r="J407" i="21"/>
  <c r="K485" i="21"/>
  <c r="J485" i="21"/>
  <c r="K550" i="21"/>
  <c r="J550" i="21"/>
  <c r="K613" i="21"/>
  <c r="J613" i="21"/>
  <c r="K673" i="21"/>
  <c r="J673" i="21"/>
  <c r="K738" i="21"/>
  <c r="J738" i="21"/>
  <c r="K806" i="21"/>
  <c r="J806" i="21"/>
  <c r="K870" i="21"/>
  <c r="J870" i="21"/>
  <c r="J930" i="21"/>
  <c r="K930" i="21"/>
  <c r="K357" i="21"/>
  <c r="J357" i="21"/>
  <c r="K427" i="21"/>
  <c r="J427" i="21"/>
  <c r="K486" i="21"/>
  <c r="J486" i="21"/>
  <c r="K545" i="21"/>
  <c r="J545" i="21"/>
  <c r="K602" i="21"/>
  <c r="J602" i="21"/>
  <c r="K651" i="21"/>
  <c r="J651" i="21"/>
  <c r="K723" i="21"/>
  <c r="J723" i="21"/>
  <c r="K780" i="21"/>
  <c r="J780" i="21"/>
  <c r="K839" i="21"/>
  <c r="J839" i="21"/>
  <c r="K894" i="21"/>
  <c r="J894" i="21"/>
  <c r="K963" i="21"/>
  <c r="J963" i="21"/>
  <c r="K991" i="21"/>
  <c r="J991" i="21"/>
  <c r="K253" i="21"/>
  <c r="J253" i="21"/>
  <c r="K393" i="21"/>
  <c r="J393" i="21"/>
  <c r="K467" i="21"/>
  <c r="J467" i="21"/>
  <c r="K531" i="21"/>
  <c r="J531" i="21"/>
  <c r="K587" i="21"/>
  <c r="J587" i="21"/>
  <c r="K644" i="21"/>
  <c r="J644" i="21"/>
  <c r="K721" i="21"/>
  <c r="J721" i="21"/>
  <c r="K767" i="21"/>
  <c r="J767" i="21"/>
  <c r="K850" i="21"/>
  <c r="J850" i="21"/>
  <c r="K906" i="21"/>
  <c r="J906" i="21"/>
  <c r="K969" i="21"/>
  <c r="J969" i="21"/>
  <c r="K1002" i="21"/>
  <c r="J1002" i="21"/>
  <c r="K285" i="21"/>
  <c r="J285" i="21"/>
  <c r="K397" i="21"/>
  <c r="J397" i="21"/>
  <c r="K458" i="21"/>
  <c r="J458" i="21"/>
  <c r="K522" i="21"/>
  <c r="J522" i="21"/>
  <c r="K609" i="21"/>
  <c r="J609" i="21"/>
  <c r="K680" i="21"/>
  <c r="J680" i="21"/>
  <c r="K746" i="21"/>
  <c r="J746" i="21"/>
  <c r="K820" i="21"/>
  <c r="J820" i="21"/>
  <c r="K895" i="21"/>
  <c r="J895" i="21"/>
  <c r="K352" i="21"/>
  <c r="J352" i="21"/>
  <c r="K422" i="21"/>
  <c r="J422" i="21"/>
  <c r="J476" i="21"/>
  <c r="K476" i="21"/>
  <c r="K541" i="21"/>
  <c r="J541" i="21"/>
  <c r="K616" i="21"/>
  <c r="J616" i="21"/>
  <c r="K686" i="21"/>
  <c r="J686" i="21"/>
  <c r="K760" i="21"/>
  <c r="J760" i="21"/>
  <c r="K821" i="21"/>
  <c r="J821" i="21"/>
  <c r="K896" i="21"/>
  <c r="J896" i="21"/>
  <c r="K965" i="21"/>
  <c r="J965" i="21"/>
  <c r="K745" i="21"/>
  <c r="J745" i="21"/>
  <c r="K948" i="21"/>
  <c r="J948" i="21"/>
  <c r="K889" i="21"/>
  <c r="J889" i="21"/>
  <c r="K185" i="21"/>
  <c r="J185" i="21"/>
  <c r="K187" i="21"/>
  <c r="J187" i="21"/>
  <c r="K351" i="21"/>
  <c r="J351" i="21"/>
  <c r="K247" i="21"/>
  <c r="J247" i="21"/>
  <c r="K18" i="21"/>
  <c r="J18" i="21"/>
  <c r="K230" i="21"/>
  <c r="J230" i="21"/>
  <c r="K199" i="21"/>
  <c r="J199" i="21"/>
  <c r="K676" i="21"/>
  <c r="J676" i="21"/>
  <c r="K200" i="21"/>
  <c r="J200" i="21"/>
  <c r="K21" i="21"/>
  <c r="J21" i="21"/>
  <c r="K16" i="21"/>
  <c r="J16" i="21"/>
  <c r="K36" i="21"/>
  <c r="J36" i="21"/>
  <c r="K81" i="21"/>
  <c r="J81" i="21"/>
  <c r="K101" i="21"/>
  <c r="J101" i="21"/>
  <c r="K179" i="21"/>
  <c r="J179" i="21"/>
  <c r="K148" i="21"/>
  <c r="J148" i="21"/>
  <c r="K494" i="21"/>
  <c r="J494" i="21"/>
  <c r="J798" i="21"/>
  <c r="K798" i="21"/>
  <c r="K579" i="21"/>
  <c r="J579" i="21"/>
  <c r="K879" i="21"/>
  <c r="J879" i="21"/>
  <c r="K560" i="21"/>
  <c r="J560" i="21"/>
  <c r="K905" i="21"/>
  <c r="J905" i="21"/>
  <c r="K601" i="21"/>
  <c r="J601" i="21"/>
  <c r="J857" i="21"/>
  <c r="K857" i="21"/>
  <c r="K539" i="21"/>
  <c r="J539" i="21"/>
  <c r="K774" i="21"/>
  <c r="J774" i="21"/>
  <c r="K246" i="21"/>
  <c r="J246" i="21"/>
  <c r="K638" i="21"/>
  <c r="J638" i="21"/>
  <c r="K899" i="21"/>
  <c r="J899" i="21"/>
  <c r="K510" i="21"/>
  <c r="J510" i="21"/>
  <c r="K470" i="21"/>
  <c r="J470" i="21"/>
  <c r="K1004" i="21"/>
  <c r="J1004" i="21"/>
  <c r="K59" i="21"/>
  <c r="J59" i="21"/>
  <c r="K136" i="21"/>
  <c r="J136" i="21"/>
  <c r="K232" i="21"/>
  <c r="J232" i="21"/>
  <c r="K317" i="21"/>
  <c r="J317" i="21"/>
  <c r="K34" i="21"/>
  <c r="J34" i="21"/>
  <c r="K98" i="21"/>
  <c r="J98" i="21"/>
  <c r="K162" i="21"/>
  <c r="J162" i="21"/>
  <c r="K226" i="21"/>
  <c r="J226" i="21"/>
  <c r="K318" i="21"/>
  <c r="J318" i="21"/>
  <c r="K35" i="21"/>
  <c r="J35" i="21"/>
  <c r="K99" i="21"/>
  <c r="J99" i="21"/>
  <c r="K169" i="21"/>
  <c r="J169" i="21"/>
  <c r="K240" i="21"/>
  <c r="J240" i="21"/>
  <c r="K311" i="21"/>
  <c r="J311" i="21"/>
  <c r="K55" i="21"/>
  <c r="J55" i="21"/>
  <c r="K125" i="21"/>
  <c r="J125" i="21"/>
  <c r="J196" i="21"/>
  <c r="K196" i="21"/>
  <c r="K298" i="21"/>
  <c r="J298" i="21"/>
  <c r="K30" i="21"/>
  <c r="J30" i="21"/>
  <c r="K94" i="21"/>
  <c r="J94" i="21"/>
  <c r="K158" i="21"/>
  <c r="J158" i="21"/>
  <c r="K235" i="21"/>
  <c r="J235" i="21"/>
  <c r="K336" i="21"/>
  <c r="J336" i="21"/>
  <c r="K50" i="21"/>
  <c r="J50" i="21"/>
  <c r="K114" i="21"/>
  <c r="J114" i="21"/>
  <c r="K191" i="21"/>
  <c r="J191" i="21"/>
  <c r="K287" i="21"/>
  <c r="J287" i="21"/>
  <c r="K51" i="21"/>
  <c r="J51" i="21"/>
  <c r="K128" i="21"/>
  <c r="J128" i="21"/>
  <c r="K198" i="21"/>
  <c r="J198" i="21"/>
  <c r="K275" i="21"/>
  <c r="J275" i="21"/>
  <c r="K337" i="21"/>
  <c r="J337" i="21"/>
  <c r="K39" i="21"/>
  <c r="J39" i="21"/>
  <c r="K103" i="21"/>
  <c r="J103" i="21"/>
  <c r="K167" i="21"/>
  <c r="J167" i="21"/>
  <c r="K231" i="21"/>
  <c r="J231" i="21"/>
  <c r="K295" i="21"/>
  <c r="J295" i="21"/>
  <c r="K378" i="21"/>
  <c r="J378" i="21"/>
  <c r="K453" i="21"/>
  <c r="J453" i="21"/>
  <c r="K517" i="21"/>
  <c r="J517" i="21"/>
  <c r="K571" i="21"/>
  <c r="J571" i="21"/>
  <c r="K623" i="21"/>
  <c r="J623" i="21"/>
  <c r="K692" i="21"/>
  <c r="J692" i="21"/>
  <c r="K741" i="21"/>
  <c r="J741" i="21"/>
  <c r="K809" i="21"/>
  <c r="J809" i="21"/>
  <c r="J873" i="21"/>
  <c r="K873" i="21"/>
  <c r="K934" i="21"/>
  <c r="J934" i="21"/>
  <c r="K334" i="21"/>
  <c r="J334" i="21"/>
  <c r="K405" i="21"/>
  <c r="J405" i="21"/>
  <c r="K460" i="21"/>
  <c r="J460" i="21"/>
  <c r="K524" i="21"/>
  <c r="J524" i="21"/>
  <c r="K592" i="21"/>
  <c r="J592" i="21"/>
  <c r="K649" i="21"/>
  <c r="J649" i="21"/>
  <c r="K698" i="21"/>
  <c r="J698" i="21"/>
  <c r="K766" i="21"/>
  <c r="J766" i="21"/>
  <c r="K829" i="21"/>
  <c r="J829" i="21"/>
  <c r="J897" i="21"/>
  <c r="K897" i="21"/>
  <c r="K209" i="21"/>
  <c r="J209" i="21"/>
  <c r="K392" i="21"/>
  <c r="J392" i="21"/>
  <c r="K449" i="21"/>
  <c r="J449" i="21"/>
  <c r="K513" i="21"/>
  <c r="J513" i="21"/>
  <c r="K573" i="21"/>
  <c r="J573" i="21"/>
  <c r="K666" i="21"/>
  <c r="J666" i="21"/>
  <c r="K720" i="21"/>
  <c r="J720" i="21"/>
  <c r="K794" i="21"/>
  <c r="J794" i="21"/>
  <c r="K849" i="21"/>
  <c r="J849" i="21"/>
  <c r="K920" i="21"/>
  <c r="J920" i="21"/>
  <c r="K356" i="21"/>
  <c r="J356" i="21"/>
  <c r="K426" i="21"/>
  <c r="J426" i="21"/>
  <c r="K491" i="21"/>
  <c r="J491" i="21"/>
  <c r="K556" i="21"/>
  <c r="J556" i="21"/>
  <c r="K620" i="21"/>
  <c r="J620" i="21"/>
  <c r="K684" i="21"/>
  <c r="J684" i="21"/>
  <c r="K744" i="21"/>
  <c r="J744" i="21"/>
  <c r="K812" i="21"/>
  <c r="J812" i="21"/>
  <c r="J881" i="21"/>
  <c r="K881" i="21"/>
  <c r="K938" i="21"/>
  <c r="J938" i="21"/>
  <c r="K370" i="21"/>
  <c r="J370" i="21"/>
  <c r="K433" i="21"/>
  <c r="J433" i="21"/>
  <c r="K492" i="21"/>
  <c r="J492" i="21"/>
  <c r="K557" i="21"/>
  <c r="J557" i="21"/>
  <c r="K608" i="21"/>
  <c r="J608" i="21"/>
  <c r="K657" i="21"/>
  <c r="J657" i="21"/>
  <c r="K728" i="21"/>
  <c r="J728" i="21"/>
  <c r="K785" i="21"/>
  <c r="J785" i="21"/>
  <c r="K845" i="21"/>
  <c r="J845" i="21"/>
  <c r="K908" i="21"/>
  <c r="J908" i="21"/>
  <c r="K982" i="21"/>
  <c r="J982" i="21"/>
  <c r="K999" i="21"/>
  <c r="J999" i="21"/>
  <c r="K261" i="21"/>
  <c r="J261" i="21"/>
  <c r="K400" i="21"/>
  <c r="J400" i="21"/>
  <c r="K473" i="21"/>
  <c r="J473" i="21"/>
  <c r="K538" i="21"/>
  <c r="J538" i="21"/>
  <c r="K600" i="21"/>
  <c r="J600" i="21"/>
  <c r="K650" i="21"/>
  <c r="J650" i="21"/>
  <c r="K727" i="21"/>
  <c r="J727" i="21"/>
  <c r="K773" i="21"/>
  <c r="J773" i="21"/>
  <c r="K856" i="21"/>
  <c r="J856" i="21"/>
  <c r="J913" i="21"/>
  <c r="K913" i="21"/>
  <c r="K977" i="21"/>
  <c r="J977" i="21"/>
  <c r="K971" i="21"/>
  <c r="J971" i="21"/>
  <c r="K293" i="21"/>
  <c r="J293" i="21"/>
  <c r="K402" i="21"/>
  <c r="J402" i="21"/>
  <c r="K469" i="21"/>
  <c r="J469" i="21"/>
  <c r="K533" i="21"/>
  <c r="J533" i="21"/>
  <c r="K615" i="21"/>
  <c r="J615" i="21"/>
  <c r="K685" i="21"/>
  <c r="J685" i="21"/>
  <c r="J753" i="21"/>
  <c r="K753" i="21"/>
  <c r="K827" i="21"/>
  <c r="J827" i="21"/>
  <c r="K901" i="21"/>
  <c r="J901" i="21"/>
  <c r="K358" i="21"/>
  <c r="J358" i="21"/>
  <c r="K429" i="21"/>
  <c r="J429" i="21"/>
  <c r="K487" i="21"/>
  <c r="J487" i="21"/>
  <c r="K546" i="21"/>
  <c r="J546" i="21"/>
  <c r="K622" i="21"/>
  <c r="J622" i="21"/>
  <c r="K702" i="21"/>
  <c r="J702" i="21"/>
  <c r="K770" i="21"/>
  <c r="J770" i="21"/>
  <c r="J834" i="21"/>
  <c r="K834" i="21"/>
  <c r="K902" i="21"/>
  <c r="J902" i="21"/>
  <c r="K973" i="21"/>
  <c r="J973" i="21"/>
  <c r="K1001" i="21"/>
  <c r="J1001" i="21"/>
  <c r="K956" i="21"/>
  <c r="J956" i="21"/>
  <c r="K909" i="21"/>
  <c r="J909" i="21"/>
  <c r="K66" i="21"/>
  <c r="J66" i="21"/>
  <c r="K137" i="21"/>
  <c r="J137" i="21"/>
  <c r="K157" i="21"/>
  <c r="J157" i="21"/>
  <c r="K280" i="21"/>
  <c r="J280" i="21"/>
  <c r="K160" i="21"/>
  <c r="J160" i="21"/>
  <c r="K135" i="21"/>
  <c r="J135" i="21"/>
  <c r="K618" i="21"/>
  <c r="J618" i="21"/>
  <c r="K123" i="21"/>
  <c r="J123" i="21"/>
  <c r="K213" i="21"/>
  <c r="J213" i="21"/>
  <c r="K227" i="21"/>
  <c r="J227" i="21"/>
  <c r="K266" i="21"/>
  <c r="J266" i="21"/>
  <c r="K37" i="21"/>
  <c r="J37" i="21"/>
  <c r="K102" i="21"/>
  <c r="J102" i="21"/>
  <c r="K276" i="21"/>
  <c r="J276" i="21"/>
  <c r="K559" i="21"/>
  <c r="J559" i="21"/>
  <c r="K918" i="21"/>
  <c r="J918" i="21"/>
  <c r="K636" i="21"/>
  <c r="J636" i="21"/>
  <c r="K943" i="21"/>
  <c r="J943" i="21"/>
  <c r="K710" i="21"/>
  <c r="J710" i="21"/>
  <c r="K544" i="21"/>
  <c r="J544" i="21"/>
  <c r="K922" i="21"/>
  <c r="J922" i="21"/>
  <c r="K595" i="21"/>
  <c r="J595" i="21"/>
  <c r="K955" i="21"/>
  <c r="J955" i="21"/>
  <c r="K580" i="21"/>
  <c r="J580" i="21"/>
  <c r="J961" i="21"/>
  <c r="K961" i="21"/>
  <c r="K446" i="21"/>
  <c r="J446" i="21"/>
  <c r="K814" i="21"/>
  <c r="J814" i="21"/>
  <c r="K603" i="21"/>
  <c r="J603" i="21"/>
  <c r="K72" i="21"/>
  <c r="J72" i="21"/>
  <c r="K155" i="21"/>
  <c r="J155" i="21"/>
  <c r="K238" i="21"/>
  <c r="J238" i="21"/>
  <c r="K324" i="21"/>
  <c r="J324" i="21"/>
  <c r="J47" i="21"/>
  <c r="K47" i="21"/>
  <c r="J111" i="21"/>
  <c r="K111" i="21"/>
  <c r="J175" i="21"/>
  <c r="K175" i="21"/>
  <c r="K239" i="21"/>
  <c r="J239" i="21"/>
  <c r="K325" i="21"/>
  <c r="J325" i="21"/>
  <c r="K41" i="21"/>
  <c r="J41" i="21"/>
  <c r="K105" i="21"/>
  <c r="J105" i="21"/>
  <c r="K176" i="21"/>
  <c r="J176" i="21"/>
  <c r="K259" i="21"/>
  <c r="J259" i="21"/>
  <c r="K319" i="21"/>
  <c r="J319" i="21"/>
  <c r="K61" i="21"/>
  <c r="J61" i="21"/>
  <c r="J132" i="21"/>
  <c r="K132" i="21"/>
  <c r="K202" i="21"/>
  <c r="J202" i="21"/>
  <c r="K312" i="21"/>
  <c r="J312" i="21"/>
  <c r="K43" i="21"/>
  <c r="J43" i="21"/>
  <c r="K107" i="21"/>
  <c r="J107" i="21"/>
  <c r="K171" i="21"/>
  <c r="J171" i="21"/>
  <c r="K248" i="21"/>
  <c r="J248" i="21"/>
  <c r="K342" i="21"/>
  <c r="J342" i="21"/>
  <c r="K63" i="21"/>
  <c r="J63" i="21"/>
  <c r="K127" i="21"/>
  <c r="J127" i="21"/>
  <c r="K197" i="21"/>
  <c r="J197" i="21"/>
  <c r="K300" i="21"/>
  <c r="J300" i="21"/>
  <c r="K57" i="21"/>
  <c r="J57" i="21"/>
  <c r="K134" i="21"/>
  <c r="J134" i="21"/>
  <c r="K211" i="21"/>
  <c r="J211" i="21"/>
  <c r="K281" i="21"/>
  <c r="J281" i="21"/>
  <c r="K343" i="21"/>
  <c r="J343" i="21"/>
  <c r="K45" i="21"/>
  <c r="J45" i="21"/>
  <c r="K109" i="21"/>
  <c r="J109" i="21"/>
  <c r="K173" i="21"/>
  <c r="J173" i="21"/>
  <c r="K237" i="21"/>
  <c r="J237" i="21"/>
  <c r="K301" i="21"/>
  <c r="J301" i="21"/>
  <c r="K38" i="21"/>
  <c r="J38" i="21"/>
  <c r="K100" i="21"/>
  <c r="J100" i="21"/>
  <c r="K221" i="21"/>
  <c r="J221" i="21"/>
  <c r="K385" i="21"/>
  <c r="J385" i="21"/>
  <c r="K459" i="21"/>
  <c r="J459" i="21"/>
  <c r="K523" i="21"/>
  <c r="J523" i="21"/>
  <c r="K578" i="21"/>
  <c r="J578" i="21"/>
  <c r="K628" i="21"/>
  <c r="J628" i="21"/>
  <c r="K697" i="21"/>
  <c r="J697" i="21"/>
  <c r="J754" i="21"/>
  <c r="K754" i="21"/>
  <c r="K822" i="21"/>
  <c r="J822" i="21"/>
  <c r="K878" i="21"/>
  <c r="J878" i="21"/>
  <c r="K942" i="21"/>
  <c r="J942" i="21"/>
  <c r="K341" i="21"/>
  <c r="J341" i="21"/>
  <c r="K411" i="21"/>
  <c r="J411" i="21"/>
  <c r="K471" i="21"/>
  <c r="J471" i="21"/>
  <c r="K536" i="21"/>
  <c r="J536" i="21"/>
  <c r="K598" i="21"/>
  <c r="J598" i="21"/>
  <c r="K654" i="21"/>
  <c r="J654" i="21"/>
  <c r="K709" i="21"/>
  <c r="J709" i="21"/>
  <c r="K771" i="21"/>
  <c r="J771" i="21"/>
  <c r="K842" i="21"/>
  <c r="J842" i="21"/>
  <c r="K904" i="21"/>
  <c r="J904" i="21"/>
  <c r="K245" i="21"/>
  <c r="J245" i="21"/>
  <c r="K406" i="21"/>
  <c r="J406" i="21"/>
  <c r="K461" i="21"/>
  <c r="J461" i="21"/>
  <c r="K525" i="21"/>
  <c r="J525" i="21"/>
  <c r="J593" i="21"/>
  <c r="K593" i="21"/>
  <c r="K671" i="21"/>
  <c r="J671" i="21"/>
  <c r="K731" i="21"/>
  <c r="J731" i="21"/>
  <c r="K799" i="21"/>
  <c r="J799" i="21"/>
  <c r="K862" i="21"/>
  <c r="J862" i="21"/>
  <c r="K928" i="21"/>
  <c r="J928" i="21"/>
  <c r="K363" i="21"/>
  <c r="J363" i="21"/>
  <c r="K432" i="21"/>
  <c r="J432" i="21"/>
  <c r="K497" i="21"/>
  <c r="J497" i="21"/>
  <c r="K568" i="21"/>
  <c r="J568" i="21"/>
  <c r="K632" i="21"/>
  <c r="J632" i="21"/>
  <c r="J689" i="21"/>
  <c r="K689" i="21"/>
  <c r="K752" i="21"/>
  <c r="J752" i="21"/>
  <c r="K819" i="21"/>
  <c r="J819" i="21"/>
  <c r="K887" i="21"/>
  <c r="J887" i="21"/>
  <c r="J946" i="21"/>
  <c r="K946" i="21"/>
  <c r="K376" i="21"/>
  <c r="J376" i="21"/>
  <c r="K439" i="21"/>
  <c r="J439" i="21"/>
  <c r="K503" i="21"/>
  <c r="J503" i="21"/>
  <c r="K562" i="21"/>
  <c r="J562" i="21"/>
  <c r="K614" i="21"/>
  <c r="J614" i="21"/>
  <c r="K662" i="21"/>
  <c r="J662" i="21"/>
  <c r="K733" i="21"/>
  <c r="J733" i="21"/>
  <c r="K791" i="21"/>
  <c r="J791" i="21"/>
  <c r="K858" i="21"/>
  <c r="J858" i="21"/>
  <c r="K915" i="21"/>
  <c r="J915" i="21"/>
  <c r="K990" i="21"/>
  <c r="J990" i="21"/>
  <c r="K944" i="21"/>
  <c r="J944" i="21"/>
  <c r="K268" i="21"/>
  <c r="J268" i="21"/>
  <c r="K413" i="21"/>
  <c r="J413" i="21"/>
  <c r="K479" i="21"/>
  <c r="J479" i="21"/>
  <c r="K549" i="21"/>
  <c r="J549" i="21"/>
  <c r="J607" i="21"/>
  <c r="K607" i="21"/>
  <c r="K660" i="21"/>
  <c r="J660" i="21"/>
  <c r="K732" i="21"/>
  <c r="J732" i="21"/>
  <c r="K784" i="21"/>
  <c r="J784" i="21"/>
  <c r="K863" i="21"/>
  <c r="J863" i="21"/>
  <c r="K921" i="21"/>
  <c r="J921" i="21"/>
  <c r="K985" i="21"/>
  <c r="J985" i="21"/>
  <c r="J979" i="21"/>
  <c r="K979" i="21"/>
  <c r="K331" i="21"/>
  <c r="J331" i="21"/>
  <c r="K409" i="21"/>
  <c r="J409" i="21"/>
  <c r="K475" i="21"/>
  <c r="J475" i="21"/>
  <c r="K540" i="21"/>
  <c r="J540" i="21"/>
  <c r="K627" i="21"/>
  <c r="J627" i="21"/>
  <c r="K691" i="21"/>
  <c r="J691" i="21"/>
  <c r="K759" i="21"/>
  <c r="J759" i="21"/>
  <c r="K833" i="21"/>
  <c r="J833" i="21"/>
  <c r="K916" i="21"/>
  <c r="J916" i="21"/>
  <c r="K365" i="21"/>
  <c r="J365" i="21"/>
  <c r="K434" i="21"/>
  <c r="J434" i="21"/>
  <c r="K499" i="21"/>
  <c r="J499" i="21"/>
  <c r="K552" i="21"/>
  <c r="J552" i="21"/>
  <c r="J647" i="21"/>
  <c r="K647" i="21"/>
  <c r="K713" i="21"/>
  <c r="J713" i="21"/>
  <c r="K776" i="21"/>
  <c r="J776" i="21"/>
  <c r="K840" i="21"/>
  <c r="J840" i="21"/>
  <c r="K917" i="21"/>
  <c r="J917" i="21"/>
  <c r="K981" i="21"/>
  <c r="J981" i="21"/>
  <c r="K964" i="21"/>
  <c r="J964" i="21"/>
  <c r="K5" i="21"/>
  <c r="J5" i="21"/>
  <c r="K747" i="21"/>
  <c r="J747" i="21"/>
  <c r="K67" i="21"/>
  <c r="J67" i="21"/>
  <c r="K62" i="21"/>
  <c r="J62" i="21"/>
  <c r="K159" i="21"/>
  <c r="J159" i="21"/>
  <c r="K71" i="21"/>
  <c r="J71" i="21"/>
  <c r="K804" i="21"/>
  <c r="J804" i="21"/>
  <c r="K85" i="21"/>
  <c r="J85" i="21"/>
  <c r="K80" i="21"/>
  <c r="J80" i="21"/>
  <c r="K106" i="21"/>
  <c r="J106" i="21"/>
  <c r="K145" i="21"/>
  <c r="J145" i="21"/>
  <c r="K172" i="21"/>
  <c r="J172" i="21"/>
  <c r="K322" i="21"/>
  <c r="J322" i="21"/>
  <c r="K212" i="21"/>
  <c r="J212" i="21"/>
  <c r="K610" i="21"/>
  <c r="J610" i="21"/>
  <c r="K860" i="21"/>
  <c r="J860" i="21"/>
  <c r="K448" i="21"/>
  <c r="J448" i="21"/>
  <c r="K755" i="21"/>
  <c r="J755" i="21"/>
  <c r="K374" i="21"/>
  <c r="J374" i="21"/>
  <c r="K637" i="21"/>
  <c r="J637" i="21"/>
  <c r="K401" i="21"/>
  <c r="J401" i="21"/>
  <c r="K722" i="21"/>
  <c r="J722" i="21"/>
  <c r="K420" i="21"/>
  <c r="J420" i="21"/>
  <c r="K717" i="21"/>
  <c r="J717" i="21"/>
  <c r="K983" i="21"/>
  <c r="J983" i="21"/>
  <c r="K519" i="21"/>
  <c r="J519" i="21"/>
  <c r="K837" i="21"/>
  <c r="J837" i="21"/>
  <c r="K383" i="21"/>
  <c r="J383" i="21"/>
  <c r="K734" i="21"/>
  <c r="J734" i="21"/>
  <c r="K410" i="21"/>
  <c r="J410" i="21"/>
  <c r="K675" i="21"/>
  <c r="J675" i="21"/>
  <c r="K78" i="21"/>
  <c r="J78" i="21"/>
  <c r="K168" i="21"/>
  <c r="J168" i="21"/>
  <c r="K251" i="21"/>
  <c r="J251" i="21"/>
  <c r="K339" i="21"/>
  <c r="J339" i="21"/>
  <c r="K53" i="21"/>
  <c r="J53" i="21"/>
  <c r="K117" i="21"/>
  <c r="J117" i="21"/>
  <c r="K181" i="21"/>
  <c r="J181" i="21"/>
  <c r="K252" i="21"/>
  <c r="J252" i="21"/>
  <c r="K333" i="21"/>
  <c r="J333" i="21"/>
  <c r="K48" i="21"/>
  <c r="J48" i="21"/>
  <c r="K112" i="21"/>
  <c r="J112" i="21"/>
  <c r="K195" i="21"/>
  <c r="J195" i="21"/>
  <c r="K265" i="21"/>
  <c r="J265" i="21"/>
  <c r="K326" i="21"/>
  <c r="J326" i="21"/>
  <c r="K68" i="21"/>
  <c r="J68" i="21"/>
  <c r="K138" i="21"/>
  <c r="J138" i="21"/>
  <c r="K215" i="21"/>
  <c r="J215" i="21"/>
  <c r="K320" i="21"/>
  <c r="J320" i="21"/>
  <c r="K49" i="21"/>
  <c r="J49" i="21"/>
  <c r="K113" i="21"/>
  <c r="J113" i="21"/>
  <c r="K177" i="21"/>
  <c r="J177" i="21"/>
  <c r="K254" i="21"/>
  <c r="J254" i="21"/>
  <c r="K395" i="21"/>
  <c r="J395" i="21"/>
  <c r="K69" i="21"/>
  <c r="J69" i="21"/>
  <c r="K133" i="21"/>
  <c r="J133" i="21"/>
  <c r="K210" i="21"/>
  <c r="J210" i="21"/>
  <c r="K306" i="21"/>
  <c r="J306" i="21"/>
  <c r="K64" i="21"/>
  <c r="J64" i="21"/>
  <c r="K147" i="21"/>
  <c r="J147" i="21"/>
  <c r="K217" i="21"/>
  <c r="J217" i="21"/>
  <c r="K288" i="21"/>
  <c r="J288" i="21"/>
  <c r="K349" i="21"/>
  <c r="J349" i="21"/>
  <c r="K52" i="21"/>
  <c r="J52" i="21"/>
  <c r="K116" i="21"/>
  <c r="J116" i="21"/>
  <c r="K180" i="21"/>
  <c r="J180" i="21"/>
  <c r="K244" i="21"/>
  <c r="J244" i="21"/>
  <c r="K308" i="21"/>
  <c r="J308" i="21"/>
  <c r="K229" i="21"/>
  <c r="J229" i="21"/>
  <c r="K391" i="21"/>
  <c r="J391" i="21"/>
  <c r="J465" i="21"/>
  <c r="K465" i="21"/>
  <c r="K529" i="21"/>
  <c r="J529" i="21"/>
  <c r="K585" i="21"/>
  <c r="J585" i="21"/>
  <c r="K635" i="21"/>
  <c r="J635" i="21"/>
  <c r="K703" i="21"/>
  <c r="J703" i="21"/>
  <c r="K765" i="21"/>
  <c r="J765" i="21"/>
  <c r="K828" i="21"/>
  <c r="J828" i="21"/>
  <c r="K884" i="21"/>
  <c r="J884" i="21"/>
  <c r="K950" i="21"/>
  <c r="J950" i="21"/>
  <c r="K347" i="21"/>
  <c r="J347" i="21"/>
  <c r="K417" i="21"/>
  <c r="J417" i="21"/>
  <c r="K483" i="21"/>
  <c r="J483" i="21"/>
  <c r="K542" i="21"/>
  <c r="J542" i="21"/>
  <c r="K605" i="21"/>
  <c r="J605" i="21"/>
  <c r="K659" i="21"/>
  <c r="J659" i="21"/>
  <c r="K726" i="21"/>
  <c r="J726" i="21"/>
  <c r="K777" i="21"/>
  <c r="J777" i="21"/>
  <c r="K848" i="21"/>
  <c r="J848" i="21"/>
  <c r="K911" i="21"/>
  <c r="J911" i="21"/>
  <c r="K289" i="21"/>
  <c r="J289" i="21"/>
  <c r="K412" i="21"/>
  <c r="J412" i="21"/>
  <c r="K466" i="21"/>
  <c r="J466" i="21"/>
  <c r="K530" i="21"/>
  <c r="J530" i="21"/>
  <c r="K599" i="21"/>
  <c r="J599" i="21"/>
  <c r="K677" i="21"/>
  <c r="J677" i="21"/>
  <c r="K750" i="21"/>
  <c r="J750" i="21"/>
  <c r="K805" i="21"/>
  <c r="J805" i="21"/>
  <c r="K868" i="21"/>
  <c r="J868" i="21"/>
  <c r="K936" i="21"/>
  <c r="J936" i="21"/>
  <c r="K369" i="21"/>
  <c r="J369" i="21"/>
  <c r="K445" i="21"/>
  <c r="J445" i="21"/>
  <c r="K509" i="21"/>
  <c r="J509" i="21"/>
  <c r="K575" i="21"/>
  <c r="J575" i="21"/>
  <c r="K639" i="21"/>
  <c r="J639" i="21"/>
  <c r="K695" i="21"/>
  <c r="J695" i="21"/>
  <c r="K768" i="21"/>
  <c r="J768" i="21"/>
  <c r="K825" i="21"/>
  <c r="J825" i="21"/>
  <c r="K893" i="21"/>
  <c r="J893" i="21"/>
  <c r="K954" i="21"/>
  <c r="J954" i="21"/>
  <c r="K389" i="21"/>
  <c r="J389" i="21"/>
  <c r="K451" i="21"/>
  <c r="J451" i="21"/>
  <c r="K515" i="21"/>
  <c r="J515" i="21"/>
  <c r="K569" i="21"/>
  <c r="J569" i="21"/>
  <c r="K621" i="21"/>
  <c r="J621" i="21"/>
  <c r="K679" i="21"/>
  <c r="J679" i="21"/>
  <c r="K739" i="21"/>
  <c r="J739" i="21"/>
  <c r="K796" i="21"/>
  <c r="J796" i="21"/>
  <c r="K864" i="21"/>
  <c r="J864" i="21"/>
  <c r="K923" i="21"/>
  <c r="J923" i="21"/>
  <c r="K998" i="21"/>
  <c r="J998" i="21"/>
  <c r="K952" i="21"/>
  <c r="J952" i="21"/>
  <c r="K362" i="21"/>
  <c r="J362" i="21"/>
  <c r="K419" i="21"/>
  <c r="J419" i="21"/>
  <c r="K484" i="21"/>
  <c r="J484" i="21"/>
  <c r="K555" i="21"/>
  <c r="J555" i="21"/>
  <c r="K612" i="21"/>
  <c r="J612" i="21"/>
  <c r="J672" i="21"/>
  <c r="K672" i="21"/>
  <c r="K737" i="21"/>
  <c r="J737" i="21"/>
  <c r="K800" i="21"/>
  <c r="J800" i="21"/>
  <c r="K869" i="21"/>
  <c r="J869" i="21"/>
  <c r="J929" i="21"/>
  <c r="K929" i="21"/>
  <c r="J993" i="21"/>
  <c r="K993" i="21"/>
  <c r="K987" i="21"/>
  <c r="J987" i="21"/>
  <c r="K338" i="21"/>
  <c r="J338" i="21"/>
  <c r="K415" i="21"/>
  <c r="J415" i="21"/>
  <c r="K481" i="21"/>
  <c r="J481" i="21"/>
  <c r="K551" i="21"/>
  <c r="J551" i="21"/>
  <c r="K634" i="21"/>
  <c r="J634" i="21"/>
  <c r="J696" i="21"/>
  <c r="K696" i="21"/>
  <c r="K764" i="21"/>
  <c r="J764" i="21"/>
  <c r="K846" i="21"/>
  <c r="J846" i="21"/>
  <c r="K924" i="21"/>
  <c r="J924" i="21"/>
  <c r="K372" i="21"/>
  <c r="J372" i="21"/>
  <c r="K441" i="21"/>
  <c r="J441" i="21"/>
  <c r="K505" i="21"/>
  <c r="J505" i="21"/>
  <c r="K558" i="21"/>
  <c r="J558" i="21"/>
  <c r="K653" i="21"/>
  <c r="J653" i="21"/>
  <c r="K724" i="21"/>
  <c r="J724" i="21"/>
  <c r="K781" i="21"/>
  <c r="J781" i="21"/>
  <c r="K847" i="21"/>
  <c r="J847" i="21"/>
  <c r="K925" i="21"/>
  <c r="J925" i="21"/>
  <c r="K989" i="21"/>
  <c r="J989" i="21"/>
  <c r="K972" i="21"/>
  <c r="J972" i="21"/>
  <c r="K14" i="21"/>
  <c r="J14" i="21"/>
  <c r="K283" i="21"/>
  <c r="J283" i="21"/>
  <c r="K271" i="21"/>
  <c r="J271" i="21"/>
  <c r="K23" i="21"/>
  <c r="J23" i="21"/>
  <c r="K126" i="21"/>
  <c r="J126" i="21"/>
  <c r="K329" i="21"/>
  <c r="J329" i="21"/>
  <c r="K263" i="21"/>
  <c r="J263" i="21"/>
  <c r="K861" i="21"/>
  <c r="J861" i="21"/>
  <c r="K40" i="21"/>
  <c r="J40" i="21"/>
  <c r="K149" i="21"/>
  <c r="J149" i="21"/>
  <c r="K150" i="21"/>
  <c r="J150" i="21"/>
  <c r="K183" i="21"/>
  <c r="J183" i="21"/>
  <c r="K216" i="21"/>
  <c r="J216" i="21"/>
  <c r="K255" i="21"/>
  <c r="J255" i="21"/>
  <c r="K256" i="21"/>
  <c r="J256" i="21"/>
  <c r="K84" i="21"/>
  <c r="J84" i="21"/>
  <c r="K435" i="21"/>
  <c r="J435" i="21"/>
  <c r="K670" i="21"/>
  <c r="J670" i="21"/>
  <c r="K273" i="21"/>
  <c r="J273" i="21"/>
  <c r="K512" i="21"/>
  <c r="J512" i="21"/>
  <c r="K816" i="21"/>
  <c r="J816" i="21"/>
  <c r="K501" i="21"/>
  <c r="J501" i="21"/>
  <c r="K783" i="21"/>
  <c r="J783" i="21"/>
  <c r="K321" i="21"/>
  <c r="J321" i="21"/>
  <c r="K667" i="21"/>
  <c r="J667" i="21"/>
  <c r="K344" i="21"/>
  <c r="J344" i="21"/>
  <c r="K646" i="21"/>
  <c r="J646" i="21"/>
  <c r="K888" i="21"/>
  <c r="J888" i="21"/>
  <c r="K455" i="21"/>
  <c r="J455" i="21"/>
  <c r="K762" i="21"/>
  <c r="J762" i="21"/>
  <c r="K270" i="21"/>
  <c r="J270" i="21"/>
  <c r="K674" i="21"/>
  <c r="J674" i="21"/>
  <c r="K332" i="21"/>
  <c r="J332" i="21"/>
  <c r="K748" i="21"/>
  <c r="J748" i="21"/>
  <c r="K8" i="21"/>
  <c r="J8" i="21"/>
  <c r="K91" i="21"/>
  <c r="J91" i="21"/>
  <c r="K174" i="21"/>
  <c r="J174" i="21"/>
  <c r="K264" i="21"/>
  <c r="J264" i="21"/>
  <c r="K345" i="21"/>
  <c r="J345" i="21"/>
  <c r="K60" i="21"/>
  <c r="J60" i="21"/>
  <c r="K124" i="21"/>
  <c r="J124" i="21"/>
  <c r="K188" i="21"/>
  <c r="J188" i="21"/>
  <c r="K258" i="21"/>
  <c r="J258" i="21"/>
  <c r="K340" i="21"/>
  <c r="J340" i="21"/>
  <c r="K54" i="21"/>
  <c r="J54" i="21"/>
  <c r="K131" i="21"/>
  <c r="J131" i="21"/>
  <c r="K201" i="21"/>
  <c r="J201" i="21"/>
  <c r="K272" i="21"/>
  <c r="J272" i="21"/>
  <c r="K10" i="21"/>
  <c r="J10" i="21"/>
  <c r="K74" i="21"/>
  <c r="J74" i="21"/>
  <c r="K151" i="21"/>
  <c r="J151" i="21"/>
  <c r="K234" i="21"/>
  <c r="J234" i="21"/>
  <c r="K327" i="21"/>
  <c r="J327" i="21"/>
  <c r="K56" i="21"/>
  <c r="J56" i="21"/>
  <c r="K120" i="21"/>
  <c r="J120" i="21"/>
  <c r="K184" i="21"/>
  <c r="J184" i="21"/>
  <c r="K267" i="21"/>
  <c r="J267" i="21"/>
  <c r="K12" i="21"/>
  <c r="J12" i="21"/>
  <c r="K76" i="21"/>
  <c r="J76" i="21"/>
  <c r="K146" i="21"/>
  <c r="J146" i="21"/>
  <c r="K223" i="21"/>
  <c r="J223" i="21"/>
  <c r="K314" i="21"/>
  <c r="J314" i="21"/>
  <c r="K83" i="21"/>
  <c r="J83" i="21"/>
  <c r="K153" i="21"/>
  <c r="J153" i="21"/>
  <c r="K224" i="21"/>
  <c r="J224" i="21"/>
  <c r="K294" i="21"/>
  <c r="J294" i="21"/>
  <c r="K355" i="21"/>
  <c r="J355" i="21"/>
  <c r="K58" i="21"/>
  <c r="J58" i="21"/>
  <c r="K122" i="21"/>
  <c r="J122" i="21"/>
  <c r="K186" i="21"/>
  <c r="J186" i="21"/>
  <c r="K250" i="21"/>
  <c r="J250" i="21"/>
  <c r="K316" i="21"/>
  <c r="J316" i="21"/>
  <c r="K65" i="21"/>
  <c r="J65" i="21"/>
  <c r="K118" i="21"/>
  <c r="J118" i="21"/>
  <c r="K346" i="21"/>
  <c r="J346" i="21"/>
  <c r="K398" i="21"/>
  <c r="J398" i="21"/>
  <c r="K477" i="21"/>
  <c r="J477" i="21"/>
  <c r="K535" i="21"/>
  <c r="J535" i="21"/>
  <c r="K591" i="21"/>
  <c r="J591" i="21"/>
  <c r="K642" i="21"/>
  <c r="J642" i="21"/>
  <c r="K708" i="21"/>
  <c r="J708" i="21"/>
  <c r="K782" i="21"/>
  <c r="J782" i="21"/>
  <c r="K835" i="21"/>
  <c r="J835" i="21"/>
  <c r="K890" i="21"/>
  <c r="J890" i="21"/>
  <c r="K958" i="21"/>
  <c r="J958" i="21"/>
  <c r="K354" i="21"/>
  <c r="J354" i="21"/>
  <c r="K423" i="21"/>
  <c r="J423" i="21"/>
  <c r="K489" i="21"/>
  <c r="J489" i="21"/>
  <c r="K554" i="21"/>
  <c r="J554" i="21"/>
  <c r="K611" i="21"/>
  <c r="J611" i="21"/>
  <c r="J665" i="21"/>
  <c r="K665" i="21"/>
  <c r="K736" i="21"/>
  <c r="J736" i="21"/>
  <c r="K788" i="21"/>
  <c r="J788" i="21"/>
  <c r="K855" i="21"/>
  <c r="J855" i="21"/>
  <c r="K919" i="21"/>
  <c r="J919" i="21"/>
  <c r="K348" i="21"/>
  <c r="J348" i="21"/>
  <c r="K418" i="21"/>
  <c r="J418" i="21"/>
  <c r="K472" i="21"/>
  <c r="J472" i="21"/>
  <c r="K537" i="21"/>
  <c r="J537" i="21"/>
  <c r="K606" i="21"/>
  <c r="J606" i="21"/>
  <c r="K683" i="21"/>
  <c r="J683" i="21"/>
  <c r="K756" i="21"/>
  <c r="J756" i="21"/>
  <c r="K811" i="21"/>
  <c r="J811" i="21"/>
  <c r="K880" i="21"/>
  <c r="J880" i="21"/>
  <c r="K225" i="21"/>
  <c r="J225" i="21"/>
  <c r="K382" i="21"/>
  <c r="J382" i="21"/>
  <c r="K450" i="21"/>
  <c r="J450" i="21"/>
  <c r="K514" i="21"/>
  <c r="J514" i="21"/>
  <c r="K581" i="21"/>
  <c r="J581" i="21"/>
  <c r="K645" i="21"/>
  <c r="J645" i="21"/>
  <c r="K700" i="21"/>
  <c r="J700" i="21"/>
  <c r="K779" i="21"/>
  <c r="J779" i="21"/>
  <c r="J838" i="21"/>
  <c r="K838" i="21"/>
  <c r="K900" i="21"/>
  <c r="J900" i="21"/>
  <c r="J962" i="21"/>
  <c r="K962" i="21"/>
  <c r="K396" i="21"/>
  <c r="J396" i="21"/>
  <c r="K457" i="21"/>
  <c r="J457" i="21"/>
  <c r="K521" i="21"/>
  <c r="J521" i="21"/>
  <c r="K576" i="21"/>
  <c r="J576" i="21"/>
  <c r="K626" i="21"/>
  <c r="J626" i="21"/>
  <c r="J690" i="21"/>
  <c r="K690" i="21"/>
  <c r="K758" i="21"/>
  <c r="J758" i="21"/>
  <c r="K807" i="21"/>
  <c r="J807" i="21"/>
  <c r="K871" i="21"/>
  <c r="J871" i="21"/>
  <c r="K931" i="21"/>
  <c r="J931" i="21"/>
  <c r="K959" i="21"/>
  <c r="J959" i="21"/>
  <c r="K960" i="21"/>
  <c r="J960" i="21"/>
  <c r="K368" i="21"/>
  <c r="J368" i="21"/>
  <c r="K425" i="21"/>
  <c r="J425" i="21"/>
  <c r="K496" i="21"/>
  <c r="J496" i="21"/>
  <c r="J561" i="21"/>
  <c r="K561" i="21"/>
  <c r="K619" i="21"/>
  <c r="J619" i="21"/>
  <c r="K678" i="21"/>
  <c r="J678" i="21"/>
  <c r="K743" i="21"/>
  <c r="J743" i="21"/>
  <c r="J818" i="21"/>
  <c r="K818" i="21"/>
  <c r="K875" i="21"/>
  <c r="J875" i="21"/>
  <c r="K937" i="21"/>
  <c r="J937" i="21"/>
  <c r="K970" i="21"/>
  <c r="J970" i="21"/>
  <c r="K995" i="21"/>
  <c r="J995" i="21"/>
  <c r="J364" i="21"/>
  <c r="K364" i="21"/>
  <c r="K421" i="21"/>
  <c r="J421" i="21"/>
  <c r="K493" i="21"/>
  <c r="J493" i="21"/>
  <c r="K563" i="21"/>
  <c r="J563" i="21"/>
  <c r="K641" i="21"/>
  <c r="J641" i="21"/>
  <c r="K701" i="21"/>
  <c r="J701" i="21"/>
  <c r="K775" i="21"/>
  <c r="J775" i="21"/>
  <c r="K852" i="21"/>
  <c r="J852" i="21"/>
  <c r="K228" i="21"/>
  <c r="J228" i="21"/>
  <c r="K384" i="21"/>
  <c r="J384" i="21"/>
  <c r="K447" i="21"/>
  <c r="J447" i="21"/>
  <c r="K511" i="21"/>
  <c r="J511" i="21"/>
  <c r="K584" i="21"/>
  <c r="J584" i="21"/>
  <c r="K658" i="21"/>
  <c r="J658" i="21"/>
  <c r="J729" i="21"/>
  <c r="K729" i="21"/>
  <c r="K786" i="21"/>
  <c r="J786" i="21"/>
  <c r="K853" i="21"/>
  <c r="J853" i="21"/>
  <c r="K933" i="21"/>
  <c r="J933" i="21"/>
  <c r="K997" i="21"/>
  <c r="J997" i="21"/>
  <c r="K161" i="21"/>
  <c r="J161" i="21"/>
  <c r="K980" i="21"/>
  <c r="J980" i="21"/>
  <c r="K194" i="21"/>
  <c r="J194" i="21"/>
  <c r="K208" i="21"/>
  <c r="J208" i="21"/>
  <c r="K87" i="21"/>
  <c r="J87" i="21"/>
  <c r="K190" i="21"/>
  <c r="J190" i="21"/>
  <c r="K236" i="21"/>
  <c r="J236" i="21"/>
  <c r="K307" i="21"/>
  <c r="J307" i="21"/>
  <c r="K323" i="21"/>
  <c r="J323" i="21"/>
  <c r="K353" i="21"/>
  <c r="J353" i="21"/>
  <c r="K482" i="21"/>
  <c r="J482" i="21"/>
  <c r="K547" i="21"/>
  <c r="J547" i="21"/>
  <c r="K597" i="21"/>
  <c r="J597" i="21"/>
  <c r="K648" i="21"/>
  <c r="J648" i="21"/>
  <c r="J714" i="21"/>
  <c r="K714" i="21"/>
  <c r="K787" i="21"/>
  <c r="J787" i="21"/>
  <c r="K841" i="21"/>
  <c r="J841" i="21"/>
  <c r="K903" i="21"/>
  <c r="J903" i="21"/>
  <c r="J966" i="21"/>
  <c r="K966" i="21"/>
  <c r="K360" i="21"/>
  <c r="J360" i="21"/>
  <c r="K430" i="21"/>
  <c r="J430" i="21"/>
  <c r="K495" i="21"/>
  <c r="J495" i="21"/>
  <c r="K742" i="21"/>
  <c r="J742" i="21"/>
  <c r="K927" i="21"/>
  <c r="J927" i="21"/>
  <c r="K361" i="21"/>
  <c r="J361" i="21"/>
  <c r="K424" i="21"/>
  <c r="J424" i="21"/>
  <c r="K478" i="21"/>
  <c r="J478" i="21"/>
  <c r="K543" i="21"/>
  <c r="J543" i="21"/>
  <c r="K624" i="21"/>
  <c r="J624" i="21"/>
  <c r="K694" i="21"/>
  <c r="J694" i="21"/>
  <c r="K772" i="21"/>
  <c r="J772" i="21"/>
  <c r="J817" i="21"/>
  <c r="K817" i="21"/>
  <c r="K885" i="21"/>
  <c r="J885" i="21"/>
  <c r="K305" i="21"/>
  <c r="J305" i="21"/>
  <c r="K388" i="21"/>
  <c r="J388" i="21"/>
  <c r="K456" i="21"/>
  <c r="J456" i="21"/>
  <c r="K520" i="21"/>
  <c r="J520" i="21"/>
  <c r="K588" i="21"/>
  <c r="J588" i="21"/>
  <c r="K656" i="21"/>
  <c r="J656" i="21"/>
  <c r="K705" i="21"/>
  <c r="J705" i="21"/>
  <c r="K790" i="21"/>
  <c r="J790" i="21"/>
  <c r="K844" i="21"/>
  <c r="J844" i="21"/>
  <c r="K907" i="21"/>
  <c r="J907" i="21"/>
  <c r="K277" i="21"/>
  <c r="J277" i="21"/>
  <c r="K408" i="21"/>
  <c r="J408" i="21"/>
  <c r="K463" i="21"/>
  <c r="J463" i="21"/>
  <c r="K527" i="21"/>
  <c r="J527" i="21"/>
  <c r="K582" i="21"/>
  <c r="J582" i="21"/>
  <c r="J633" i="21"/>
  <c r="K633" i="21"/>
  <c r="K706" i="21"/>
  <c r="J706" i="21"/>
  <c r="K763" i="21"/>
  <c r="J763" i="21"/>
  <c r="K813" i="21"/>
  <c r="J813" i="21"/>
  <c r="K876" i="21"/>
  <c r="J876" i="21"/>
  <c r="K939" i="21"/>
  <c r="J939" i="21"/>
  <c r="K967" i="21"/>
  <c r="J967" i="21"/>
  <c r="K968" i="21"/>
  <c r="J968" i="21"/>
  <c r="K375" i="21"/>
  <c r="J375" i="21"/>
  <c r="K438" i="21"/>
  <c r="J438" i="21"/>
  <c r="K502" i="21"/>
  <c r="J502" i="21"/>
  <c r="K567" i="21"/>
  <c r="J567" i="21"/>
  <c r="K625" i="21"/>
  <c r="J625" i="21"/>
  <c r="K688" i="21"/>
  <c r="J688" i="21"/>
  <c r="K751" i="21"/>
  <c r="J751" i="21"/>
  <c r="K824" i="21"/>
  <c r="J824" i="21"/>
  <c r="K886" i="21"/>
  <c r="J886" i="21"/>
  <c r="J945" i="21"/>
  <c r="K945" i="21"/>
  <c r="J978" i="21"/>
  <c r="K978" i="21"/>
  <c r="K1003" i="21"/>
  <c r="J1003" i="21"/>
  <c r="K371" i="21"/>
  <c r="J371" i="21"/>
  <c r="K428" i="21"/>
  <c r="J428" i="21"/>
  <c r="K498" i="21"/>
  <c r="J498" i="21"/>
  <c r="K570" i="21"/>
  <c r="J570" i="21"/>
  <c r="K652" i="21"/>
  <c r="J652" i="21"/>
  <c r="K707" i="21"/>
  <c r="J707" i="21"/>
  <c r="K792" i="21"/>
  <c r="J792" i="21"/>
  <c r="K859" i="21"/>
  <c r="J859" i="21"/>
  <c r="K249" i="21"/>
  <c r="J249" i="21"/>
  <c r="K390" i="21"/>
  <c r="J390" i="21"/>
  <c r="K452" i="21"/>
  <c r="J452" i="21"/>
  <c r="K516" i="21"/>
  <c r="J516" i="21"/>
  <c r="K590" i="21"/>
  <c r="J590" i="21"/>
  <c r="K663" i="21"/>
  <c r="J663" i="21"/>
  <c r="K735" i="21"/>
  <c r="J735" i="21"/>
  <c r="K797" i="21"/>
  <c r="J797" i="21"/>
  <c r="K866" i="21"/>
  <c r="J866" i="21"/>
  <c r="K941" i="21"/>
  <c r="J941" i="21"/>
  <c r="K984" i="21"/>
  <c r="J984" i="21"/>
  <c r="K988" i="21"/>
  <c r="J988" i="21"/>
  <c r="K27" i="21"/>
  <c r="J27" i="21"/>
  <c r="K110" i="21"/>
  <c r="J110" i="21"/>
  <c r="K193" i="21"/>
  <c r="J193" i="21"/>
  <c r="K296" i="21"/>
  <c r="J296" i="21"/>
  <c r="K15" i="21"/>
  <c r="J15" i="21"/>
  <c r="K79" i="21"/>
  <c r="J79" i="21"/>
  <c r="K143" i="21"/>
  <c r="J143" i="21"/>
  <c r="K207" i="21"/>
  <c r="J207" i="21"/>
  <c r="K284" i="21"/>
  <c r="J284" i="21"/>
  <c r="K9" i="21"/>
  <c r="J9" i="21"/>
  <c r="K73" i="21"/>
  <c r="J73" i="21"/>
  <c r="K144" i="21"/>
  <c r="J144" i="21"/>
  <c r="K214" i="21"/>
  <c r="J214" i="21"/>
  <c r="K291" i="21"/>
  <c r="J291" i="21"/>
  <c r="K29" i="21"/>
  <c r="J29" i="21"/>
  <c r="K93" i="21"/>
  <c r="J93" i="21"/>
  <c r="K170" i="21"/>
  <c r="J170" i="21"/>
  <c r="K260" i="21"/>
  <c r="J260" i="21"/>
  <c r="K11" i="21"/>
  <c r="J11" i="21"/>
  <c r="K75" i="21"/>
  <c r="J75" i="21"/>
  <c r="K139" i="21"/>
  <c r="J139" i="21"/>
  <c r="K203" i="21"/>
  <c r="J203" i="21"/>
  <c r="K286" i="21"/>
  <c r="J286" i="21"/>
  <c r="K31" i="21"/>
  <c r="J31" i="21"/>
  <c r="K95" i="21"/>
  <c r="J95" i="21"/>
  <c r="K165" i="21"/>
  <c r="J165" i="21"/>
  <c r="K242" i="21"/>
  <c r="J242" i="21"/>
  <c r="K19" i="21"/>
  <c r="J19" i="21"/>
  <c r="K96" i="21"/>
  <c r="J96" i="21"/>
  <c r="K166" i="21"/>
  <c r="J166" i="21"/>
  <c r="K243" i="21"/>
  <c r="J243" i="21"/>
  <c r="K315" i="21"/>
  <c r="J315" i="21"/>
  <c r="K13" i="21"/>
  <c r="J13" i="21"/>
  <c r="K77" i="21"/>
  <c r="J77" i="21"/>
  <c r="K141" i="21"/>
  <c r="J141" i="21"/>
  <c r="K205" i="21"/>
  <c r="J205" i="21"/>
  <c r="K269" i="21"/>
  <c r="J269" i="21"/>
  <c r="K6" i="21"/>
  <c r="J6" i="21"/>
  <c r="K70" i="21"/>
  <c r="J70" i="21"/>
  <c r="K121" i="21"/>
  <c r="J121" i="21"/>
  <c r="K359" i="21"/>
  <c r="J359" i="21"/>
  <c r="K416" i="21"/>
  <c r="J416" i="21"/>
  <c r="K488" i="21"/>
  <c r="J488" i="21"/>
  <c r="K553" i="21"/>
  <c r="J553" i="21"/>
  <c r="K604" i="21"/>
  <c r="J604" i="21"/>
  <c r="K664" i="21"/>
  <c r="J664" i="21"/>
  <c r="K719" i="21"/>
  <c r="J719" i="21"/>
  <c r="J793" i="21"/>
  <c r="K793" i="21"/>
  <c r="K854" i="21"/>
  <c r="J854" i="21"/>
  <c r="K910" i="21"/>
  <c r="J910" i="21"/>
  <c r="K974" i="21"/>
  <c r="J974" i="21"/>
  <c r="K379" i="21"/>
  <c r="J379" i="21"/>
  <c r="K436" i="21"/>
  <c r="J436" i="21"/>
  <c r="K500" i="21"/>
  <c r="J500" i="21"/>
  <c r="K572" i="21"/>
  <c r="J572" i="21"/>
  <c r="K629" i="21"/>
  <c r="J629" i="21"/>
  <c r="K682" i="21"/>
  <c r="J682" i="21"/>
  <c r="K749" i="21"/>
  <c r="J749" i="21"/>
  <c r="K810" i="21"/>
  <c r="J810" i="21"/>
  <c r="J874" i="21"/>
  <c r="K874" i="21"/>
  <c r="K935" i="21"/>
  <c r="J935" i="21"/>
  <c r="K367" i="21"/>
  <c r="J367" i="21"/>
  <c r="K431" i="21"/>
  <c r="J431" i="21"/>
  <c r="K490" i="21"/>
  <c r="J490" i="21"/>
  <c r="K548" i="21"/>
  <c r="J548" i="21"/>
  <c r="K630" i="21"/>
  <c r="J630" i="21"/>
  <c r="K704" i="21"/>
  <c r="J704" i="21"/>
  <c r="J778" i="21"/>
  <c r="K778" i="21"/>
  <c r="K830" i="21"/>
  <c r="J830" i="21"/>
  <c r="K898" i="21"/>
  <c r="J898" i="21"/>
  <c r="K313" i="21"/>
  <c r="J313" i="21"/>
  <c r="K394" i="21"/>
  <c r="J394" i="21"/>
  <c r="K462" i="21"/>
  <c r="J462" i="21"/>
  <c r="K526" i="21"/>
  <c r="J526" i="21"/>
  <c r="K594" i="21"/>
  <c r="J594" i="21"/>
  <c r="K661" i="21"/>
  <c r="J661" i="21"/>
  <c r="K711" i="21"/>
  <c r="J711" i="21"/>
  <c r="K795" i="21"/>
  <c r="J795" i="21"/>
  <c r="K851" i="21"/>
  <c r="J851" i="21"/>
  <c r="J914" i="21"/>
  <c r="K914" i="21"/>
  <c r="K292" i="21"/>
  <c r="J292" i="21"/>
  <c r="K414" i="21"/>
  <c r="J414" i="21"/>
  <c r="K468" i="21"/>
  <c r="J468" i="21"/>
  <c r="K532" i="21"/>
  <c r="J532" i="21"/>
  <c r="K589" i="21"/>
  <c r="J589" i="21"/>
  <c r="K640" i="21"/>
  <c r="J640" i="21"/>
  <c r="K712" i="21"/>
  <c r="J712" i="21"/>
  <c r="K769" i="21"/>
  <c r="J769" i="21"/>
  <c r="K826" i="21"/>
  <c r="J826" i="21"/>
  <c r="K882" i="21"/>
  <c r="J882" i="21"/>
  <c r="K947" i="21"/>
  <c r="J947" i="21"/>
  <c r="K975" i="21"/>
  <c r="J975" i="21"/>
  <c r="K976" i="21"/>
  <c r="J976" i="21"/>
  <c r="K381" i="21"/>
  <c r="J381" i="21"/>
  <c r="K444" i="21"/>
  <c r="J444" i="21"/>
  <c r="K508" i="21"/>
  <c r="J508" i="21"/>
  <c r="K574" i="21"/>
  <c r="J574" i="21"/>
  <c r="K631" i="21"/>
  <c r="J631" i="21"/>
  <c r="K699" i="21"/>
  <c r="J699" i="21"/>
  <c r="K757" i="21"/>
  <c r="J757" i="21"/>
  <c r="K831" i="21"/>
  <c r="J831" i="21"/>
  <c r="K892" i="21"/>
  <c r="J892" i="21"/>
  <c r="K953" i="21"/>
  <c r="J953" i="21"/>
  <c r="K986" i="21"/>
  <c r="J986" i="21"/>
  <c r="K241" i="21"/>
  <c r="J241" i="21"/>
  <c r="K377" i="21"/>
  <c r="J377" i="21"/>
  <c r="K440" i="21"/>
  <c r="J440" i="21"/>
  <c r="K504" i="21"/>
  <c r="J504" i="21"/>
  <c r="K577" i="21"/>
  <c r="J577" i="21"/>
  <c r="K668" i="21"/>
  <c r="J668" i="21"/>
  <c r="K718" i="21"/>
  <c r="J718" i="21"/>
  <c r="K802" i="21"/>
  <c r="J802" i="21"/>
  <c r="K865" i="21"/>
  <c r="J865" i="21"/>
  <c r="K257" i="21"/>
  <c r="J257" i="21"/>
  <c r="K403" i="21"/>
  <c r="J403" i="21"/>
  <c r="K464" i="21"/>
  <c r="J464" i="21"/>
  <c r="K528" i="21"/>
  <c r="J528" i="21"/>
  <c r="K596" i="21"/>
  <c r="J596" i="21"/>
  <c r="K669" i="21"/>
  <c r="J669" i="21"/>
  <c r="K740" i="21"/>
  <c r="J740" i="21"/>
  <c r="K808" i="21"/>
  <c r="J808" i="21"/>
  <c r="K872" i="21"/>
  <c r="J872" i="21"/>
  <c r="K949" i="21"/>
  <c r="J949" i="21"/>
  <c r="K992" i="21"/>
  <c r="J992" i="21"/>
  <c r="K932" i="21"/>
  <c r="J932" i="21"/>
  <c r="K996" i="21"/>
  <c r="J996"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C1E68D-0406-40C1-B83F-2DF4AFCB9610}"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BC21BCE9-1947-4297-9526-17DA62D6636C}" keepAlive="1" name="Query - Append1 (2)" description="Connection to the 'Append1 (2)' query in the workbook." type="5" refreshedVersion="0" background="1">
    <dbPr connection="Provider=Microsoft.Mashup.OleDb.1;Data Source=$Workbook$;Location=&quot;Append1 (2)&quot;;Extended Properties=&quot;&quot;" command="SELECT * FROM [Append1 (2)]"/>
  </connection>
  <connection id="3" xr16:uid="{6640A60B-90C4-4785-A322-A8595242B09D}"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4" xr16:uid="{7483A180-4877-4E2B-B794-B63DE1D332E8}" keepAlive="1" name="Query - dataset_2 (2)" description="Connection to the 'dataset_2 (2)' query in the workbook." type="5" refreshedVersion="0" background="1">
    <dbPr connection="Provider=Microsoft.Mashup.OleDb.1;Data Source=$Workbook$;Location=&quot;dataset_2 (2)&quot;;Extended Properties=&quot;&quot;" command="SELECT * FROM [dataset_2 (2)]"/>
  </connection>
  <connection id="5" xr16:uid="{92761B60-250D-4632-A0F5-A52B3FECBD5D}"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6" xr16:uid="{E3370232-12E4-4CAA-9FA7-1B741D966926}" keepAlive="1" name="Query - dataset_3 (2)" description="Connection to the 'dataset_3 (2)' query in the workbook." type="5" refreshedVersion="8" background="1" saveData="1">
    <dbPr connection="Provider=Microsoft.Mashup.OleDb.1;Data Source=$Workbook$;Location=&quot;dataset_3 (2)&quot;;Extended Properties=&quot;&quot;" command="SELECT * FROM [dataset_3 (2)]"/>
  </connection>
  <connection id="7" xr16:uid="{F24D6345-617F-43F2-8DB3-A39F1C350A96}"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8" xr16:uid="{15D09281-0BF8-44D6-A425-212867DFE223}"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<sst xmlns="http://schemas.openxmlformats.org/spreadsheetml/2006/main" count="7027" uniqueCount="100">
  <si>
    <t>season</t>
  </si>
  <si>
    <t>yr</t>
  </si>
  <si>
    <t>mnth</t>
  </si>
  <si>
    <t>Column</t>
  </si>
  <si>
    <t>Original Value</t>
  </si>
  <si>
    <t>Reason for Removal</t>
  </si>
  <si>
    <t>Constant column</t>
  </si>
  <si>
    <t>S.No.</t>
  </si>
  <si>
    <t>Clear Weather</t>
  </si>
  <si>
    <t>Light Rain</t>
  </si>
  <si>
    <t>Heavy Rain</t>
  </si>
  <si>
    <t>Thunderstorm</t>
  </si>
  <si>
    <t>Missing Value Treatment – atemp:
11 missing (NULL) values were identified in the atemp column out of 610 records. The missing values were replaced with the median(0.2) of the available atemp values. Other existing zero values were retained as valid observations.</t>
  </si>
  <si>
    <t>MEDIAN</t>
  </si>
  <si>
    <t>Casual Customer Percentage</t>
  </si>
  <si>
    <t>Registered Customer Percentage</t>
  </si>
  <si>
    <t>Total Customer count</t>
  </si>
  <si>
    <t>Coorelation(Humidity vs total customers)</t>
  </si>
  <si>
    <t>Coorelation(Temperature vs total customers)</t>
  </si>
  <si>
    <t>Sunday</t>
  </si>
  <si>
    <t>Monday</t>
  </si>
  <si>
    <t>Tuesday</t>
  </si>
  <si>
    <t>Wednesday</t>
  </si>
  <si>
    <t>Thursday</t>
  </si>
  <si>
    <t>Friday</t>
  </si>
  <si>
    <t>Saturday</t>
  </si>
  <si>
    <t>Time of Day</t>
  </si>
  <si>
    <t>Night</t>
  </si>
  <si>
    <t>Morning</t>
  </si>
  <si>
    <t>Afternoon</t>
  </si>
  <si>
    <t>Evening</t>
  </si>
  <si>
    <t>Average temperature</t>
  </si>
  <si>
    <t>Date</t>
  </si>
  <si>
    <t>Hour</t>
  </si>
  <si>
    <t>Holiday</t>
  </si>
  <si>
    <t>Weekday</t>
  </si>
  <si>
    <t>Weathersit</t>
  </si>
  <si>
    <t>Temperature</t>
  </si>
  <si>
    <t>Humidity</t>
  </si>
  <si>
    <t>Windspeed</t>
  </si>
  <si>
    <t>Casual_customers</t>
  </si>
  <si>
    <t>Registered_customers</t>
  </si>
  <si>
    <t>Total_count</t>
  </si>
  <si>
    <t>Assumed_temp</t>
  </si>
  <si>
    <t>0–5</t>
  </si>
  <si>
    <t>6–11</t>
  </si>
  <si>
    <t>12–17</t>
  </si>
  <si>
    <t>18–23</t>
  </si>
  <si>
    <t>Hour value</t>
  </si>
  <si>
    <t>Total Casual Customers</t>
  </si>
  <si>
    <t>Total Registered Customers</t>
  </si>
  <si>
    <t>Total Customer Count</t>
  </si>
  <si>
    <t>Maximum Customers/Hour</t>
  </si>
  <si>
    <t>Minimum Customers/Hour</t>
  </si>
  <si>
    <t>Median Customers/Hour</t>
  </si>
  <si>
    <t>Casual Customer %</t>
  </si>
  <si>
    <t>Registered Customer %</t>
  </si>
  <si>
    <t>Total Customers</t>
  </si>
  <si>
    <t>Average Customers</t>
  </si>
  <si>
    <t>Weekday Analysis</t>
  </si>
  <si>
    <t>Holiday Analysis</t>
  </si>
  <si>
    <t>Holiday Status</t>
  </si>
  <si>
    <t>Non-Holiday</t>
  </si>
  <si>
    <t>Maximum temperature</t>
  </si>
  <si>
    <t>Minimum temperature</t>
  </si>
  <si>
    <t>Basic Calculations</t>
  </si>
  <si>
    <t>Maximum windspeed</t>
  </si>
  <si>
    <t>Average windspeed</t>
  </si>
  <si>
    <t>Minimum windspeed</t>
  </si>
  <si>
    <t>Average Customers/hour</t>
  </si>
  <si>
    <t>Correl(Temperature ↔ Total_count)</t>
  </si>
  <si>
    <t>Correl(Humidity ↔ Total_count)</t>
  </si>
  <si>
    <t>Correl(Windspeed ↔ Total_count)</t>
  </si>
  <si>
    <t>Correl(Assumed_temp ↔ Total_count)</t>
  </si>
  <si>
    <t>Sum of Total_count</t>
  </si>
  <si>
    <t>Average of Total_count2</t>
  </si>
  <si>
    <t>Row Labels</t>
  </si>
  <si>
    <t>Grand Total</t>
  </si>
  <si>
    <t>(All)</t>
  </si>
  <si>
    <t>Sum of Casual_customers</t>
  </si>
  <si>
    <t>Sum of Registered_customers</t>
  </si>
  <si>
    <t>Jan</t>
  </si>
  <si>
    <t>Feb</t>
  </si>
  <si>
    <t>BIKE RENTAL DEMAND DASHBOARD</t>
  </si>
  <si>
    <t>Peak Hour and Demand</t>
  </si>
  <si>
    <t/>
  </si>
  <si>
    <t>Rental Demand Heatmap</t>
  </si>
  <si>
    <t>Anamoly Detection</t>
  </si>
  <si>
    <t>Hourly Mean</t>
  </si>
  <si>
    <t>STDEV</t>
  </si>
  <si>
    <t>Lower Limit</t>
  </si>
  <si>
    <t>Upper Limit</t>
  </si>
  <si>
    <t>Anomaly</t>
  </si>
  <si>
    <t>Z Score</t>
  </si>
  <si>
    <t>Forecast(Total_count)</t>
  </si>
  <si>
    <t>Lower Confidence Bound(Total_count)</t>
  </si>
  <si>
    <t>Upper Confidence Bound(Total_count)</t>
  </si>
  <si>
    <t>Normal demand</t>
  </si>
  <si>
    <t xml:space="preserve">Anamoly </t>
  </si>
  <si>
    <t>Advanced analysis , Forecasting and Outliers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</si>
</sst>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0"/>
      <color theme="1"/>
      <name val="Arial"/>
      <scheme val="minor"/>
    </font>
    <font>
      <b/>
      <sz val="10"/>
      <color rgb="FF000000"/>
      <name val="Arial"/>
      <scheme val="minor"/>
    </font>
    <font>
      <sz val="10"/>
      <color theme="1"/>
      <name val="Arial"/>
      <family val="2"/>
      <scheme val="minor"/>
    </font>
    <font>
      <b/>
      <sz val="10"/>
      <color rgb="FF000000"/>
      <name val="Arial"/>
      <family val="2"/>
      <scheme val="minor"/>
    </font>
    <font>
      <sz val="10"/>
      <color rgb="FF000000"/>
      <name val="Arial"/>
      <family val="2"/>
      <scheme val="minor"/>
    </font>
    <font>
      <b/>
      <sz val="10"/>
      <color theme="2"/>
      <name val="Arial"/>
      <family val="2"/>
      <scheme val="minor"/>
    </font>
    <font>
      <sz val="10"/>
      <color rgb="FF000000"/>
      <name val="Arial Unicode MS"/>
    </font>
    <font>
      <sz val="36"/>
      <color theme="0"/>
      <name val="Arial"/>
      <family val="2"/>
      <scheme val="minor"/>
    </font>
    <font>
      <sz val="10"/>
      <color theme="0"/>
      <name val="Arial Unicode MS"/>
    </font>
    <font>
      <sz val="8"/>
      <name val="Arial"/>
      <family val="2"/>
      <scheme val="minor"/>
    </font>
    <font>
      <sz val="24"/>
      <color theme="2"/>
      <name val="Arial"/>
      <family val="2"/>
      <scheme val="minor"/>
    </font>
    <font>
      <sz val="10"/>
      <color theme="0"/>
      <name val="Arial"/>
      <family val="2"/>
      <scheme val="minor"/>
    </font>
    <font>
      <b/>
      <sz val="20"/>
      <color theme="0"/>
      <name val="Arial"/>
      <family val="2"/>
      <scheme val="minor"/>
    </font>
  </fonts>
  <fills count="9">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4" tint="0.59999389629810485"/>
        <bgColor indexed="64"/>
      </patternFill>
    </fill>
    <fill>
      <patternFill patternType="solid">
        <fgColor rgb="FF0070C0"/>
        <bgColor indexed="64"/>
      </patternFill>
    </fill>
    <fill>
      <patternFill patternType="solid">
        <fgColor rgb="FF002060"/>
        <bgColor indexed="64"/>
      </patternFill>
    </fill>
    <fill>
      <patternFill patternType="solid">
        <fgColor rgb="FFFFC000"/>
        <bgColor indexed="64"/>
      </patternFill>
    </fill>
    <fill>
      <patternFill patternType="solid">
        <fgColor theme="6"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95">
    <xf numFmtId="0" fontId="0" fillId="0" borderId="0" xfId="0" applyFont="1" applyAlignment="1"/>
    <xf numFmtId="14" fontId="0" fillId="0" borderId="0" xfId="0" applyNumberFormat="1" applyFont="1" applyAlignment="1"/>
    <xf numFmtId="2" fontId="0" fillId="0" borderId="0" xfId="0" applyNumberFormat="1" applyFont="1" applyAlignment="1"/>
    <xf numFmtId="0" fontId="0" fillId="0" borderId="0" xfId="0" applyFont="1" applyAlignment="1">
      <alignment horizontal="center"/>
    </xf>
    <xf numFmtId="14" fontId="1" fillId="0" borderId="3" xfId="0" applyNumberFormat="1" applyFont="1" applyBorder="1" applyAlignment="1"/>
    <xf numFmtId="0" fontId="1" fillId="0" borderId="3" xfId="0" applyFont="1" applyBorder="1" applyAlignment="1"/>
    <xf numFmtId="2" fontId="1" fillId="0" borderId="3" xfId="0" applyNumberFormat="1" applyFont="1" applyBorder="1" applyAlignment="1"/>
    <xf numFmtId="0" fontId="1" fillId="0" borderId="4" xfId="0" applyFont="1" applyBorder="1" applyAlignment="1">
      <alignment horizontal="center"/>
    </xf>
    <xf numFmtId="14" fontId="1" fillId="0" borderId="1" xfId="0" applyNumberFormat="1" applyFont="1" applyBorder="1" applyAlignment="1">
      <alignment horizontal="center"/>
    </xf>
    <xf numFmtId="0" fontId="1" fillId="0" borderId="1" xfId="0" applyFont="1" applyBorder="1" applyAlignment="1">
      <alignment horizontal="center"/>
    </xf>
    <xf numFmtId="2" fontId="1" fillId="0" borderId="1" xfId="0" applyNumberFormat="1" applyFont="1" applyBorder="1" applyAlignment="1">
      <alignment horizontal="center"/>
    </xf>
    <xf numFmtId="0" fontId="1" fillId="0" borderId="5" xfId="0" applyFont="1" applyBorder="1" applyAlignment="1">
      <alignment horizontal="center"/>
    </xf>
    <xf numFmtId="14" fontId="1" fillId="0" borderId="6" xfId="0" applyNumberFormat="1" applyFont="1" applyBorder="1" applyAlignment="1">
      <alignment horizontal="center"/>
    </xf>
    <xf numFmtId="0" fontId="1" fillId="0" borderId="6" xfId="0" applyFont="1" applyBorder="1" applyAlignment="1">
      <alignment horizontal="center"/>
    </xf>
    <xf numFmtId="2" fontId="1" fillId="0" borderId="6" xfId="0" applyNumberFormat="1" applyFont="1" applyBorder="1" applyAlignment="1">
      <alignment horizontal="center"/>
    </xf>
    <xf numFmtId="0" fontId="3" fillId="0" borderId="4" xfId="0" applyFont="1" applyBorder="1" applyAlignment="1">
      <alignment horizontal="center"/>
    </xf>
    <xf numFmtId="0" fontId="3" fillId="0" borderId="2" xfId="0" applyFont="1" applyBorder="1" applyAlignment="1">
      <alignment horizontal="center"/>
    </xf>
    <xf numFmtId="14" fontId="3" fillId="0" borderId="1" xfId="0" applyNumberFormat="1" applyFont="1" applyBorder="1" applyAlignment="1">
      <alignment horizontal="center"/>
    </xf>
    <xf numFmtId="14" fontId="3" fillId="0" borderId="3" xfId="0" applyNumberFormat="1" applyFont="1" applyBorder="1" applyAlignment="1">
      <alignment horizontal="center"/>
    </xf>
    <xf numFmtId="0" fontId="3" fillId="0" borderId="1" xfId="0" applyFont="1" applyBorder="1" applyAlignment="1">
      <alignment horizontal="center"/>
    </xf>
    <xf numFmtId="0" fontId="3" fillId="0" borderId="3" xfId="0" applyFont="1" applyBorder="1" applyAlignment="1">
      <alignment horizontal="center"/>
    </xf>
    <xf numFmtId="0" fontId="0" fillId="3" borderId="0" xfId="0" applyFont="1" applyFill="1" applyAlignment="1">
      <alignment horizontal="center"/>
    </xf>
    <xf numFmtId="0" fontId="4" fillId="3" borderId="1" xfId="0" applyFont="1" applyFill="1" applyBorder="1" applyAlignment="1">
      <alignment horizontal="center"/>
    </xf>
    <xf numFmtId="2" fontId="0" fillId="4" borderId="1" xfId="0" applyNumberFormat="1" applyFont="1" applyFill="1" applyBorder="1" applyAlignment="1">
      <alignment horizontal="center"/>
    </xf>
    <xf numFmtId="0" fontId="0" fillId="4" borderId="1" xfId="0" applyFont="1" applyFill="1" applyBorder="1" applyAlignment="1">
      <alignment horizontal="center"/>
    </xf>
    <xf numFmtId="0" fontId="0" fillId="0" borderId="0" xfId="0" applyFont="1" applyBorder="1" applyAlignment="1"/>
    <xf numFmtId="0" fontId="0" fillId="0" borderId="0" xfId="0" applyFont="1" applyFill="1" applyAlignment="1"/>
    <xf numFmtId="0" fontId="0" fillId="2" borderId="1" xfId="0" applyFont="1" applyFill="1" applyBorder="1" applyAlignment="1">
      <alignment vertical="center" wrapText="1"/>
    </xf>
    <xf numFmtId="0" fontId="0" fillId="0" borderId="1" xfId="0" applyFont="1" applyBorder="1" applyAlignment="1">
      <alignment vertical="center" wrapText="1"/>
    </xf>
    <xf numFmtId="0" fontId="0" fillId="0" borderId="1" xfId="0" applyFont="1" applyBorder="1" applyAlignment="1">
      <alignment horizontal="center" vertical="center" wrapText="1"/>
    </xf>
    <xf numFmtId="0" fontId="0" fillId="0" borderId="1" xfId="0" applyFont="1" applyBorder="1" applyAlignment="1">
      <alignment horizontal="center"/>
    </xf>
    <xf numFmtId="14" fontId="0" fillId="0" borderId="1" xfId="0" applyNumberFormat="1" applyFont="1" applyBorder="1" applyAlignment="1">
      <alignment horizontal="center"/>
    </xf>
    <xf numFmtId="0" fontId="5" fillId="0" borderId="1" xfId="0" applyFont="1" applyBorder="1" applyAlignment="1">
      <alignment horizontal="center"/>
    </xf>
    <xf numFmtId="0" fontId="2" fillId="0" borderId="0" xfId="0" applyFont="1" applyBorder="1" applyAlignment="1">
      <alignment horizontal="center" vertical="center" wrapText="1"/>
    </xf>
    <xf numFmtId="0" fontId="3" fillId="0" borderId="2" xfId="0" applyFont="1" applyBorder="1" applyAlignment="1"/>
    <xf numFmtId="0" fontId="3" fillId="3" borderId="0" xfId="0" applyFont="1" applyFill="1" applyAlignment="1">
      <alignment horizontal="center"/>
    </xf>
    <xf numFmtId="0" fontId="3" fillId="0" borderId="3" xfId="0" applyFont="1" applyBorder="1" applyAlignment="1">
      <alignment horizontal="center" wrapText="1"/>
    </xf>
    <xf numFmtId="0" fontId="0" fillId="0" borderId="1" xfId="0" applyNumberFormat="1" applyFont="1" applyBorder="1" applyAlignment="1">
      <alignment horizontal="center"/>
    </xf>
    <xf numFmtId="2" fontId="3" fillId="0" borderId="3" xfId="0" applyNumberFormat="1" applyFont="1" applyBorder="1" applyAlignment="1"/>
    <xf numFmtId="0" fontId="3" fillId="0" borderId="0" xfId="0" applyFont="1" applyAlignment="1"/>
    <xf numFmtId="0" fontId="1" fillId="0" borderId="0" xfId="0" applyFont="1" applyBorder="1" applyAlignment="1"/>
    <xf numFmtId="0" fontId="1" fillId="0" borderId="0" xfId="0" applyFont="1" applyBorder="1" applyAlignment="1">
      <alignment horizontal="center"/>
    </xf>
    <xf numFmtId="0" fontId="1" fillId="0" borderId="0" xfId="0" applyFont="1" applyFill="1" applyBorder="1" applyAlignment="1">
      <alignment horizontal="center"/>
    </xf>
    <xf numFmtId="0" fontId="4" fillId="3" borderId="1" xfId="0" applyFont="1" applyFill="1" applyBorder="1" applyAlignment="1">
      <alignment vertical="center" wrapText="1"/>
    </xf>
    <xf numFmtId="2" fontId="0" fillId="4" borderId="1" xfId="0" applyNumberFormat="1" applyFont="1" applyFill="1" applyBorder="1" applyAlignment="1"/>
    <xf numFmtId="0" fontId="5" fillId="0" borderId="1" xfId="0" applyNumberFormat="1" applyFont="1" applyBorder="1" applyAlignment="1">
      <alignment horizontal="center"/>
    </xf>
    <xf numFmtId="0" fontId="3" fillId="3" borderId="0" xfId="0" applyFont="1" applyFill="1" applyAlignment="1"/>
    <xf numFmtId="0" fontId="5" fillId="3" borderId="1" xfId="0" applyFont="1" applyFill="1" applyBorder="1" applyAlignment="1">
      <alignment horizontal="center"/>
    </xf>
    <xf numFmtId="0" fontId="3" fillId="0" borderId="0" xfId="0" applyFont="1" applyFill="1" applyAlignment="1"/>
    <xf numFmtId="0" fontId="0" fillId="0" borderId="1" xfId="0" applyFont="1" applyBorder="1" applyAlignment="1"/>
    <xf numFmtId="0" fontId="4" fillId="0" borderId="1" xfId="0" applyFont="1" applyFill="1" applyBorder="1" applyAlignment="1">
      <alignment vertical="center" wrapText="1"/>
    </xf>
    <xf numFmtId="0" fontId="5" fillId="0"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pplyAlignment="1"/>
    <xf numFmtId="0" fontId="6" fillId="5" borderId="1" xfId="0" applyFont="1" applyFill="1" applyBorder="1" applyAlignment="1">
      <alignment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right" vertical="center" wrapText="1"/>
    </xf>
    <xf numFmtId="0" fontId="5" fillId="0" borderId="1" xfId="0" applyFont="1" applyBorder="1" applyAlignment="1">
      <alignment vertical="center" wrapText="1"/>
    </xf>
    <xf numFmtId="0" fontId="0" fillId="0" borderId="1" xfId="0" applyFont="1" applyBorder="1" applyAlignment="1">
      <alignment horizontal="right" vertical="center" wrapText="1"/>
    </xf>
    <xf numFmtId="0" fontId="3" fillId="0" borderId="1" xfId="0" applyFont="1" applyBorder="1" applyAlignment="1"/>
    <xf numFmtId="2" fontId="0" fillId="0" borderId="1" xfId="0" applyNumberFormat="1" applyFont="1" applyBorder="1" applyAlignment="1"/>
    <xf numFmtId="2" fontId="0" fillId="0" borderId="1" xfId="0" applyNumberFormat="1" applyFont="1" applyBorder="1" applyAlignment="1">
      <alignment horizontal="right" vertical="center" wrapText="1"/>
    </xf>
    <xf numFmtId="0" fontId="7" fillId="0" borderId="1" xfId="0" applyFont="1" applyBorder="1" applyAlignment="1">
      <alignment vertical="center" wrapText="1"/>
    </xf>
    <xf numFmtId="2" fontId="7" fillId="0" borderId="1" xfId="0" applyNumberFormat="1" applyFont="1" applyBorder="1" applyAlignment="1">
      <alignment vertical="center" wrapText="1"/>
    </xf>
    <xf numFmtId="2" fontId="3" fillId="0" borderId="1" xfId="0" applyNumberFormat="1" applyFont="1" applyBorder="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9" fillId="5" borderId="1" xfId="0" applyFont="1" applyFill="1" applyBorder="1" applyAlignment="1">
      <alignment vertical="center" wrapText="1"/>
    </xf>
    <xf numFmtId="0" fontId="0" fillId="5" borderId="0" xfId="0" applyFont="1" applyFill="1" applyAlignment="1"/>
    <xf numFmtId="0" fontId="4" fillId="7" borderId="1" xfId="0" applyFont="1" applyFill="1" applyBorder="1" applyAlignment="1">
      <alignment horizontal="center" vertical="center" wrapText="1"/>
    </xf>
    <xf numFmtId="0" fontId="4" fillId="7" borderId="1" xfId="0" applyFont="1" applyFill="1" applyBorder="1" applyAlignment="1">
      <alignment horizontal="right" vertical="center" wrapText="1"/>
    </xf>
    <xf numFmtId="2" fontId="5" fillId="0" borderId="1" xfId="0" applyNumberFormat="1" applyFont="1" applyBorder="1" applyAlignment="1">
      <alignment horizontal="right" vertical="center" wrapText="1"/>
    </xf>
    <xf numFmtId="0" fontId="3" fillId="0" borderId="1" xfId="0" applyNumberFormat="1" applyFont="1" applyFill="1" applyBorder="1" applyAlignment="1">
      <alignment horizontal="center"/>
    </xf>
    <xf numFmtId="14" fontId="3" fillId="0" borderId="1" xfId="0" applyNumberFormat="1" applyFont="1" applyFill="1" applyBorder="1" applyAlignment="1">
      <alignment horizontal="center"/>
    </xf>
    <xf numFmtId="0" fontId="3" fillId="0" borderId="1" xfId="0" applyFont="1" applyFill="1" applyBorder="1" applyAlignment="1">
      <alignment horizontal="center"/>
    </xf>
    <xf numFmtId="14" fontId="0" fillId="0" borderId="0" xfId="0" applyNumberFormat="1"/>
    <xf numFmtId="2" fontId="0" fillId="0" borderId="0" xfId="0" applyNumberFormat="1"/>
    <xf numFmtId="0" fontId="0" fillId="5" borderId="0" xfId="0" applyFont="1" applyFill="1" applyBorder="1" applyAlignment="1"/>
    <xf numFmtId="0" fontId="12" fillId="0" borderId="0" xfId="0" applyFont="1" applyFill="1" applyAlignment="1"/>
    <xf numFmtId="0" fontId="11" fillId="5" borderId="9" xfId="0" applyFont="1" applyFill="1" applyBorder="1" applyAlignment="1">
      <alignment horizontal="center"/>
    </xf>
    <xf numFmtId="0" fontId="11" fillId="5" borderId="0" xfId="0" applyFont="1" applyFill="1" applyBorder="1" applyAlignment="1">
      <alignment horizontal="center"/>
    </xf>
    <xf numFmtId="0" fontId="11" fillId="5" borderId="10" xfId="0" applyFont="1" applyFill="1" applyBorder="1" applyAlignment="1">
      <alignment horizontal="center"/>
    </xf>
    <xf numFmtId="0" fontId="11" fillId="5" borderId="11" xfId="0" applyFont="1" applyFill="1" applyBorder="1" applyAlignment="1">
      <alignment horizontal="center"/>
    </xf>
    <xf numFmtId="0" fontId="8" fillId="6" borderId="0" xfId="0" applyFont="1" applyFill="1" applyAlignment="1">
      <alignment horizontal="center"/>
    </xf>
    <xf numFmtId="0" fontId="13" fillId="8" borderId="0" xfId="0" applyFont="1" applyFill="1" applyAlignment="1">
      <alignment horizontal="center"/>
    </xf>
    <xf numFmtId="0" fontId="0" fillId="5" borderId="0" xfId="0" applyFont="1" applyFill="1" applyAlignment="1">
      <alignment horizontal="center"/>
    </xf>
    <xf numFmtId="0" fontId="0" fillId="5" borderId="0" xfId="0" applyFont="1" applyFill="1" applyBorder="1" applyAlignment="1">
      <alignment horizont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2" borderId="4" xfId="0" applyFont="1" applyFill="1" applyBorder="1" applyAlignment="1">
      <alignment horizontal="center"/>
    </xf>
    <xf numFmtId="0" fontId="5" fillId="2" borderId="1" xfId="0" applyFont="1" applyFill="1" applyBorder="1" applyAlignment="1">
      <alignment horizontal="center" wrapText="1"/>
    </xf>
    <xf numFmtId="0" fontId="0" fillId="2" borderId="1" xfId="0" applyFont="1" applyFill="1" applyBorder="1" applyAlignment="1">
      <alignment horizontal="center" wrapText="1"/>
    </xf>
  </cellXfs>
  <cellStyles count="1">
    <cellStyle name="Normal" xfId="0" builtinId="0"/>
  </cellStyles>
  <dxfs count="96">
    <dxf>
      <font>
        <color rgb="FF006100"/>
      </font>
      <fill>
        <patternFill>
          <bgColor rgb="FFC6EFCE"/>
        </patternFill>
      </fill>
    </dxf>
    <dxf>
      <font>
        <color rgb="FF9C0006"/>
      </font>
      <fill>
        <patternFill>
          <bgColor rgb="FFFFC7CE"/>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ont>
        <b val="0"/>
        <i val="0"/>
        <strike val="0"/>
        <condense val="0"/>
        <extend val="0"/>
        <outline val="0"/>
        <shadow val="0"/>
        <u val="none"/>
        <vertAlign val="baseline"/>
        <sz val="10"/>
        <color theme="1"/>
        <name val="Arial"/>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strike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strike val="0"/>
        <outline val="0"/>
        <shadow val="0"/>
        <u val="none"/>
        <vertAlign val="baseline"/>
        <sz val="10"/>
        <color theme="1"/>
        <name val="Arial"/>
        <scheme val="minor"/>
      </font>
    </dxf>
    <dxf>
      <numFmt numFmtId="2" formatCode="0.0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11/relationships/timelineCache" Target="timelineCaches/timelineCache1.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448688927639206E-2"/>
          <c:y val="3.4632034632034632E-2"/>
          <c:w val="0.92742063706960975"/>
          <c:h val="0.73763393212212114"/>
        </c:manualLayout>
      </c:layout>
      <c:lineChart>
        <c:grouping val="standard"/>
        <c:varyColors val="0"/>
        <c:ser>
          <c:idx val="0"/>
          <c:order val="0"/>
          <c:tx>
            <c:strRef>
              <c:f>'Forecasting Sheet'!$B$1</c:f>
              <c:strCache>
                <c:ptCount val="1"/>
                <c:pt idx="0">
                  <c:v>Total_count</c:v>
                </c:pt>
              </c:strCache>
            </c:strRef>
          </c:tx>
          <c:spPr>
            <a:ln w="28575" cap="rnd">
              <a:solidFill>
                <a:schemeClr val="accent1"/>
              </a:solidFill>
              <a:round/>
            </a:ln>
            <a:effectLst/>
          </c:spPr>
          <c:marker>
            <c:symbol val="none"/>
          </c:marker>
          <c:val>
            <c:numRef>
              <c:f>'Forecasting Sheet'!$B$2:$B$58</c:f>
              <c:numCache>
                <c:formatCode>0.00</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3B8-42DC-85EB-BDECD961E375}"/>
            </c:ext>
          </c:extLst>
        </c:ser>
        <c:ser>
          <c:idx val="1"/>
          <c:order val="1"/>
          <c:tx>
            <c:strRef>
              <c:f>'Forecasting Sheet'!$C$1</c:f>
              <c:strCache>
                <c:ptCount val="1"/>
                <c:pt idx="0">
                  <c:v>Forecast(Total_count)</c:v>
                </c:pt>
              </c:strCache>
            </c:strRef>
          </c:tx>
          <c:spPr>
            <a:ln w="25400" cap="rnd">
              <a:solidFill>
                <a:schemeClr val="accent2"/>
              </a:solidFill>
              <a:round/>
            </a:ln>
            <a:effectLst/>
          </c:spPr>
          <c:marker>
            <c:symbol val="none"/>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Sheet'!$C$2:$C$58</c:f>
              <c:numCache>
                <c:formatCode>General</c:formatCode>
                <c:ptCount val="57"/>
                <c:pt idx="44" formatCode="0.00">
                  <c:v>18.875</c:v>
                </c:pt>
                <c:pt idx="45" formatCode="0.00">
                  <c:v>61.270134143024279</c:v>
                </c:pt>
                <c:pt idx="46" formatCode="0.00">
                  <c:v>61.525827765725516</c:v>
                </c:pt>
                <c:pt idx="47" formatCode="0.00">
                  <c:v>61.781521388426746</c:v>
                </c:pt>
                <c:pt idx="48" formatCode="0.00">
                  <c:v>62.037215011127984</c:v>
                </c:pt>
                <c:pt idx="49" formatCode="0.00">
                  <c:v>62.292908633829221</c:v>
                </c:pt>
                <c:pt idx="50" formatCode="0.00">
                  <c:v>62.548602256530458</c:v>
                </c:pt>
                <c:pt idx="51" formatCode="0.00">
                  <c:v>62.804295879231688</c:v>
                </c:pt>
                <c:pt idx="52" formatCode="0.00">
                  <c:v>63.059989501932925</c:v>
                </c:pt>
                <c:pt idx="53" formatCode="0.00">
                  <c:v>63.315683124634162</c:v>
                </c:pt>
                <c:pt idx="54" formatCode="0.00">
                  <c:v>63.5713767473354</c:v>
                </c:pt>
                <c:pt idx="55" formatCode="0.00">
                  <c:v>63.827070370036637</c:v>
                </c:pt>
                <c:pt idx="56" formatCode="0.00">
                  <c:v>64.082763992737867</c:v>
                </c:pt>
              </c:numCache>
            </c:numRef>
          </c:val>
          <c:smooth val="0"/>
          <c:extLst>
            <c:ext xmlns:c16="http://schemas.microsoft.com/office/drawing/2014/chart" uri="{C3380CC4-5D6E-409C-BE32-E72D297353CC}">
              <c16:uniqueId val="{00000001-63B8-42DC-85EB-BDECD961E375}"/>
            </c:ext>
          </c:extLst>
        </c:ser>
        <c:ser>
          <c:idx val="2"/>
          <c:order val="2"/>
          <c:tx>
            <c:strRef>
              <c:f>'Forecasting Sheet'!$D$1</c:f>
              <c:strCache>
                <c:ptCount val="1"/>
                <c:pt idx="0">
                  <c:v>Lower Confidence Bound(Total_count)</c:v>
                </c:pt>
              </c:strCache>
            </c:strRef>
          </c:tx>
          <c:spPr>
            <a:ln w="12700" cap="rnd">
              <a:solidFill>
                <a:srgbClr val="EA4335"/>
              </a:solidFill>
              <a:prstDash val="solid"/>
              <a:round/>
            </a:ln>
            <a:effectLst/>
          </c:spPr>
          <c:marker>
            <c:symbol val="none"/>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63B8-42DC-85EB-BDECD961E375}"/>
            </c:ext>
          </c:extLst>
        </c:ser>
        <c:ser>
          <c:idx val="3"/>
          <c:order val="3"/>
          <c:tx>
            <c:strRef>
              <c:f>'Forecasting Sheet'!$E$1</c:f>
              <c:strCache>
                <c:ptCount val="1"/>
                <c:pt idx="0">
                  <c:v>Upper Confidence Bound(Total_count)</c:v>
                </c:pt>
              </c:strCache>
            </c:strRef>
          </c:tx>
          <c:spPr>
            <a:ln w="12700" cap="rnd">
              <a:solidFill>
                <a:srgbClr val="EA4335"/>
              </a:solidFill>
              <a:prstDash val="solid"/>
              <a:round/>
            </a:ln>
            <a:effectLst/>
          </c:spPr>
          <c:marker>
            <c:symbol val="none"/>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63B8-42DC-85EB-BDECD961E375}"/>
            </c:ext>
          </c:extLst>
        </c:ser>
        <c:dLbls>
          <c:showLegendKey val="0"/>
          <c:showVal val="0"/>
          <c:showCatName val="0"/>
          <c:showSerName val="0"/>
          <c:showPercent val="0"/>
          <c:showBubbleSize val="0"/>
        </c:dLbls>
        <c:smooth val="0"/>
        <c:axId val="54404704"/>
        <c:axId val="54400384"/>
      </c:lineChart>
      <c:catAx>
        <c:axId val="5440470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00384"/>
        <c:crosses val="autoZero"/>
        <c:auto val="1"/>
        <c:lblAlgn val="ctr"/>
        <c:lblOffset val="100"/>
        <c:noMultiLvlLbl val="0"/>
      </c:catAx>
      <c:valAx>
        <c:axId val="5440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04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Outliers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486439195100607E-2"/>
          <c:y val="0.16712962962962963"/>
          <c:w val="0.87427755905511806"/>
          <c:h val="0.62949292796733747"/>
        </c:manualLayout>
      </c:layout>
      <c:scatterChart>
        <c:scatterStyle val="lineMarker"/>
        <c:varyColors val="0"/>
        <c:ser>
          <c:idx val="0"/>
          <c:order val="0"/>
          <c:tx>
            <c:strRef>
              <c:f>Outlier!$J$4</c:f>
              <c:strCache>
                <c:ptCount val="1"/>
                <c:pt idx="0">
                  <c:v>Normal demand</c:v>
                </c:pt>
              </c:strCache>
            </c:strRef>
          </c:tx>
          <c:spPr>
            <a:ln w="25400" cap="rnd">
              <a:noFill/>
              <a:round/>
            </a:ln>
            <a:effectLst/>
          </c:spPr>
          <c:marker>
            <c:symbol val="circle"/>
            <c:size val="5"/>
            <c:spPr>
              <a:solidFill>
                <a:schemeClr val="accent1"/>
              </a:solidFill>
              <a:ln w="9525">
                <a:solidFill>
                  <a:schemeClr val="accent1"/>
                </a:solidFill>
              </a:ln>
              <a:effectLst/>
            </c:spPr>
          </c:marker>
          <c:xVal>
            <c:numRef>
              <c:f>Outlier!$B$5:$B$1004</c:f>
              <c:numCache>
                <c:formatCode>General</c:formatCode>
                <c:ptCount val="10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numCache>
            </c:numRef>
          </c:xVal>
          <c:yVal>
            <c:numRef>
              <c:f>Outlier!$J$5:$J$1004</c:f>
              <c:numCache>
                <c:formatCode>General</c:formatCode>
                <c:ptCount val="1000"/>
                <c:pt idx="0">
                  <c:v>16</c:v>
                </c:pt>
                <c:pt idx="1">
                  <c:v>#N/A</c:v>
                </c:pt>
                <c:pt idx="2">
                  <c:v>#N/A</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#N/A</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#N/A</c:v>
                </c:pt>
                <c:pt idx="349">
                  <c:v>23</c:v>
                </c:pt>
                <c:pt idx="350">
                  <c:v>16</c:v>
                </c:pt>
                <c:pt idx="351">
                  <c:v>#N/A</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#N/A</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#N/A</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#N/A</c:v>
                </c:pt>
                <c:pt idx="451">
                  <c:v>#N/A</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#N/A</c:v>
                </c:pt>
                <c:pt idx="566">
                  <c:v>146</c:v>
                </c:pt>
                <c:pt idx="567">
                  <c:v>#N/A</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#N/A</c:v>
                </c:pt>
                <c:pt idx="586">
                  <c:v>#N/A</c:v>
                </c:pt>
                <c:pt idx="587">
                  <c:v>#N/A</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#N/A</c:v>
                </c:pt>
                <c:pt idx="782">
                  <c:v>18</c:v>
                </c:pt>
                <c:pt idx="783">
                  <c:v>17</c:v>
                </c:pt>
                <c:pt idx="784">
                  <c:v>11</c:v>
                </c:pt>
                <c:pt idx="785">
                  <c:v>#N/A</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#N/A</c:v>
                </c:pt>
                <c:pt idx="805">
                  <c:v>#N/A</c:v>
                </c:pt>
                <c:pt idx="806">
                  <c:v>#N/A</c:v>
                </c:pt>
                <c:pt idx="807">
                  <c:v>20</c:v>
                </c:pt>
                <c:pt idx="808">
                  <c:v>13</c:v>
                </c:pt>
                <c:pt idx="809">
                  <c:v>2</c:v>
                </c:pt>
                <c:pt idx="810">
                  <c:v>1</c:v>
                </c:pt>
                <c:pt idx="811">
                  <c:v>1</c:v>
                </c:pt>
                <c:pt idx="812">
                  <c:v>8</c:v>
                </c:pt>
                <c:pt idx="813">
                  <c:v>23</c:v>
                </c:pt>
                <c:pt idx="814">
                  <c:v>45</c:v>
                </c:pt>
                <c:pt idx="815">
                  <c:v>#N/A</c:v>
                </c:pt>
                <c:pt idx="816">
                  <c:v>#N/A</c:v>
                </c:pt>
                <c:pt idx="817">
                  <c:v>#N/A</c:v>
                </c:pt>
                <c:pt idx="818">
                  <c:v>#N/A</c:v>
                </c:pt>
                <c:pt idx="819">
                  <c:v>#N/A</c:v>
                </c:pt>
                <c:pt idx="820">
                  <c:v>#N/A</c:v>
                </c:pt>
                <c:pt idx="821">
                  <c:v>#N/A</c:v>
                </c:pt>
                <c:pt idx="822">
                  <c:v>121</c:v>
                </c:pt>
                <c:pt idx="823">
                  <c:v>78</c:v>
                </c:pt>
                <c:pt idx="824">
                  <c:v>#N/A</c:v>
                </c:pt>
                <c:pt idx="825">
                  <c:v>26</c:v>
                </c:pt>
                <c:pt idx="826">
                  <c:v>27</c:v>
                </c:pt>
                <c:pt idx="827">
                  <c:v>#N/A</c:v>
                </c:pt>
                <c:pt idx="828">
                  <c:v>30</c:v>
                </c:pt>
                <c:pt idx="829">
                  <c:v>15</c:v>
                </c:pt>
                <c:pt idx="830">
                  <c:v>5</c:v>
                </c:pt>
                <c:pt idx="831">
                  <c:v>3</c:v>
                </c:pt>
                <c:pt idx="832">
                  <c:v>1</c:v>
                </c:pt>
                <c:pt idx="833">
                  <c:v>2</c:v>
                </c:pt>
                <c:pt idx="834">
                  <c:v>#N/A</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#N/A</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#N/A</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#N/A</c:v>
                </c:pt>
                <c:pt idx="945">
                  <c:v>30</c:v>
                </c:pt>
                <c:pt idx="946">
                  <c:v>24</c:v>
                </c:pt>
                <c:pt idx="947">
                  <c:v>15</c:v>
                </c:pt>
                <c:pt idx="948">
                  <c:v>10</c:v>
                </c:pt>
                <c:pt idx="949">
                  <c:v>4</c:v>
                </c:pt>
                <c:pt idx="950">
                  <c:v>1</c:v>
                </c:pt>
                <c:pt idx="951">
                  <c:v>2</c:v>
                </c:pt>
                <c:pt idx="952">
                  <c:v>11</c:v>
                </c:pt>
                <c:pt idx="953">
                  <c:v>30</c:v>
                </c:pt>
                <c:pt idx="954">
                  <c:v>43</c:v>
                </c:pt>
                <c:pt idx="955">
                  <c:v>84</c:v>
                </c:pt>
                <c:pt idx="956">
                  <c:v>#N/A</c:v>
                </c:pt>
                <c:pt idx="957">
                  <c:v>120</c:v>
                </c:pt>
                <c:pt idx="958">
                  <c:v>135</c:v>
                </c:pt>
                <c:pt idx="959">
                  <c:v>120</c:v>
                </c:pt>
                <c:pt idx="960">
                  <c:v>#N/A</c:v>
                </c:pt>
                <c:pt idx="961">
                  <c:v>#N/A</c:v>
                </c:pt>
                <c:pt idx="962">
                  <c:v>137</c:v>
                </c:pt>
                <c:pt idx="963">
                  <c:v>64</c:v>
                </c:pt>
                <c:pt idx="964">
                  <c:v>41</c:v>
                </c:pt>
                <c:pt idx="965">
                  <c:v>40</c:v>
                </c:pt>
                <c:pt idx="966">
                  <c:v>51</c:v>
                </c:pt>
                <c:pt idx="967">
                  <c:v>45</c:v>
                </c:pt>
                <c:pt idx="968">
                  <c:v>32</c:v>
                </c:pt>
                <c:pt idx="969">
                  <c:v>#N/A</c:v>
                </c:pt>
                <c:pt idx="970">
                  <c:v>24</c:v>
                </c:pt>
                <c:pt idx="971">
                  <c:v>20</c:v>
                </c:pt>
                <c:pt idx="972">
                  <c:v>12</c:v>
                </c:pt>
                <c:pt idx="973">
                  <c:v>2</c:v>
                </c:pt>
                <c:pt idx="974">
                  <c:v>5</c:v>
                </c:pt>
                <c:pt idx="975">
                  <c:v>3</c:v>
                </c:pt>
                <c:pt idx="976">
                  <c:v>12</c:v>
                </c:pt>
                <c:pt idx="977">
                  <c:v>47</c:v>
                </c:pt>
                <c:pt idx="978">
                  <c:v>#N/A</c:v>
                </c:pt>
                <c:pt idx="979">
                  <c:v>#N/A</c:v>
                </c:pt>
                <c:pt idx="980">
                  <c:v>#N/A</c:v>
                </c:pt>
                <c:pt idx="981">
                  <c:v>#N/A</c:v>
                </c:pt>
                <c:pt idx="982">
                  <c:v>#N/A</c:v>
                </c:pt>
                <c:pt idx="983">
                  <c:v>#N/A</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A37E-4296-AFEC-076251C3B741}"/>
            </c:ext>
          </c:extLst>
        </c:ser>
        <c:ser>
          <c:idx val="1"/>
          <c:order val="1"/>
          <c:tx>
            <c:strRef>
              <c:f>Outlier!$K$4</c:f>
              <c:strCache>
                <c:ptCount val="1"/>
                <c:pt idx="0">
                  <c:v>Anamoly </c:v>
                </c:pt>
              </c:strCache>
            </c:strRef>
          </c:tx>
          <c:spPr>
            <a:ln w="25400" cap="rnd">
              <a:noFill/>
              <a:round/>
            </a:ln>
            <a:effectLst/>
          </c:spPr>
          <c:marker>
            <c:symbol val="circle"/>
            <c:size val="5"/>
            <c:spPr>
              <a:solidFill>
                <a:schemeClr val="accent2"/>
              </a:solidFill>
              <a:ln w="9525">
                <a:solidFill>
                  <a:schemeClr val="accent2"/>
                </a:solidFill>
              </a:ln>
              <a:effectLst/>
            </c:spPr>
          </c:marker>
          <c:xVal>
            <c:numRef>
              <c:f>Outlier!$B$5:$B$1004</c:f>
              <c:numCache>
                <c:formatCode>General</c:formatCode>
                <c:ptCount val="10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numCache>
            </c:numRef>
          </c:xVal>
          <c:yVal>
            <c:numRef>
              <c:f>Outlier!$K$5:$K$1004</c:f>
              <c:numCache>
                <c:formatCode>General</c:formatCode>
                <c:ptCount val="1000"/>
                <c:pt idx="0">
                  <c:v>#N/A</c:v>
                </c:pt>
                <c:pt idx="1">
                  <c:v>40</c:v>
                </c:pt>
                <c:pt idx="2">
                  <c:v>32</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9</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39</c:v>
                </c:pt>
                <c:pt idx="349">
                  <c:v>#N/A</c:v>
                </c:pt>
                <c:pt idx="350">
                  <c:v>#N/A</c:v>
                </c:pt>
                <c:pt idx="351">
                  <c:v>15</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3</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59</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152</c:v>
                </c:pt>
                <c:pt idx="451">
                  <c:v>126</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225</c:v>
                </c:pt>
                <c:pt idx="566">
                  <c:v>#N/A</c:v>
                </c:pt>
                <c:pt idx="567">
                  <c:v>119</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36</c:v>
                </c:pt>
                <c:pt idx="586">
                  <c:v>26</c:v>
                </c:pt>
                <c:pt idx="587">
                  <c:v>24</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39</c:v>
                </c:pt>
                <c:pt idx="782">
                  <c:v>#N/A</c:v>
                </c:pt>
                <c:pt idx="783">
                  <c:v>#N/A</c:v>
                </c:pt>
                <c:pt idx="784">
                  <c:v>#N/A</c:v>
                </c:pt>
                <c:pt idx="785">
                  <c:v>8</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59</c:v>
                </c:pt>
                <c:pt idx="805">
                  <c:v>39</c:v>
                </c:pt>
                <c:pt idx="806">
                  <c:v>44</c:v>
                </c:pt>
                <c:pt idx="807">
                  <c:v>#N/A</c:v>
                </c:pt>
                <c:pt idx="808">
                  <c:v>#N/A</c:v>
                </c:pt>
                <c:pt idx="809">
                  <c:v>#N/A</c:v>
                </c:pt>
                <c:pt idx="810">
                  <c:v>#N/A</c:v>
                </c:pt>
                <c:pt idx="811">
                  <c:v>#N/A</c:v>
                </c:pt>
                <c:pt idx="812">
                  <c:v>#N/A</c:v>
                </c:pt>
                <c:pt idx="813">
                  <c:v>#N/A</c:v>
                </c:pt>
                <c:pt idx="814">
                  <c:v>#N/A</c:v>
                </c:pt>
                <c:pt idx="815">
                  <c:v>89</c:v>
                </c:pt>
                <c:pt idx="816">
                  <c:v>117</c:v>
                </c:pt>
                <c:pt idx="817">
                  <c:v>174</c:v>
                </c:pt>
                <c:pt idx="818">
                  <c:v>182</c:v>
                </c:pt>
                <c:pt idx="819">
                  <c:v>161</c:v>
                </c:pt>
                <c:pt idx="820">
                  <c:v>182</c:v>
                </c:pt>
                <c:pt idx="821">
                  <c:v>157</c:v>
                </c:pt>
                <c:pt idx="822">
                  <c:v>#N/A</c:v>
                </c:pt>
                <c:pt idx="823">
                  <c:v>#N/A</c:v>
                </c:pt>
                <c:pt idx="824">
                  <c:v>21</c:v>
                </c:pt>
                <c:pt idx="825">
                  <c:v>#N/A</c:v>
                </c:pt>
                <c:pt idx="826">
                  <c:v>#N/A</c:v>
                </c:pt>
                <c:pt idx="827">
                  <c:v>62</c:v>
                </c:pt>
                <c:pt idx="828">
                  <c:v>#N/A</c:v>
                </c:pt>
                <c:pt idx="829">
                  <c:v>#N/A</c:v>
                </c:pt>
                <c:pt idx="830">
                  <c:v>#N/A</c:v>
                </c:pt>
                <c:pt idx="831">
                  <c:v>#N/A</c:v>
                </c:pt>
                <c:pt idx="832">
                  <c:v>#N/A</c:v>
                </c:pt>
                <c:pt idx="833">
                  <c:v>#N/A</c:v>
                </c:pt>
                <c:pt idx="834">
                  <c:v>10</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78</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83</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53</c:v>
                </c:pt>
                <c:pt idx="945">
                  <c:v>#N/A</c:v>
                </c:pt>
                <c:pt idx="946">
                  <c:v>#N/A</c:v>
                </c:pt>
                <c:pt idx="947">
                  <c:v>#N/A</c:v>
                </c:pt>
                <c:pt idx="948">
                  <c:v>#N/A</c:v>
                </c:pt>
                <c:pt idx="949">
                  <c:v>#N/A</c:v>
                </c:pt>
                <c:pt idx="950">
                  <c:v>#N/A</c:v>
                </c:pt>
                <c:pt idx="951">
                  <c:v>#N/A</c:v>
                </c:pt>
                <c:pt idx="952">
                  <c:v>#N/A</c:v>
                </c:pt>
                <c:pt idx="953">
                  <c:v>#N/A</c:v>
                </c:pt>
                <c:pt idx="954">
                  <c:v>#N/A</c:v>
                </c:pt>
                <c:pt idx="955">
                  <c:v>#N/A</c:v>
                </c:pt>
                <c:pt idx="956">
                  <c:v>114</c:v>
                </c:pt>
                <c:pt idx="957">
                  <c:v>#N/A</c:v>
                </c:pt>
                <c:pt idx="958">
                  <c:v>#N/A</c:v>
                </c:pt>
                <c:pt idx="959">
                  <c:v>#N/A</c:v>
                </c:pt>
                <c:pt idx="960">
                  <c:v>174</c:v>
                </c:pt>
                <c:pt idx="961">
                  <c:v>145</c:v>
                </c:pt>
                <c:pt idx="962">
                  <c:v>#N/A</c:v>
                </c:pt>
                <c:pt idx="963">
                  <c:v>#N/A</c:v>
                </c:pt>
                <c:pt idx="964">
                  <c:v>#N/A</c:v>
                </c:pt>
                <c:pt idx="965">
                  <c:v>#N/A</c:v>
                </c:pt>
                <c:pt idx="966">
                  <c:v>#N/A</c:v>
                </c:pt>
                <c:pt idx="967">
                  <c:v>#N/A</c:v>
                </c:pt>
                <c:pt idx="968">
                  <c:v>#N/A</c:v>
                </c:pt>
                <c:pt idx="969">
                  <c:v>39</c:v>
                </c:pt>
                <c:pt idx="970">
                  <c:v>#N/A</c:v>
                </c:pt>
                <c:pt idx="971">
                  <c:v>#N/A</c:v>
                </c:pt>
                <c:pt idx="972">
                  <c:v>#N/A</c:v>
                </c:pt>
                <c:pt idx="973">
                  <c:v>#N/A</c:v>
                </c:pt>
                <c:pt idx="974">
                  <c:v>#N/A</c:v>
                </c:pt>
                <c:pt idx="975">
                  <c:v>#N/A</c:v>
                </c:pt>
                <c:pt idx="976">
                  <c:v>#N/A</c:v>
                </c:pt>
                <c:pt idx="977">
                  <c:v>#N/A</c:v>
                </c:pt>
                <c:pt idx="978">
                  <c:v>105</c:v>
                </c:pt>
                <c:pt idx="979">
                  <c:v>112</c:v>
                </c:pt>
                <c:pt idx="980">
                  <c:v>152</c:v>
                </c:pt>
                <c:pt idx="981">
                  <c:v>154</c:v>
                </c:pt>
                <c:pt idx="982">
                  <c:v>161</c:v>
                </c:pt>
                <c:pt idx="983">
                  <c:v>162</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numCache>
            </c:numRef>
          </c:yVal>
          <c:smooth val="0"/>
          <c:extLst>
            <c:ext xmlns:c16="http://schemas.microsoft.com/office/drawing/2014/chart" uri="{C3380CC4-5D6E-409C-BE32-E72D297353CC}">
              <c16:uniqueId val="{00000001-A37E-4296-AFEC-076251C3B741}"/>
            </c:ext>
          </c:extLst>
        </c:ser>
        <c:dLbls>
          <c:showLegendKey val="0"/>
          <c:showVal val="0"/>
          <c:showCatName val="0"/>
          <c:showSerName val="0"/>
          <c:showPercent val="0"/>
          <c:showBubbleSize val="0"/>
        </c:dLbls>
        <c:axId val="924886560"/>
        <c:axId val="924892320"/>
      </c:scatterChart>
      <c:valAx>
        <c:axId val="92488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892320"/>
        <c:crosses val="autoZero"/>
        <c:crossBetween val="midCat"/>
      </c:valAx>
      <c:valAx>
        <c:axId val="92489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8865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tx1"/>
                </a:solidFill>
              </a:rPr>
              <a:t>Demand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Sum of Total_count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Tables'!$B$3:$B$27</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5D37-4103-8937-84570E5B2A94}"/>
            </c:ext>
          </c:extLst>
        </c:ser>
        <c:ser>
          <c:idx val="1"/>
          <c:order val="1"/>
          <c:tx>
            <c:strRef>
              <c:f>'Pivot Tables'!$C$2</c:f>
              <c:strCache>
                <c:ptCount val="1"/>
                <c:pt idx="0">
                  <c:v>Sum of Casual_customers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Tables'!$C$3:$C$27</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smooth val="0"/>
          <c:extLst>
            <c:ext xmlns:c16="http://schemas.microsoft.com/office/drawing/2014/chart" uri="{C3380CC4-5D6E-409C-BE32-E72D297353CC}">
              <c16:uniqueId val="{00000001-5D37-4103-8937-84570E5B2A94}"/>
            </c:ext>
          </c:extLst>
        </c:ser>
        <c:ser>
          <c:idx val="2"/>
          <c:order val="2"/>
          <c:tx>
            <c:strRef>
              <c:f>'Pivot Tables'!$D$2</c:f>
              <c:strCache>
                <c:ptCount val="1"/>
                <c:pt idx="0">
                  <c:v>Sum of Registered_customers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Tables'!$D$3:$D$27</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smooth val="0"/>
          <c:extLst>
            <c:ext xmlns:c16="http://schemas.microsoft.com/office/drawing/2014/chart" uri="{C3380CC4-5D6E-409C-BE32-E72D297353CC}">
              <c16:uniqueId val="{00000002-5D37-4103-8937-84570E5B2A94}"/>
            </c:ext>
          </c:extLst>
        </c:ser>
        <c:dLbls>
          <c:showLegendKey val="0"/>
          <c:showVal val="0"/>
          <c:showCatName val="0"/>
          <c:showSerName val="0"/>
          <c:showPercent val="0"/>
          <c:showBubbleSize val="0"/>
        </c:dLbls>
        <c:marker val="1"/>
        <c:smooth val="0"/>
        <c:axId val="918708544"/>
        <c:axId val="918702784"/>
      </c:lineChart>
      <c:catAx>
        <c:axId val="91870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02784"/>
        <c:crosses val="autoZero"/>
        <c:auto val="1"/>
        <c:lblAlgn val="ctr"/>
        <c:lblOffset val="100"/>
        <c:noMultiLvlLbl val="0"/>
      </c:catAx>
      <c:valAx>
        <c:axId val="91870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chemeClr val="tx1"/>
                </a:solidFill>
              </a:rPr>
              <a:t>Rental Demand Trend Over Time</a:t>
            </a:r>
            <a:endParaRPr lang="en-IN" b="1" u="sng">
              <a:solidFill>
                <a:schemeClr val="tx1"/>
              </a:solidFill>
            </a:endParaRPr>
          </a:p>
        </c:rich>
      </c:tx>
      <c:layout>
        <c:manualLayout>
          <c:xMode val="edge"/>
          <c:yMode val="edge"/>
          <c:x val="0.1416456692913385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c:f>
              <c:strCache>
                <c:ptCount val="1"/>
                <c:pt idx="0">
                  <c:v>Sum of Total_count</c:v>
                </c:pt>
              </c:strCache>
            </c:strRef>
          </c:tx>
          <c:spPr>
            <a:solidFill>
              <a:schemeClr val="accent1"/>
            </a:solidFill>
            <a:ln>
              <a:noFill/>
            </a:ln>
            <a:effectLst/>
          </c:spPr>
          <c:invertIfNegative val="0"/>
          <c:cat>
            <c:strRef>
              <c:f>'Pivot Tables'!$F$3:$F$5</c:f>
              <c:strCache>
                <c:ptCount val="2"/>
                <c:pt idx="0">
                  <c:v>Jan</c:v>
                </c:pt>
                <c:pt idx="1">
                  <c:v>Feb</c:v>
                </c:pt>
              </c:strCache>
            </c:strRef>
          </c:cat>
          <c:val>
            <c:numRef>
              <c:f>'Pivot Tables'!$G$3:$G$5</c:f>
              <c:numCache>
                <c:formatCode>General</c:formatCode>
                <c:ptCount val="2"/>
                <c:pt idx="0">
                  <c:v>38189</c:v>
                </c:pt>
                <c:pt idx="1">
                  <c:v>20115</c:v>
                </c:pt>
              </c:numCache>
            </c:numRef>
          </c:val>
          <c:extLst>
            <c:ext xmlns:c16="http://schemas.microsoft.com/office/drawing/2014/chart" uri="{C3380CC4-5D6E-409C-BE32-E72D297353CC}">
              <c16:uniqueId val="{00000000-5C30-45B8-81E6-14152464BAFA}"/>
            </c:ext>
          </c:extLst>
        </c:ser>
        <c:dLbls>
          <c:showLegendKey val="0"/>
          <c:showVal val="0"/>
          <c:showCatName val="0"/>
          <c:showSerName val="0"/>
          <c:showPercent val="0"/>
          <c:showBubbleSize val="0"/>
        </c:dLbls>
        <c:gapWidth val="219"/>
        <c:overlap val="-27"/>
        <c:axId val="918723904"/>
        <c:axId val="918724864"/>
      </c:barChart>
      <c:lineChart>
        <c:grouping val="standard"/>
        <c:varyColors val="0"/>
        <c:ser>
          <c:idx val="1"/>
          <c:order val="1"/>
          <c:tx>
            <c:strRef>
              <c:f>'Pivot Tables'!$H$2</c:f>
              <c:strCache>
                <c:ptCount val="1"/>
                <c:pt idx="0">
                  <c:v>Average of Total_count2</c:v>
                </c:pt>
              </c:strCache>
            </c:strRef>
          </c:tx>
          <c:spPr>
            <a:ln w="28575" cap="rnd">
              <a:solidFill>
                <a:schemeClr val="accent2"/>
              </a:solidFill>
              <a:round/>
            </a:ln>
            <a:effectLst/>
          </c:spPr>
          <c:marker>
            <c:symbol val="none"/>
          </c:marker>
          <c:cat>
            <c:strRef>
              <c:f>'Pivot Tables'!$F$3:$F$5</c:f>
              <c:strCache>
                <c:ptCount val="2"/>
                <c:pt idx="0">
                  <c:v>Jan</c:v>
                </c:pt>
                <c:pt idx="1">
                  <c:v>Feb</c:v>
                </c:pt>
              </c:strCache>
            </c:strRef>
          </c:cat>
          <c:val>
            <c:numRef>
              <c:f>'Pivot Tables'!$H$3:$H$5</c:f>
              <c:numCache>
                <c:formatCode>0.00</c:formatCode>
                <c:ptCount val="2"/>
                <c:pt idx="0">
                  <c:v>55.507267441860463</c:v>
                </c:pt>
                <c:pt idx="1">
                  <c:v>64.47115384615384</c:v>
                </c:pt>
              </c:numCache>
            </c:numRef>
          </c:val>
          <c:smooth val="0"/>
          <c:extLst>
            <c:ext xmlns:c16="http://schemas.microsoft.com/office/drawing/2014/chart" uri="{C3380CC4-5D6E-409C-BE32-E72D297353CC}">
              <c16:uniqueId val="{00000001-5C30-45B8-81E6-14152464BAFA}"/>
            </c:ext>
          </c:extLst>
        </c:ser>
        <c:dLbls>
          <c:showLegendKey val="0"/>
          <c:showVal val="0"/>
          <c:showCatName val="0"/>
          <c:showSerName val="0"/>
          <c:showPercent val="0"/>
          <c:showBubbleSize val="0"/>
        </c:dLbls>
        <c:marker val="1"/>
        <c:smooth val="0"/>
        <c:axId val="1039025968"/>
        <c:axId val="1039021648"/>
      </c:lineChart>
      <c:catAx>
        <c:axId val="9187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24864"/>
        <c:crosses val="autoZero"/>
        <c:auto val="1"/>
        <c:lblAlgn val="ctr"/>
        <c:lblOffset val="100"/>
        <c:noMultiLvlLbl val="0"/>
      </c:catAx>
      <c:valAx>
        <c:axId val="91872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23904"/>
        <c:crosses val="autoZero"/>
        <c:crossBetween val="between"/>
      </c:valAx>
      <c:valAx>
        <c:axId val="10390216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25968"/>
        <c:crosses val="max"/>
        <c:crossBetween val="between"/>
      </c:valAx>
      <c:catAx>
        <c:axId val="1039025968"/>
        <c:scaling>
          <c:orientation val="minMax"/>
        </c:scaling>
        <c:delete val="1"/>
        <c:axPos val="b"/>
        <c:numFmt formatCode="General" sourceLinked="1"/>
        <c:majorTickMark val="out"/>
        <c:minorTickMark val="none"/>
        <c:tickLblPos val="nextTo"/>
        <c:crossAx val="10390216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Tables!PivotTable8</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sz="1400" b="1" i="0" u="sng" strike="noStrike" kern="1200" spc="0" baseline="0">
                <a:solidFill>
                  <a:schemeClr val="tx2"/>
                </a:solidFill>
              </a:rPr>
              <a:t>Demand by Temperature</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layout>
        <c:manualLayout>
          <c:xMode val="edge"/>
          <c:yMode val="edge"/>
          <c:x val="0.38592276422764221"/>
          <c:y val="0.10497596202608679"/>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Tables'!$L$4</c:f>
              <c:strCache>
                <c:ptCount val="1"/>
                <c:pt idx="0">
                  <c:v>Total</c:v>
                </c:pt>
              </c:strCache>
            </c:strRef>
          </c:tx>
          <c:spPr>
            <a:solidFill>
              <a:schemeClr val="accent1"/>
            </a:solidFill>
            <a:ln>
              <a:noFill/>
            </a:ln>
            <a:effectLst/>
          </c:spPr>
          <c:invertIfNegative val="0"/>
          <c:cat>
            <c:strRef>
              <c:f>'Pivot Tables'!$K$5:$K$28</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Tables'!$L$5:$L$28</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0-C057-406C-9A83-7A51A3C22BB7}"/>
            </c:ext>
          </c:extLst>
        </c:ser>
        <c:dLbls>
          <c:showLegendKey val="0"/>
          <c:showVal val="0"/>
          <c:showCatName val="0"/>
          <c:showSerName val="0"/>
          <c:showPercent val="0"/>
          <c:showBubbleSize val="0"/>
        </c:dLbls>
        <c:gapWidth val="219"/>
        <c:overlap val="-27"/>
        <c:axId val="914851216"/>
        <c:axId val="914851696"/>
      </c:barChart>
      <c:catAx>
        <c:axId val="914851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51696"/>
        <c:crosses val="autoZero"/>
        <c:auto val="1"/>
        <c:lblAlgn val="ctr"/>
        <c:lblOffset val="100"/>
        <c:noMultiLvlLbl val="0"/>
      </c:catAx>
      <c:valAx>
        <c:axId val="91485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51216"/>
        <c:crosses val="autoZero"/>
        <c:crossBetween val="between"/>
      </c:valAx>
      <c:spPr>
        <a:noFill/>
        <a:ln>
          <a:noFill/>
        </a:ln>
        <a:effectLst/>
      </c:spPr>
    </c:plotArea>
    <c:legend>
      <c:legendPos val="r"/>
      <c:overlay val="0"/>
      <c:spPr>
        <a:noFill/>
        <a:ln w="28575">
          <a:solidFill>
            <a:schemeClr val="tx1">
              <a:lumMod val="15000"/>
              <a:lumOff val="8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Tables!PivotTable9</c:name>
    <c:fmtId val="5"/>
  </c:pivotSource>
  <c:chart>
    <c:title>
      <c:tx>
        <c:rich>
          <a:bodyPr rot="0" spcFirstLastPara="1" vertOverflow="ellipsis" vert="horz" wrap="square" anchor="ctr" anchorCtr="1"/>
          <a:lstStyle/>
          <a:p>
            <a:pPr>
              <a:defRPr sz="1400" b="0" i="0" u="sng" strike="noStrike" kern="1200" spc="0" baseline="0">
                <a:ln w="0">
                  <a:solidFill>
                    <a:schemeClr val="tx1"/>
                  </a:solidFill>
                </a:ln>
                <a:solidFill>
                  <a:schemeClr val="tx1">
                    <a:lumMod val="65000"/>
                    <a:lumOff val="35000"/>
                  </a:schemeClr>
                </a:solidFill>
                <a:latin typeface="+mn-lt"/>
                <a:ea typeface="+mn-ea"/>
                <a:cs typeface="+mn-cs"/>
              </a:defRPr>
            </a:pPr>
            <a:r>
              <a:rPr lang="en-US" u="sng"/>
              <a:t>Demand by weather situation</a:t>
            </a:r>
          </a:p>
        </c:rich>
      </c:tx>
      <c:layout>
        <c:manualLayout>
          <c:xMode val="edge"/>
          <c:yMode val="edge"/>
          <c:x val="0.20046221240441958"/>
          <c:y val="0.14605576261648753"/>
        </c:manualLayout>
      </c:layout>
      <c:overlay val="0"/>
      <c:spPr>
        <a:noFill/>
        <a:ln>
          <a:noFill/>
        </a:ln>
        <a:effectLst/>
      </c:spPr>
      <c:txPr>
        <a:bodyPr rot="0" spcFirstLastPara="1" vertOverflow="ellipsis" vert="horz" wrap="square" anchor="ctr" anchorCtr="1"/>
        <a:lstStyle/>
        <a:p>
          <a:pPr>
            <a:defRPr sz="1400" b="0" i="0" u="sng" strike="noStrike" kern="1200" spc="0" baseline="0">
              <a:ln w="0">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Tables'!$O$2</c:f>
              <c:strCache>
                <c:ptCount val="1"/>
                <c:pt idx="0">
                  <c:v>Sum of Total_count</c:v>
                </c:pt>
              </c:strCache>
            </c:strRef>
          </c:tx>
          <c:spPr>
            <a:solidFill>
              <a:schemeClr val="accent1"/>
            </a:solidFill>
            <a:ln>
              <a:noFill/>
            </a:ln>
            <a:effectLst/>
          </c:spPr>
          <c:cat>
            <c:strRef>
              <c:f>'Pivot Tables'!$N$3:$N$7</c:f>
              <c:strCache>
                <c:ptCount val="4"/>
                <c:pt idx="0">
                  <c:v>Clear Weather</c:v>
                </c:pt>
                <c:pt idx="1">
                  <c:v>Heavy Rain</c:v>
                </c:pt>
                <c:pt idx="2">
                  <c:v>Light Rain</c:v>
                </c:pt>
                <c:pt idx="3">
                  <c:v>Thunderstorm</c:v>
                </c:pt>
              </c:strCache>
            </c:strRef>
          </c:cat>
          <c:val>
            <c:numRef>
              <c:f>'Pivot Tables'!$O$3:$O$7</c:f>
              <c:numCache>
                <c:formatCode>General</c:formatCode>
                <c:ptCount val="4"/>
                <c:pt idx="0">
                  <c:v>37373</c:v>
                </c:pt>
                <c:pt idx="1">
                  <c:v>2789</c:v>
                </c:pt>
                <c:pt idx="2">
                  <c:v>18106</c:v>
                </c:pt>
                <c:pt idx="3">
                  <c:v>36</c:v>
                </c:pt>
              </c:numCache>
            </c:numRef>
          </c:val>
          <c:extLst>
            <c:ext xmlns:c16="http://schemas.microsoft.com/office/drawing/2014/chart" uri="{C3380CC4-5D6E-409C-BE32-E72D297353CC}">
              <c16:uniqueId val="{00000000-D424-4FA6-8B6B-09447A07C94D}"/>
            </c:ext>
          </c:extLst>
        </c:ser>
        <c:ser>
          <c:idx val="1"/>
          <c:order val="1"/>
          <c:tx>
            <c:strRef>
              <c:f>'Pivot Tables'!$P$2</c:f>
              <c:strCache>
                <c:ptCount val="1"/>
                <c:pt idx="0">
                  <c:v>Sum of Registered_customers</c:v>
                </c:pt>
              </c:strCache>
            </c:strRef>
          </c:tx>
          <c:spPr>
            <a:solidFill>
              <a:schemeClr val="accent2"/>
            </a:solidFill>
            <a:ln w="25400">
              <a:noFill/>
            </a:ln>
            <a:effectLst/>
          </c:spPr>
          <c:cat>
            <c:strRef>
              <c:f>'Pivot Tables'!$N$3:$N$7</c:f>
              <c:strCache>
                <c:ptCount val="4"/>
                <c:pt idx="0">
                  <c:v>Clear Weather</c:v>
                </c:pt>
                <c:pt idx="1">
                  <c:v>Heavy Rain</c:v>
                </c:pt>
                <c:pt idx="2">
                  <c:v>Light Rain</c:v>
                </c:pt>
                <c:pt idx="3">
                  <c:v>Thunderstorm</c:v>
                </c:pt>
              </c:strCache>
            </c:strRef>
          </c:cat>
          <c:val>
            <c:numRef>
              <c:f>'Pivot Tables'!$P$3:$P$7</c:f>
              <c:numCache>
                <c:formatCode>General</c:formatCode>
                <c:ptCount val="4"/>
                <c:pt idx="0">
                  <c:v>34162</c:v>
                </c:pt>
                <c:pt idx="1">
                  <c:v>2618</c:v>
                </c:pt>
                <c:pt idx="2">
                  <c:v>16568</c:v>
                </c:pt>
                <c:pt idx="3">
                  <c:v>35</c:v>
                </c:pt>
              </c:numCache>
            </c:numRef>
          </c:val>
          <c:extLst>
            <c:ext xmlns:c16="http://schemas.microsoft.com/office/drawing/2014/chart" uri="{C3380CC4-5D6E-409C-BE32-E72D297353CC}">
              <c16:uniqueId val="{00000001-D424-4FA6-8B6B-09447A07C94D}"/>
            </c:ext>
          </c:extLst>
        </c:ser>
        <c:ser>
          <c:idx val="2"/>
          <c:order val="2"/>
          <c:tx>
            <c:strRef>
              <c:f>'Pivot Tables'!$Q$2</c:f>
              <c:strCache>
                <c:ptCount val="1"/>
                <c:pt idx="0">
                  <c:v>Sum of Casual_customers</c:v>
                </c:pt>
              </c:strCache>
            </c:strRef>
          </c:tx>
          <c:spPr>
            <a:solidFill>
              <a:schemeClr val="accent3"/>
            </a:solidFill>
            <a:ln w="25400">
              <a:noFill/>
            </a:ln>
            <a:effectLst/>
          </c:spPr>
          <c:cat>
            <c:strRef>
              <c:f>'Pivot Tables'!$N$3:$N$7</c:f>
              <c:strCache>
                <c:ptCount val="4"/>
                <c:pt idx="0">
                  <c:v>Clear Weather</c:v>
                </c:pt>
                <c:pt idx="1">
                  <c:v>Heavy Rain</c:v>
                </c:pt>
                <c:pt idx="2">
                  <c:v>Light Rain</c:v>
                </c:pt>
                <c:pt idx="3">
                  <c:v>Thunderstorm</c:v>
                </c:pt>
              </c:strCache>
            </c:strRef>
          </c:cat>
          <c:val>
            <c:numRef>
              <c:f>'Pivot Tables'!$Q$3:$Q$7</c:f>
              <c:numCache>
                <c:formatCode>General</c:formatCode>
                <c:ptCount val="4"/>
                <c:pt idx="0">
                  <c:v>3211</c:v>
                </c:pt>
                <c:pt idx="1">
                  <c:v>171</c:v>
                </c:pt>
                <c:pt idx="2">
                  <c:v>1538</c:v>
                </c:pt>
                <c:pt idx="3">
                  <c:v>1</c:v>
                </c:pt>
              </c:numCache>
            </c:numRef>
          </c:val>
          <c:extLst>
            <c:ext xmlns:c16="http://schemas.microsoft.com/office/drawing/2014/chart" uri="{C3380CC4-5D6E-409C-BE32-E72D297353CC}">
              <c16:uniqueId val="{00000002-D424-4FA6-8B6B-09447A07C94D}"/>
            </c:ext>
          </c:extLst>
        </c:ser>
        <c:dLbls>
          <c:showLegendKey val="0"/>
          <c:showVal val="0"/>
          <c:showCatName val="0"/>
          <c:showSerName val="0"/>
          <c:showPercent val="0"/>
          <c:showBubbleSize val="0"/>
        </c:dLbls>
        <c:axId val="1238662048"/>
        <c:axId val="1238678848"/>
      </c:areaChart>
      <c:catAx>
        <c:axId val="1238662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a:solidFill>
                    <a:schemeClr val="tx1"/>
                  </a:solidFill>
                </a:ln>
                <a:solidFill>
                  <a:schemeClr val="tx1">
                    <a:lumMod val="65000"/>
                    <a:lumOff val="35000"/>
                  </a:schemeClr>
                </a:solidFill>
                <a:latin typeface="+mn-lt"/>
                <a:ea typeface="+mn-ea"/>
                <a:cs typeface="+mn-cs"/>
              </a:defRPr>
            </a:pPr>
            <a:endParaRPr lang="en-US"/>
          </a:p>
        </c:txPr>
        <c:crossAx val="1238678848"/>
        <c:crosses val="autoZero"/>
        <c:auto val="1"/>
        <c:lblAlgn val="ctr"/>
        <c:lblOffset val="100"/>
        <c:noMultiLvlLbl val="0"/>
      </c:catAx>
      <c:valAx>
        <c:axId val="12386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a:solidFill>
                    <a:schemeClr val="tx1"/>
                  </a:solidFill>
                </a:ln>
                <a:solidFill>
                  <a:schemeClr val="tx1">
                    <a:lumMod val="65000"/>
                    <a:lumOff val="35000"/>
                  </a:schemeClr>
                </a:solidFill>
                <a:latin typeface="+mn-lt"/>
                <a:ea typeface="+mn-ea"/>
                <a:cs typeface="+mn-cs"/>
              </a:defRPr>
            </a:pPr>
            <a:endParaRPr lang="en-US"/>
          </a:p>
        </c:txPr>
        <c:crossAx val="12386620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0">
                <a:solidFill>
                  <a:schemeClr val="tx1"/>
                </a:solidFill>
              </a:ln>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tx1"/>
      </a:solidFill>
      <a:round/>
    </a:ln>
    <a:effectLst/>
  </c:spPr>
  <c:txPr>
    <a:bodyPr/>
    <a:lstStyle/>
    <a:p>
      <a:pPr>
        <a:defRPr>
          <a:ln w="0">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6999125109361"/>
          <c:y val="0.15638670166229221"/>
          <c:w val="0.50343000874890642"/>
          <c:h val="0.62961067366579182"/>
        </c:manualLayout>
      </c:layout>
      <c:barChart>
        <c:barDir val="col"/>
        <c:grouping val="clustered"/>
        <c:varyColors val="0"/>
        <c:ser>
          <c:idx val="0"/>
          <c:order val="0"/>
          <c:tx>
            <c:v>Average of Total_count</c:v>
          </c:tx>
          <c:spPr>
            <a:solidFill>
              <a:schemeClr val="accent1"/>
            </a:solidFill>
            <a:ln>
              <a:noFill/>
            </a:ln>
            <a:effectLst/>
          </c:spPr>
          <c:invertIfNegative val="0"/>
          <c:cat>
            <c:strLit>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Lit>
          </c:cat>
          <c:val>
            <c:numLit>
              <c:formatCode>General</c:formatCode>
              <c:ptCount val="64"/>
              <c:pt idx="0">
                <c:v>73.5</c:v>
              </c:pt>
              <c:pt idx="1">
                <c:v>211</c:v>
              </c:pt>
              <c:pt idx="2">
                <c:v>56</c:v>
              </c:pt>
              <c:pt idx="3">
                <c:v>88.5</c:v>
              </c:pt>
              <c:pt idx="4">
                <c:v>68.666666666666671</c:v>
              </c:pt>
              <c:pt idx="5">
                <c:v>109.875</c:v>
              </c:pt>
              <c:pt idx="6">
                <c:v>122.2</c:v>
              </c:pt>
              <c:pt idx="7">
                <c:v>99.181818181818187</c:v>
              </c:pt>
              <c:pt idx="8">
                <c:v>118</c:v>
              </c:pt>
              <c:pt idx="9">
                <c:v>113.66666666666667</c:v>
              </c:pt>
              <c:pt idx="10">
                <c:v>59.555555555555557</c:v>
              </c:pt>
              <c:pt idx="11">
                <c:v>93.142857142857139</c:v>
              </c:pt>
              <c:pt idx="12">
                <c:v>67</c:v>
              </c:pt>
              <c:pt idx="13">
                <c:v>51.53846153846154</c:v>
              </c:pt>
              <c:pt idx="14">
                <c:v>74.80952380952381</c:v>
              </c:pt>
              <c:pt idx="15">
                <c:v>78.84210526315789</c:v>
              </c:pt>
              <c:pt idx="16">
                <c:v>72.266666666666666</c:v>
              </c:pt>
              <c:pt idx="17">
                <c:v>82.5</c:v>
              </c:pt>
              <c:pt idx="18">
                <c:v>55.1</c:v>
              </c:pt>
              <c:pt idx="19">
                <c:v>76.733333333333334</c:v>
              </c:pt>
              <c:pt idx="20">
                <c:v>40.450000000000003</c:v>
              </c:pt>
              <c:pt idx="21">
                <c:v>36</c:v>
              </c:pt>
              <c:pt idx="22">
                <c:v>63</c:v>
              </c:pt>
              <c:pt idx="23">
                <c:v>66.25</c:v>
              </c:pt>
              <c:pt idx="24">
                <c:v>69.891304347826093</c:v>
              </c:pt>
              <c:pt idx="25">
                <c:v>71.13333333333334</c:v>
              </c:pt>
              <c:pt idx="26">
                <c:v>97.0625</c:v>
              </c:pt>
              <c:pt idx="27">
                <c:v>57.5</c:v>
              </c:pt>
              <c:pt idx="28">
                <c:v>80.888888888888886</c:v>
              </c:pt>
              <c:pt idx="29">
                <c:v>84.875</c:v>
              </c:pt>
              <c:pt idx="30">
                <c:v>33.833333333333336</c:v>
              </c:pt>
              <c:pt idx="31">
                <c:v>27.5</c:v>
              </c:pt>
              <c:pt idx="32">
                <c:v>50.524999999999999</c:v>
              </c:pt>
              <c:pt idx="33">
                <c:v>68.239999999999995</c:v>
              </c:pt>
              <c:pt idx="34">
                <c:v>62.18181818181818</c:v>
              </c:pt>
              <c:pt idx="35">
                <c:v>60.333333333333336</c:v>
              </c:pt>
              <c:pt idx="36">
                <c:v>55.826086956521742</c:v>
              </c:pt>
              <c:pt idx="37">
                <c:v>49.65</c:v>
              </c:pt>
              <c:pt idx="38">
                <c:v>87.5</c:v>
              </c:pt>
              <c:pt idx="39">
                <c:v>37.200000000000003</c:v>
              </c:pt>
              <c:pt idx="40">
                <c:v>15.166666666666666</c:v>
              </c:pt>
              <c:pt idx="41">
                <c:v>31.34375</c:v>
              </c:pt>
              <c:pt idx="42">
                <c:v>48.434782608695649</c:v>
              </c:pt>
              <c:pt idx="43">
                <c:v>114.33333333333333</c:v>
              </c:pt>
              <c:pt idx="44">
                <c:v>62</c:v>
              </c:pt>
              <c:pt idx="45">
                <c:v>37.405405405405403</c:v>
              </c:pt>
              <c:pt idx="46">
                <c:v>59.928571428571431</c:v>
              </c:pt>
              <c:pt idx="47">
                <c:v>64.25</c:v>
              </c:pt>
              <c:pt idx="48">
                <c:v>100</c:v>
              </c:pt>
              <c:pt idx="49">
                <c:v>74</c:v>
              </c:pt>
              <c:pt idx="50">
                <c:v>60.869565217391305</c:v>
              </c:pt>
              <c:pt idx="51">
                <c:v>41.090909090909093</c:v>
              </c:pt>
              <c:pt idx="52">
                <c:v>34.333333333333336</c:v>
              </c:pt>
              <c:pt idx="53">
                <c:v>65.333333333333329</c:v>
              </c:pt>
              <c:pt idx="54">
                <c:v>39.058823529411768</c:v>
              </c:pt>
              <c:pt idx="55">
                <c:v>60.9</c:v>
              </c:pt>
              <c:pt idx="56">
                <c:v>87</c:v>
              </c:pt>
              <c:pt idx="57">
                <c:v>38.5</c:v>
              </c:pt>
              <c:pt idx="58">
                <c:v>44.9375</c:v>
              </c:pt>
              <c:pt idx="59">
                <c:v>32</c:v>
              </c:pt>
              <c:pt idx="60">
                <c:v>90</c:v>
              </c:pt>
              <c:pt idx="61">
                <c:v>37.799999999999997</c:v>
              </c:pt>
              <c:pt idx="62">
                <c:v>13.5</c:v>
              </c:pt>
              <c:pt idx="63">
                <c:v>54.25</c:v>
              </c:pt>
            </c:numLit>
          </c:val>
          <c:extLst>
            <c:ext xmlns:c16="http://schemas.microsoft.com/office/drawing/2014/chart" uri="{C3380CC4-5D6E-409C-BE32-E72D297353CC}">
              <c16:uniqueId val="{00000000-EFE6-40E9-94BC-693621FF60FE}"/>
            </c:ext>
          </c:extLst>
        </c:ser>
        <c:ser>
          <c:idx val="1"/>
          <c:order val="1"/>
          <c:tx>
            <c:v>Average of Casual_customers</c:v>
          </c:tx>
          <c:spPr>
            <a:solidFill>
              <a:schemeClr val="accent2"/>
            </a:solidFill>
            <a:ln>
              <a:noFill/>
            </a:ln>
            <a:effectLst/>
          </c:spPr>
          <c:invertIfNegative val="0"/>
          <c:cat>
            <c:strLit>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Lit>
          </c:cat>
          <c:val>
            <c:numLit>
              <c:formatCode>General</c:formatCode>
              <c:ptCount val="64"/>
              <c:pt idx="0">
                <c:v>10</c:v>
              </c:pt>
              <c:pt idx="1">
                <c:v>18</c:v>
              </c:pt>
              <c:pt idx="2">
                <c:v>3</c:v>
              </c:pt>
              <c:pt idx="3">
                <c:v>6.833333333333333</c:v>
              </c:pt>
              <c:pt idx="4">
                <c:v>7</c:v>
              </c:pt>
              <c:pt idx="5">
                <c:v>12.875</c:v>
              </c:pt>
              <c:pt idx="6">
                <c:v>32.4</c:v>
              </c:pt>
              <c:pt idx="7">
                <c:v>14.181818181818182</c:v>
              </c:pt>
              <c:pt idx="8">
                <c:v>19.333333333333332</c:v>
              </c:pt>
              <c:pt idx="9">
                <c:v>12.888888888888889</c:v>
              </c:pt>
              <c:pt idx="10">
                <c:v>6.5555555555555554</c:v>
              </c:pt>
              <c:pt idx="11">
                <c:v>10</c:v>
              </c:pt>
              <c:pt idx="12">
                <c:v>9.1764705882352935</c:v>
              </c:pt>
              <c:pt idx="13">
                <c:v>8.6923076923076916</c:v>
              </c:pt>
              <c:pt idx="14">
                <c:v>7.4761904761904763</c:v>
              </c:pt>
              <c:pt idx="15">
                <c:v>7.6842105263157894</c:v>
              </c:pt>
              <c:pt idx="16">
                <c:v>10.533333333333333</c:v>
              </c:pt>
              <c:pt idx="17">
                <c:v>4.166666666666667</c:v>
              </c:pt>
              <c:pt idx="18">
                <c:v>4.7</c:v>
              </c:pt>
              <c:pt idx="19">
                <c:v>5.333333333333333</c:v>
              </c:pt>
              <c:pt idx="20">
                <c:v>3.75</c:v>
              </c:pt>
              <c:pt idx="21">
                <c:v>3.6190476190476191</c:v>
              </c:pt>
              <c:pt idx="22">
                <c:v>6.333333333333333</c:v>
              </c:pt>
              <c:pt idx="23">
                <c:v>12.5</c:v>
              </c:pt>
              <c:pt idx="24">
                <c:v>4.1739130434782608</c:v>
              </c:pt>
              <c:pt idx="25">
                <c:v>3.8666666666666667</c:v>
              </c:pt>
              <c:pt idx="26">
                <c:v>8.75</c:v>
              </c:pt>
              <c:pt idx="27">
                <c:v>1.6764705882352942</c:v>
              </c:pt>
              <c:pt idx="28">
                <c:v>4.7777777777777777</c:v>
              </c:pt>
              <c:pt idx="29">
                <c:v>8.5</c:v>
              </c:pt>
              <c:pt idx="30">
                <c:v>1.3333333333333333</c:v>
              </c:pt>
              <c:pt idx="31">
                <c:v>1.125</c:v>
              </c:pt>
              <c:pt idx="32">
                <c:v>2.25</c:v>
              </c:pt>
              <c:pt idx="33">
                <c:v>6.68</c:v>
              </c:pt>
              <c:pt idx="34">
                <c:v>5.1818181818181817</c:v>
              </c:pt>
              <c:pt idx="35">
                <c:v>6</c:v>
              </c:pt>
              <c:pt idx="36">
                <c:v>1.9782608695652173</c:v>
              </c:pt>
              <c:pt idx="37">
                <c:v>4.25</c:v>
              </c:pt>
              <c:pt idx="38">
                <c:v>7.5</c:v>
              </c:pt>
              <c:pt idx="39">
                <c:v>4.8</c:v>
              </c:pt>
              <c:pt idx="40">
                <c:v>1</c:v>
              </c:pt>
              <c:pt idx="41">
                <c:v>2.03125</c:v>
              </c:pt>
              <c:pt idx="42">
                <c:v>4.0434782608695654</c:v>
              </c:pt>
              <c:pt idx="43">
                <c:v>12</c:v>
              </c:pt>
              <c:pt idx="44">
                <c:v>1</c:v>
              </c:pt>
              <c:pt idx="45">
                <c:v>3.1351351351351351</c:v>
              </c:pt>
              <c:pt idx="46">
                <c:v>2.7142857142857144</c:v>
              </c:pt>
              <c:pt idx="47">
                <c:v>8.25</c:v>
              </c:pt>
              <c:pt idx="48">
                <c:v>41</c:v>
              </c:pt>
              <c:pt idx="49">
                <c:v>1</c:v>
              </c:pt>
              <c:pt idx="50">
                <c:v>1.6086956521739131</c:v>
              </c:pt>
              <c:pt idx="51">
                <c:v>2.4090909090909092</c:v>
              </c:pt>
              <c:pt idx="52">
                <c:v>5.833333333333333</c:v>
              </c:pt>
              <c:pt idx="53">
                <c:v>23</c:v>
              </c:pt>
              <c:pt idx="54">
                <c:v>2.7352941176470589</c:v>
              </c:pt>
              <c:pt idx="55">
                <c:v>7.5</c:v>
              </c:pt>
              <c:pt idx="56">
                <c:v>14.75</c:v>
              </c:pt>
              <c:pt idx="57">
                <c:v>1.2941176470588236</c:v>
              </c:pt>
              <c:pt idx="58">
                <c:v>2.8125</c:v>
              </c:pt>
              <c:pt idx="59">
                <c:v>8.5</c:v>
              </c:pt>
              <c:pt idx="60">
                <c:v>1</c:v>
              </c:pt>
              <c:pt idx="61">
                <c:v>1.2153846153846153</c:v>
              </c:pt>
              <c:pt idx="62">
                <c:v>4</c:v>
              </c:pt>
              <c:pt idx="63">
                <c:v>4.875</c:v>
              </c:pt>
            </c:numLit>
          </c:val>
          <c:extLst>
            <c:ext xmlns:c16="http://schemas.microsoft.com/office/drawing/2014/chart" uri="{C3380CC4-5D6E-409C-BE32-E72D297353CC}">
              <c16:uniqueId val="{00000001-EFE6-40E9-94BC-693621FF60FE}"/>
            </c:ext>
          </c:extLst>
        </c:ser>
        <c:dLbls>
          <c:showLegendKey val="0"/>
          <c:showVal val="0"/>
          <c:showCatName val="0"/>
          <c:showSerName val="0"/>
          <c:showPercent val="0"/>
          <c:showBubbleSize val="0"/>
        </c:dLbls>
        <c:gapWidth val="219"/>
        <c:overlap val="-27"/>
        <c:axId val="696526719"/>
        <c:axId val="696528159"/>
      </c:barChart>
      <c:lineChart>
        <c:grouping val="standard"/>
        <c:varyColors val="0"/>
        <c:ser>
          <c:idx val="2"/>
          <c:order val="2"/>
          <c:tx>
            <c:v>Average of Registered_customers</c:v>
          </c:tx>
          <c:spPr>
            <a:ln w="28575" cap="rnd">
              <a:solidFill>
                <a:schemeClr val="accent3"/>
              </a:solidFill>
              <a:round/>
            </a:ln>
            <a:effectLst/>
          </c:spPr>
          <c:marker>
            <c:symbol val="none"/>
          </c:marker>
          <c:cat>
            <c:strLit>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Lit>
          </c:cat>
          <c:val>
            <c:numLit>
              <c:formatCode>General</c:formatCode>
              <c:ptCount val="64"/>
              <c:pt idx="0">
                <c:v>63.5</c:v>
              </c:pt>
              <c:pt idx="1">
                <c:v>193</c:v>
              </c:pt>
              <c:pt idx="2">
                <c:v>53</c:v>
              </c:pt>
              <c:pt idx="3">
                <c:v>81.666666666666671</c:v>
              </c:pt>
              <c:pt idx="4">
                <c:v>61.666666666666664</c:v>
              </c:pt>
              <c:pt idx="5">
                <c:v>97</c:v>
              </c:pt>
              <c:pt idx="6">
                <c:v>89.8</c:v>
              </c:pt>
              <c:pt idx="7">
                <c:v>85</c:v>
              </c:pt>
              <c:pt idx="8">
                <c:v>98.666666666666671</c:v>
              </c:pt>
              <c:pt idx="9">
                <c:v>100.77777777777777</c:v>
              </c:pt>
              <c:pt idx="10">
                <c:v>53</c:v>
              </c:pt>
              <c:pt idx="11">
                <c:v>83.142857142857139</c:v>
              </c:pt>
              <c:pt idx="12">
                <c:v>57.823529411764703</c:v>
              </c:pt>
              <c:pt idx="13">
                <c:v>42.846153846153847</c:v>
              </c:pt>
              <c:pt idx="14">
                <c:v>67.333333333333329</c:v>
              </c:pt>
              <c:pt idx="15">
                <c:v>71.15789473684211</c:v>
              </c:pt>
              <c:pt idx="16">
                <c:v>61.733333333333334</c:v>
              </c:pt>
              <c:pt idx="17">
                <c:v>78.333333333333329</c:v>
              </c:pt>
              <c:pt idx="18">
                <c:v>50.4</c:v>
              </c:pt>
              <c:pt idx="19">
                <c:v>71.400000000000006</c:v>
              </c:pt>
              <c:pt idx="20">
                <c:v>36.700000000000003</c:v>
              </c:pt>
              <c:pt idx="21">
                <c:v>32.38095238095238</c:v>
              </c:pt>
              <c:pt idx="22">
                <c:v>56.666666666666664</c:v>
              </c:pt>
              <c:pt idx="23">
                <c:v>53.75</c:v>
              </c:pt>
              <c:pt idx="24">
                <c:v>65.717391304347828</c:v>
              </c:pt>
              <c:pt idx="25">
                <c:v>67.266666666666666</c:v>
              </c:pt>
              <c:pt idx="26">
                <c:v>88.3125</c:v>
              </c:pt>
              <c:pt idx="27">
                <c:v>55.823529411764703</c:v>
              </c:pt>
              <c:pt idx="28">
                <c:v>76.111111111111114</c:v>
              </c:pt>
              <c:pt idx="29">
                <c:v>76.375</c:v>
              </c:pt>
              <c:pt idx="30">
                <c:v>32.5</c:v>
              </c:pt>
              <c:pt idx="31">
                <c:v>26.375</c:v>
              </c:pt>
              <c:pt idx="32">
                <c:v>48.274999999999999</c:v>
              </c:pt>
              <c:pt idx="33">
                <c:v>61.56</c:v>
              </c:pt>
              <c:pt idx="34">
                <c:v>57</c:v>
              </c:pt>
              <c:pt idx="35">
                <c:v>54.333333333333336</c:v>
              </c:pt>
              <c:pt idx="36">
                <c:v>53.847826086956523</c:v>
              </c:pt>
              <c:pt idx="37">
                <c:v>45.4</c:v>
              </c:pt>
              <c:pt idx="38">
                <c:v>80</c:v>
              </c:pt>
              <c:pt idx="39">
                <c:v>32.4</c:v>
              </c:pt>
              <c:pt idx="40">
                <c:v>14.166666666666666</c:v>
              </c:pt>
              <c:pt idx="41">
                <c:v>29.3125</c:v>
              </c:pt>
              <c:pt idx="42">
                <c:v>44.391304347826086</c:v>
              </c:pt>
              <c:pt idx="43">
                <c:v>102.33333333333333</c:v>
              </c:pt>
              <c:pt idx="44">
                <c:v>61</c:v>
              </c:pt>
              <c:pt idx="45">
                <c:v>34.270270270270274</c:v>
              </c:pt>
              <c:pt idx="46">
                <c:v>57.214285714285715</c:v>
              </c:pt>
              <c:pt idx="47">
                <c:v>56</c:v>
              </c:pt>
              <c:pt idx="48">
                <c:v>59</c:v>
              </c:pt>
              <c:pt idx="49">
                <c:v>73</c:v>
              </c:pt>
              <c:pt idx="50">
                <c:v>59.260869565217391</c:v>
              </c:pt>
              <c:pt idx="51">
                <c:v>38.68181818181818</c:v>
              </c:pt>
              <c:pt idx="52">
                <c:v>28.5</c:v>
              </c:pt>
              <c:pt idx="53">
                <c:v>42.333333333333336</c:v>
              </c:pt>
              <c:pt idx="54">
                <c:v>36.323529411764703</c:v>
              </c:pt>
              <c:pt idx="55">
                <c:v>53.4</c:v>
              </c:pt>
              <c:pt idx="56">
                <c:v>72.25</c:v>
              </c:pt>
              <c:pt idx="57">
                <c:v>37.205882352941174</c:v>
              </c:pt>
              <c:pt idx="58">
                <c:v>42.125</c:v>
              </c:pt>
              <c:pt idx="59">
                <c:v>23.5</c:v>
              </c:pt>
              <c:pt idx="60">
                <c:v>89</c:v>
              </c:pt>
              <c:pt idx="61">
                <c:v>36.584615384615383</c:v>
              </c:pt>
              <c:pt idx="62">
                <c:v>9.5</c:v>
              </c:pt>
              <c:pt idx="63">
                <c:v>49.375</c:v>
              </c:pt>
            </c:numLit>
          </c:val>
          <c:smooth val="0"/>
          <c:extLst>
            <c:ext xmlns:c16="http://schemas.microsoft.com/office/drawing/2014/chart" uri="{C3380CC4-5D6E-409C-BE32-E72D297353CC}">
              <c16:uniqueId val="{00000002-EFE6-40E9-94BC-693621FF60FE}"/>
            </c:ext>
          </c:extLst>
        </c:ser>
        <c:dLbls>
          <c:showLegendKey val="0"/>
          <c:showVal val="0"/>
          <c:showCatName val="0"/>
          <c:showSerName val="0"/>
          <c:showPercent val="0"/>
          <c:showBubbleSize val="0"/>
        </c:dLbls>
        <c:marker val="1"/>
        <c:smooth val="0"/>
        <c:axId val="696526719"/>
        <c:axId val="696528159"/>
      </c:lineChart>
      <c:catAx>
        <c:axId val="69652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cmpd="sng">
                  <a:solidFill>
                    <a:schemeClr val="tx1"/>
                  </a:solidFill>
                </a:ln>
                <a:solidFill>
                  <a:schemeClr val="tx1">
                    <a:lumMod val="65000"/>
                    <a:lumOff val="35000"/>
                  </a:schemeClr>
                </a:solidFill>
                <a:latin typeface="+mn-lt"/>
                <a:ea typeface="+mn-ea"/>
                <a:cs typeface="+mn-cs"/>
              </a:defRPr>
            </a:pPr>
            <a:endParaRPr lang="en-US"/>
          </a:p>
        </c:txPr>
        <c:crossAx val="696528159"/>
        <c:crosses val="autoZero"/>
        <c:auto val="1"/>
        <c:lblAlgn val="ctr"/>
        <c:lblOffset val="100"/>
        <c:noMultiLvlLbl val="0"/>
      </c:catAx>
      <c:valAx>
        <c:axId val="69652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cmpd="sng">
                  <a:solidFill>
                    <a:schemeClr val="tx1"/>
                  </a:solidFill>
                </a:ln>
                <a:solidFill>
                  <a:schemeClr val="tx1">
                    <a:lumMod val="65000"/>
                    <a:lumOff val="35000"/>
                  </a:schemeClr>
                </a:solidFill>
                <a:latin typeface="+mn-lt"/>
                <a:ea typeface="+mn-ea"/>
                <a:cs typeface="+mn-cs"/>
              </a:defRPr>
            </a:pPr>
            <a:endParaRPr lang="en-US"/>
          </a:p>
        </c:txPr>
        <c:crossAx val="69652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0" cmpd="sng">
                <a:solidFill>
                  <a:schemeClr val="tx1"/>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ln w="0" cmpd="sng">
            <a:solidFill>
              <a:schemeClr val="tx1"/>
            </a:solidFill>
          </a:ln>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Demand by Windspeed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accent1"/>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pivotFmt>
      <c:pivotFmt>
        <c:idx val="70"/>
        <c:spPr>
          <a:solidFill>
            <a:schemeClr val="accent1"/>
          </a:solidFill>
          <a:ln>
            <a:noFill/>
          </a:ln>
          <a:effectLst/>
          <a:sp3d/>
        </c:spPr>
      </c:pivotFmt>
      <c:pivotFmt>
        <c:idx val="71"/>
        <c:spPr>
          <a:solidFill>
            <a:schemeClr val="accent1"/>
          </a:solidFill>
          <a:ln>
            <a:noFill/>
          </a:ln>
          <a:effectLst/>
          <a:sp3d/>
        </c:spPr>
      </c:pivotFmt>
      <c:pivotFmt>
        <c:idx val="72"/>
        <c:spPr>
          <a:solidFill>
            <a:schemeClr val="accent1"/>
          </a:solidFill>
          <a:ln>
            <a:noFill/>
          </a:ln>
          <a:effectLst/>
          <a:sp3d/>
        </c:spPr>
      </c:pivotFmt>
      <c:pivotFmt>
        <c:idx val="73"/>
        <c:spPr>
          <a:solidFill>
            <a:schemeClr val="accent1"/>
          </a:solidFill>
          <a:ln>
            <a:noFill/>
          </a:ln>
          <a:effectLst/>
          <a:sp3d/>
        </c:spPr>
      </c:pivotFmt>
      <c:pivotFmt>
        <c:idx val="74"/>
        <c:spPr>
          <a:solidFill>
            <a:schemeClr val="accent1"/>
          </a:solidFill>
          <a:ln>
            <a:noFill/>
          </a:ln>
          <a:effectLst/>
          <a:sp3d/>
        </c:spPr>
      </c:pivotFmt>
      <c:pivotFmt>
        <c:idx val="75"/>
        <c:spPr>
          <a:solidFill>
            <a:schemeClr val="accent1"/>
          </a:solidFill>
          <a:ln>
            <a:noFill/>
          </a:ln>
          <a:effectLst/>
          <a:sp3d/>
        </c:spPr>
      </c:pivotFmt>
      <c:pivotFmt>
        <c:idx val="76"/>
        <c:spPr>
          <a:solidFill>
            <a:schemeClr val="accent1"/>
          </a:solidFill>
          <a:ln>
            <a:noFill/>
          </a:ln>
          <a:effectLst/>
          <a:sp3d/>
        </c:spPr>
      </c:pivotFmt>
      <c:pivotFmt>
        <c:idx val="77"/>
        <c:spPr>
          <a:solidFill>
            <a:schemeClr val="accent1"/>
          </a:solidFill>
          <a:ln>
            <a:noFill/>
          </a:ln>
          <a:effectLst/>
          <a:sp3d/>
        </c:spPr>
      </c:pivotFmt>
      <c:pivotFmt>
        <c:idx val="78"/>
        <c:spPr>
          <a:solidFill>
            <a:schemeClr val="accent1"/>
          </a:solidFill>
          <a:ln>
            <a:noFill/>
          </a:ln>
          <a:effectLst/>
          <a:sp3d/>
        </c:spPr>
      </c:pivotFmt>
      <c:pivotFmt>
        <c:idx val="79"/>
        <c:spPr>
          <a:solidFill>
            <a:schemeClr val="accent1"/>
          </a:solidFill>
          <a:ln>
            <a:noFill/>
          </a:ln>
          <a:effectLst/>
          <a:sp3d/>
        </c:spPr>
      </c:pivotFmt>
      <c:pivotFmt>
        <c:idx val="80"/>
        <c:spPr>
          <a:solidFill>
            <a:schemeClr val="accent1"/>
          </a:solidFill>
          <a:ln>
            <a:noFill/>
          </a:ln>
          <a:effectLst/>
          <a:sp3d/>
        </c:spPr>
      </c:pivotFmt>
      <c:pivotFmt>
        <c:idx val="81"/>
        <c:spPr>
          <a:solidFill>
            <a:schemeClr val="accent1"/>
          </a:solidFill>
          <a:ln>
            <a:noFill/>
          </a:ln>
          <a:effectLst/>
          <a:sp3d/>
        </c:spPr>
      </c:pivotFmt>
      <c:pivotFmt>
        <c:idx val="82"/>
        <c:spPr>
          <a:solidFill>
            <a:schemeClr val="accent1"/>
          </a:solidFill>
          <a:ln>
            <a:noFill/>
          </a:ln>
          <a:effectLst/>
          <a:sp3d/>
        </c:spPr>
      </c:pivotFmt>
      <c:pivotFmt>
        <c:idx val="83"/>
        <c:spPr>
          <a:solidFill>
            <a:schemeClr val="accent1"/>
          </a:solidFill>
          <a:ln>
            <a:noFill/>
          </a:ln>
          <a:effectLst/>
          <a:sp3d/>
        </c:spPr>
      </c:pivotFmt>
      <c:pivotFmt>
        <c:idx val="84"/>
        <c:spPr>
          <a:solidFill>
            <a:schemeClr val="accent1"/>
          </a:solidFill>
          <a:ln>
            <a:noFill/>
          </a:ln>
          <a:effectLst/>
          <a:sp3d/>
        </c:spPr>
      </c:pivotFmt>
      <c:pivotFmt>
        <c:idx val="85"/>
        <c:spPr>
          <a:solidFill>
            <a:schemeClr val="accent1"/>
          </a:solidFill>
          <a:ln>
            <a:noFill/>
          </a:ln>
          <a:effectLst/>
          <a:sp3d/>
        </c:spPr>
      </c:pivotFmt>
      <c:pivotFmt>
        <c:idx val="86"/>
        <c:spPr>
          <a:solidFill>
            <a:schemeClr val="accent1"/>
          </a:solidFill>
          <a:ln>
            <a:noFill/>
          </a:ln>
          <a:effectLst/>
          <a:sp3d/>
        </c:spPr>
      </c:pivotFmt>
      <c:pivotFmt>
        <c:idx val="87"/>
        <c:spPr>
          <a:solidFill>
            <a:schemeClr val="accent1"/>
          </a:solidFill>
          <a:ln>
            <a:noFill/>
          </a:ln>
          <a:effectLst/>
          <a:sp3d/>
        </c:spPr>
      </c:pivotFmt>
      <c:pivotFmt>
        <c:idx val="88"/>
        <c:spPr>
          <a:solidFill>
            <a:schemeClr val="accent1"/>
          </a:solidFill>
          <a:ln>
            <a:noFill/>
          </a:ln>
          <a:effectLst/>
          <a:sp3d/>
        </c:spPr>
      </c:pivotFmt>
      <c:pivotFmt>
        <c:idx val="8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sp3d/>
        </c:spPr>
      </c:pivotFmt>
      <c:pivotFmt>
        <c:idx val="91"/>
        <c:spPr>
          <a:solidFill>
            <a:schemeClr val="accent1"/>
          </a:solidFill>
          <a:ln>
            <a:noFill/>
          </a:ln>
          <a:effectLst/>
          <a:sp3d/>
        </c:spPr>
      </c:pivotFmt>
      <c:pivotFmt>
        <c:idx val="92"/>
        <c:spPr>
          <a:solidFill>
            <a:schemeClr val="accent1"/>
          </a:solidFill>
          <a:ln>
            <a:noFill/>
          </a:ln>
          <a:effectLst/>
          <a:sp3d/>
        </c:spPr>
      </c:pivotFmt>
      <c:pivotFmt>
        <c:idx val="93"/>
        <c:spPr>
          <a:solidFill>
            <a:schemeClr val="accent1"/>
          </a:solidFill>
          <a:ln>
            <a:noFill/>
          </a:ln>
          <a:effectLst/>
          <a:sp3d/>
        </c:spPr>
      </c:pivotFmt>
      <c:pivotFmt>
        <c:idx val="94"/>
        <c:spPr>
          <a:solidFill>
            <a:schemeClr val="accent1"/>
          </a:solidFill>
          <a:ln>
            <a:noFill/>
          </a:ln>
          <a:effectLst/>
          <a:sp3d/>
        </c:spPr>
      </c:pivotFmt>
      <c:pivotFmt>
        <c:idx val="95"/>
        <c:spPr>
          <a:solidFill>
            <a:schemeClr val="accent1"/>
          </a:solidFill>
          <a:ln>
            <a:noFill/>
          </a:ln>
          <a:effectLst/>
          <a:sp3d/>
        </c:spPr>
      </c:pivotFmt>
      <c:pivotFmt>
        <c:idx val="96"/>
        <c:spPr>
          <a:solidFill>
            <a:schemeClr val="accent1"/>
          </a:solidFill>
          <a:ln>
            <a:noFill/>
          </a:ln>
          <a:effectLst/>
          <a:sp3d/>
        </c:spPr>
      </c:pivotFmt>
      <c:pivotFmt>
        <c:idx val="97"/>
        <c:spPr>
          <a:solidFill>
            <a:schemeClr val="accent1"/>
          </a:solidFill>
          <a:ln>
            <a:noFill/>
          </a:ln>
          <a:effectLst/>
          <a:sp3d/>
        </c:spPr>
      </c:pivotFmt>
      <c:pivotFmt>
        <c:idx val="98"/>
        <c:spPr>
          <a:solidFill>
            <a:schemeClr val="accent1"/>
          </a:solidFill>
          <a:ln>
            <a:noFill/>
          </a:ln>
          <a:effectLst/>
          <a:sp3d/>
        </c:spPr>
      </c:pivotFmt>
      <c:pivotFmt>
        <c:idx val="99"/>
        <c:spPr>
          <a:solidFill>
            <a:schemeClr val="accent1"/>
          </a:solidFill>
          <a:ln>
            <a:noFill/>
          </a:ln>
          <a:effectLst/>
          <a:sp3d/>
        </c:spPr>
      </c:pivotFmt>
      <c:pivotFmt>
        <c:idx val="100"/>
        <c:spPr>
          <a:solidFill>
            <a:schemeClr val="accent1"/>
          </a:solidFill>
          <a:ln>
            <a:noFill/>
          </a:ln>
          <a:effectLst/>
          <a:sp3d/>
        </c:spPr>
      </c:pivotFmt>
      <c:pivotFmt>
        <c:idx val="101"/>
        <c:spPr>
          <a:solidFill>
            <a:schemeClr val="accent1"/>
          </a:solidFill>
          <a:ln>
            <a:noFill/>
          </a:ln>
          <a:effectLst/>
          <a:sp3d/>
        </c:spPr>
      </c:pivotFmt>
      <c:pivotFmt>
        <c:idx val="102"/>
        <c:spPr>
          <a:solidFill>
            <a:schemeClr val="accent1"/>
          </a:solidFill>
          <a:ln>
            <a:noFill/>
          </a:ln>
          <a:effectLst/>
          <a:sp3d/>
        </c:spPr>
      </c:pivotFmt>
      <c:pivotFmt>
        <c:idx val="103"/>
        <c:spPr>
          <a:solidFill>
            <a:schemeClr val="accent1"/>
          </a:solidFill>
          <a:ln>
            <a:noFill/>
          </a:ln>
          <a:effectLst/>
          <a:sp3d/>
        </c:spPr>
      </c:pivotFmt>
      <c:pivotFmt>
        <c:idx val="104"/>
        <c:spPr>
          <a:solidFill>
            <a:schemeClr val="accent1"/>
          </a:solidFill>
          <a:ln>
            <a:noFill/>
          </a:ln>
          <a:effectLst/>
          <a:sp3d/>
        </c:spPr>
      </c:pivotFmt>
      <c:pivotFmt>
        <c:idx val="105"/>
        <c:spPr>
          <a:solidFill>
            <a:schemeClr val="accent1"/>
          </a:solidFill>
          <a:ln>
            <a:noFill/>
          </a:ln>
          <a:effectLst/>
          <a:sp3d/>
        </c:spPr>
      </c:pivotFmt>
      <c:pivotFmt>
        <c:idx val="106"/>
        <c:spPr>
          <a:solidFill>
            <a:schemeClr val="accent1"/>
          </a:solidFill>
          <a:ln>
            <a:noFill/>
          </a:ln>
          <a:effectLst/>
          <a:sp3d/>
        </c:spPr>
      </c:pivotFmt>
      <c:pivotFmt>
        <c:idx val="107"/>
        <c:spPr>
          <a:solidFill>
            <a:schemeClr val="accent1"/>
          </a:solidFill>
          <a:ln>
            <a:noFill/>
          </a:ln>
          <a:effectLst/>
          <a:sp3d/>
        </c:spPr>
      </c:pivotFmt>
      <c:pivotFmt>
        <c:idx val="108"/>
        <c:spPr>
          <a:solidFill>
            <a:schemeClr val="accent1"/>
          </a:solidFill>
          <a:ln>
            <a:noFill/>
          </a:ln>
          <a:effectLst/>
          <a:sp3d/>
        </c:spPr>
      </c:pivotFmt>
      <c:pivotFmt>
        <c:idx val="109"/>
        <c:spPr>
          <a:solidFill>
            <a:schemeClr val="accent1"/>
          </a:solidFill>
          <a:ln>
            <a:noFill/>
          </a:ln>
          <a:effectLst/>
          <a:sp3d/>
        </c:spPr>
      </c:pivotFmt>
      <c:pivotFmt>
        <c:idx val="1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a:sp3d/>
        </c:spPr>
      </c:pivotFmt>
      <c:pivotFmt>
        <c:idx val="112"/>
        <c:spPr>
          <a:solidFill>
            <a:schemeClr val="accent1"/>
          </a:solidFill>
          <a:ln>
            <a:noFill/>
          </a:ln>
          <a:effectLst/>
          <a:sp3d/>
        </c:spPr>
      </c:pivotFmt>
      <c:pivotFmt>
        <c:idx val="113"/>
        <c:spPr>
          <a:solidFill>
            <a:schemeClr val="accent1"/>
          </a:solidFill>
          <a:ln>
            <a:noFill/>
          </a:ln>
          <a:effectLst/>
          <a:sp3d/>
        </c:spPr>
      </c:pivotFmt>
      <c:pivotFmt>
        <c:idx val="114"/>
        <c:spPr>
          <a:solidFill>
            <a:schemeClr val="accent1"/>
          </a:solidFill>
          <a:ln>
            <a:noFill/>
          </a:ln>
          <a:effectLst/>
          <a:sp3d/>
        </c:spPr>
      </c:pivotFmt>
      <c:pivotFmt>
        <c:idx val="115"/>
        <c:spPr>
          <a:solidFill>
            <a:schemeClr val="accent1"/>
          </a:solidFill>
          <a:ln>
            <a:noFill/>
          </a:ln>
          <a:effectLst/>
          <a:sp3d/>
        </c:spPr>
      </c:pivotFmt>
      <c:pivotFmt>
        <c:idx val="116"/>
        <c:spPr>
          <a:solidFill>
            <a:schemeClr val="accent1"/>
          </a:solidFill>
          <a:ln>
            <a:noFill/>
          </a:ln>
          <a:effectLst/>
          <a:sp3d/>
        </c:spPr>
      </c:pivotFmt>
      <c:pivotFmt>
        <c:idx val="117"/>
        <c:spPr>
          <a:solidFill>
            <a:schemeClr val="accent1"/>
          </a:solidFill>
          <a:ln>
            <a:noFill/>
          </a:ln>
          <a:effectLst/>
          <a:sp3d/>
        </c:spPr>
      </c:pivotFmt>
      <c:pivotFmt>
        <c:idx val="118"/>
        <c:spPr>
          <a:solidFill>
            <a:schemeClr val="accent1"/>
          </a:solidFill>
          <a:ln>
            <a:noFill/>
          </a:ln>
          <a:effectLst/>
          <a:sp3d/>
        </c:spPr>
      </c:pivotFmt>
      <c:pivotFmt>
        <c:idx val="119"/>
        <c:spPr>
          <a:solidFill>
            <a:schemeClr val="accent1"/>
          </a:solidFill>
          <a:ln>
            <a:noFill/>
          </a:ln>
          <a:effectLst/>
          <a:sp3d/>
        </c:spPr>
      </c:pivotFmt>
      <c:pivotFmt>
        <c:idx val="120"/>
        <c:spPr>
          <a:solidFill>
            <a:schemeClr val="accent1"/>
          </a:solidFill>
          <a:ln>
            <a:noFill/>
          </a:ln>
          <a:effectLst/>
          <a:sp3d/>
        </c:spPr>
      </c:pivotFmt>
      <c:pivotFmt>
        <c:idx val="121"/>
        <c:spPr>
          <a:solidFill>
            <a:schemeClr val="accent1"/>
          </a:solidFill>
          <a:ln>
            <a:noFill/>
          </a:ln>
          <a:effectLst/>
          <a:sp3d/>
        </c:spPr>
      </c:pivotFmt>
      <c:pivotFmt>
        <c:idx val="122"/>
        <c:spPr>
          <a:solidFill>
            <a:schemeClr val="accent1"/>
          </a:solidFill>
          <a:ln>
            <a:noFill/>
          </a:ln>
          <a:effectLst/>
          <a:sp3d/>
        </c:spPr>
      </c:pivotFmt>
      <c:pivotFmt>
        <c:idx val="123"/>
        <c:spPr>
          <a:solidFill>
            <a:schemeClr val="accent1"/>
          </a:solidFill>
          <a:ln>
            <a:noFill/>
          </a:ln>
          <a:effectLst/>
          <a:sp3d/>
        </c:spPr>
      </c:pivotFmt>
      <c:pivotFmt>
        <c:idx val="124"/>
        <c:spPr>
          <a:solidFill>
            <a:schemeClr val="accent1"/>
          </a:solidFill>
          <a:ln>
            <a:noFill/>
          </a:ln>
          <a:effectLst/>
          <a:sp3d/>
        </c:spPr>
      </c:pivotFmt>
      <c:pivotFmt>
        <c:idx val="125"/>
        <c:spPr>
          <a:solidFill>
            <a:schemeClr val="accent1"/>
          </a:solidFill>
          <a:ln>
            <a:noFill/>
          </a:ln>
          <a:effectLst/>
          <a:sp3d/>
        </c:spPr>
      </c:pivotFmt>
      <c:pivotFmt>
        <c:idx val="126"/>
        <c:spPr>
          <a:solidFill>
            <a:schemeClr val="accent1"/>
          </a:solidFill>
          <a:ln>
            <a:noFill/>
          </a:ln>
          <a:effectLst/>
          <a:sp3d/>
        </c:spPr>
      </c:pivotFmt>
      <c:pivotFmt>
        <c:idx val="127"/>
        <c:spPr>
          <a:solidFill>
            <a:schemeClr val="accent1"/>
          </a:solidFill>
          <a:ln>
            <a:noFill/>
          </a:ln>
          <a:effectLst/>
          <a:sp3d/>
        </c:spPr>
      </c:pivotFmt>
      <c:pivotFmt>
        <c:idx val="128"/>
        <c:spPr>
          <a:solidFill>
            <a:schemeClr val="accent1"/>
          </a:solidFill>
          <a:ln>
            <a:noFill/>
          </a:ln>
          <a:effectLst/>
          <a:sp3d/>
        </c:spPr>
      </c:pivotFmt>
      <c:pivotFmt>
        <c:idx val="129"/>
        <c:spPr>
          <a:solidFill>
            <a:schemeClr val="accent1"/>
          </a:solidFill>
          <a:ln>
            <a:noFill/>
          </a:ln>
          <a:effectLst/>
          <a:sp3d/>
        </c:spPr>
      </c:pivotFmt>
      <c:pivotFmt>
        <c:idx val="130"/>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Tables'!$T$2</c:f>
              <c:strCache>
                <c:ptCount val="1"/>
                <c:pt idx="0">
                  <c:v>Sum of Total_count</c:v>
                </c:pt>
              </c:strCache>
            </c:strRef>
          </c:tx>
          <c:dPt>
            <c:idx val="0"/>
            <c:bubble3D val="0"/>
            <c:spPr>
              <a:solidFill>
                <a:schemeClr val="accent1"/>
              </a:solidFill>
              <a:ln>
                <a:noFill/>
              </a:ln>
              <a:effectLst/>
              <a:sp3d/>
            </c:spPr>
            <c:extLst>
              <c:ext xmlns:c16="http://schemas.microsoft.com/office/drawing/2014/chart" uri="{C3380CC4-5D6E-409C-BE32-E72D297353CC}">
                <c16:uniqueId val="{00000001-B42F-47BD-BAE4-6299D102EC95}"/>
              </c:ext>
            </c:extLst>
          </c:dPt>
          <c:dPt>
            <c:idx val="1"/>
            <c:bubble3D val="0"/>
            <c:spPr>
              <a:solidFill>
                <a:schemeClr val="accent2"/>
              </a:solidFill>
              <a:ln>
                <a:noFill/>
              </a:ln>
              <a:effectLst/>
              <a:sp3d/>
            </c:spPr>
            <c:extLst>
              <c:ext xmlns:c16="http://schemas.microsoft.com/office/drawing/2014/chart" uri="{C3380CC4-5D6E-409C-BE32-E72D297353CC}">
                <c16:uniqueId val="{00000003-B42F-47BD-BAE4-6299D102EC95}"/>
              </c:ext>
            </c:extLst>
          </c:dPt>
          <c:dPt>
            <c:idx val="2"/>
            <c:bubble3D val="0"/>
            <c:spPr>
              <a:solidFill>
                <a:schemeClr val="accent3"/>
              </a:solidFill>
              <a:ln>
                <a:noFill/>
              </a:ln>
              <a:effectLst/>
              <a:sp3d/>
            </c:spPr>
            <c:extLst>
              <c:ext xmlns:c16="http://schemas.microsoft.com/office/drawing/2014/chart" uri="{C3380CC4-5D6E-409C-BE32-E72D297353CC}">
                <c16:uniqueId val="{00000005-B42F-47BD-BAE4-6299D102EC95}"/>
              </c:ext>
            </c:extLst>
          </c:dPt>
          <c:dPt>
            <c:idx val="3"/>
            <c:bubble3D val="0"/>
            <c:spPr>
              <a:solidFill>
                <a:schemeClr val="accent4"/>
              </a:solidFill>
              <a:ln>
                <a:noFill/>
              </a:ln>
              <a:effectLst/>
              <a:sp3d/>
            </c:spPr>
            <c:extLst>
              <c:ext xmlns:c16="http://schemas.microsoft.com/office/drawing/2014/chart" uri="{C3380CC4-5D6E-409C-BE32-E72D297353CC}">
                <c16:uniqueId val="{00000007-B42F-47BD-BAE4-6299D102EC95}"/>
              </c:ext>
            </c:extLst>
          </c:dPt>
          <c:dPt>
            <c:idx val="4"/>
            <c:bubble3D val="0"/>
            <c:spPr>
              <a:solidFill>
                <a:schemeClr val="accent5"/>
              </a:solidFill>
              <a:ln>
                <a:noFill/>
              </a:ln>
              <a:effectLst/>
              <a:sp3d/>
            </c:spPr>
            <c:extLst>
              <c:ext xmlns:c16="http://schemas.microsoft.com/office/drawing/2014/chart" uri="{C3380CC4-5D6E-409C-BE32-E72D297353CC}">
                <c16:uniqueId val="{00000009-B42F-47BD-BAE4-6299D102EC95}"/>
              </c:ext>
            </c:extLst>
          </c:dPt>
          <c:dPt>
            <c:idx val="5"/>
            <c:bubble3D val="0"/>
            <c:spPr>
              <a:solidFill>
                <a:schemeClr val="accent6"/>
              </a:solidFill>
              <a:ln>
                <a:noFill/>
              </a:ln>
              <a:effectLst/>
              <a:sp3d/>
            </c:spPr>
            <c:extLst>
              <c:ext xmlns:c16="http://schemas.microsoft.com/office/drawing/2014/chart" uri="{C3380CC4-5D6E-409C-BE32-E72D297353CC}">
                <c16:uniqueId val="{0000000B-B42F-47BD-BAE4-6299D102EC95}"/>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B42F-47BD-BAE4-6299D102EC95}"/>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B42F-47BD-BAE4-6299D102EC95}"/>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B42F-47BD-BAE4-6299D102EC95}"/>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B42F-47BD-BAE4-6299D102EC95}"/>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B42F-47BD-BAE4-6299D102EC95}"/>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B42F-47BD-BAE4-6299D102EC95}"/>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B42F-47BD-BAE4-6299D102EC95}"/>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B42F-47BD-BAE4-6299D102EC95}"/>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B42F-47BD-BAE4-6299D102EC95}"/>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1F-B42F-47BD-BAE4-6299D102EC95}"/>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21-B42F-47BD-BAE4-6299D102EC95}"/>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23-B42F-47BD-BAE4-6299D102EC95}"/>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25-B42F-47BD-BAE4-6299D102EC95}"/>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27-B42F-47BD-BAE4-6299D102EC95}"/>
              </c:ext>
            </c:extLst>
          </c:dPt>
          <c:cat>
            <c:strRef>
              <c:f>'Pivot Tables'!$S$3:$S$23</c:f>
              <c:strCache>
                <c:ptCount val="20"/>
                <c:pt idx="0">
                  <c:v>0</c:v>
                </c:pt>
                <c:pt idx="1">
                  <c:v>0.09</c:v>
                </c:pt>
                <c:pt idx="2">
                  <c:v>0.1</c:v>
                </c:pt>
                <c:pt idx="3">
                  <c:v>0.13</c:v>
                </c:pt>
                <c:pt idx="4">
                  <c:v>0.16</c:v>
                </c:pt>
                <c:pt idx="5">
                  <c:v>0.19</c:v>
                </c:pt>
                <c:pt idx="6">
                  <c:v>0.22</c:v>
                </c:pt>
                <c:pt idx="7">
                  <c:v>0.25</c:v>
                </c:pt>
                <c:pt idx="8">
                  <c:v>0.28</c:v>
                </c:pt>
                <c:pt idx="9">
                  <c:v>0.3</c:v>
                </c:pt>
                <c:pt idx="10">
                  <c:v>0.33</c:v>
                </c:pt>
                <c:pt idx="11">
                  <c:v>0.36</c:v>
                </c:pt>
                <c:pt idx="12">
                  <c:v>0.39</c:v>
                </c:pt>
                <c:pt idx="13">
                  <c:v>0.42</c:v>
                </c:pt>
                <c:pt idx="14">
                  <c:v>0.45</c:v>
                </c:pt>
                <c:pt idx="15">
                  <c:v>0.46</c:v>
                </c:pt>
                <c:pt idx="16">
                  <c:v>0.49</c:v>
                </c:pt>
                <c:pt idx="17">
                  <c:v>0.52</c:v>
                </c:pt>
                <c:pt idx="18">
                  <c:v>0.55</c:v>
                </c:pt>
                <c:pt idx="19">
                  <c:v>0.58</c:v>
                </c:pt>
              </c:strCache>
            </c:strRef>
          </c:cat>
          <c:val>
            <c:numRef>
              <c:f>'Pivot Tables'!$T$3:$T$23</c:f>
              <c:numCache>
                <c:formatCode>0.00</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extLst>
            <c:ext xmlns:c16="http://schemas.microsoft.com/office/drawing/2014/chart" uri="{C3380CC4-5D6E-409C-BE32-E72D297353CC}">
              <c16:uniqueId val="{00000028-B42F-47BD-BAE4-6299D102EC95}"/>
            </c:ext>
          </c:extLst>
        </c:ser>
        <c:ser>
          <c:idx val="1"/>
          <c:order val="1"/>
          <c:tx>
            <c:strRef>
              <c:f>'Pivot Tables'!$U$2</c:f>
              <c:strCache>
                <c:ptCount val="1"/>
                <c:pt idx="0">
                  <c:v>Sum of Casual_customers</c:v>
                </c:pt>
              </c:strCache>
            </c:strRef>
          </c:tx>
          <c:dPt>
            <c:idx val="0"/>
            <c:bubble3D val="0"/>
            <c:spPr>
              <a:solidFill>
                <a:schemeClr val="accent1"/>
              </a:solidFill>
              <a:ln>
                <a:noFill/>
              </a:ln>
              <a:effectLst/>
              <a:sp3d/>
            </c:spPr>
            <c:extLst>
              <c:ext xmlns:c16="http://schemas.microsoft.com/office/drawing/2014/chart" uri="{C3380CC4-5D6E-409C-BE32-E72D297353CC}">
                <c16:uniqueId val="{0000002A-B42F-47BD-BAE4-6299D102EC95}"/>
              </c:ext>
            </c:extLst>
          </c:dPt>
          <c:dPt>
            <c:idx val="1"/>
            <c:bubble3D val="0"/>
            <c:spPr>
              <a:solidFill>
                <a:schemeClr val="accent2"/>
              </a:solidFill>
              <a:ln>
                <a:noFill/>
              </a:ln>
              <a:effectLst/>
              <a:sp3d/>
            </c:spPr>
            <c:extLst>
              <c:ext xmlns:c16="http://schemas.microsoft.com/office/drawing/2014/chart" uri="{C3380CC4-5D6E-409C-BE32-E72D297353CC}">
                <c16:uniqueId val="{0000002C-B42F-47BD-BAE4-6299D102EC95}"/>
              </c:ext>
            </c:extLst>
          </c:dPt>
          <c:dPt>
            <c:idx val="2"/>
            <c:bubble3D val="0"/>
            <c:spPr>
              <a:solidFill>
                <a:schemeClr val="accent3"/>
              </a:solidFill>
              <a:ln>
                <a:noFill/>
              </a:ln>
              <a:effectLst/>
              <a:sp3d/>
            </c:spPr>
            <c:extLst>
              <c:ext xmlns:c16="http://schemas.microsoft.com/office/drawing/2014/chart" uri="{C3380CC4-5D6E-409C-BE32-E72D297353CC}">
                <c16:uniqueId val="{0000002E-B42F-47BD-BAE4-6299D102EC95}"/>
              </c:ext>
            </c:extLst>
          </c:dPt>
          <c:dPt>
            <c:idx val="3"/>
            <c:bubble3D val="0"/>
            <c:spPr>
              <a:solidFill>
                <a:schemeClr val="accent4"/>
              </a:solidFill>
              <a:ln>
                <a:noFill/>
              </a:ln>
              <a:effectLst/>
              <a:sp3d/>
            </c:spPr>
            <c:extLst>
              <c:ext xmlns:c16="http://schemas.microsoft.com/office/drawing/2014/chart" uri="{C3380CC4-5D6E-409C-BE32-E72D297353CC}">
                <c16:uniqueId val="{00000030-B42F-47BD-BAE4-6299D102EC95}"/>
              </c:ext>
            </c:extLst>
          </c:dPt>
          <c:dPt>
            <c:idx val="4"/>
            <c:bubble3D val="0"/>
            <c:spPr>
              <a:solidFill>
                <a:schemeClr val="accent5"/>
              </a:solidFill>
              <a:ln>
                <a:noFill/>
              </a:ln>
              <a:effectLst/>
              <a:sp3d/>
            </c:spPr>
            <c:extLst>
              <c:ext xmlns:c16="http://schemas.microsoft.com/office/drawing/2014/chart" uri="{C3380CC4-5D6E-409C-BE32-E72D297353CC}">
                <c16:uniqueId val="{00000032-B42F-47BD-BAE4-6299D102EC95}"/>
              </c:ext>
            </c:extLst>
          </c:dPt>
          <c:dPt>
            <c:idx val="5"/>
            <c:bubble3D val="0"/>
            <c:spPr>
              <a:solidFill>
                <a:schemeClr val="accent6"/>
              </a:solidFill>
              <a:ln>
                <a:noFill/>
              </a:ln>
              <a:effectLst/>
              <a:sp3d/>
            </c:spPr>
            <c:extLst>
              <c:ext xmlns:c16="http://schemas.microsoft.com/office/drawing/2014/chart" uri="{C3380CC4-5D6E-409C-BE32-E72D297353CC}">
                <c16:uniqueId val="{00000034-B42F-47BD-BAE4-6299D102EC95}"/>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36-B42F-47BD-BAE4-6299D102EC95}"/>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38-B42F-47BD-BAE4-6299D102EC95}"/>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3A-B42F-47BD-BAE4-6299D102EC95}"/>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3C-B42F-47BD-BAE4-6299D102EC95}"/>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3E-B42F-47BD-BAE4-6299D102EC95}"/>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40-B42F-47BD-BAE4-6299D102EC95}"/>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42-B42F-47BD-BAE4-6299D102EC95}"/>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44-B42F-47BD-BAE4-6299D102EC95}"/>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46-B42F-47BD-BAE4-6299D102EC95}"/>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48-B42F-47BD-BAE4-6299D102EC95}"/>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4A-B42F-47BD-BAE4-6299D102EC95}"/>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4C-B42F-47BD-BAE4-6299D102EC95}"/>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4E-B42F-47BD-BAE4-6299D102EC95}"/>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50-B42F-47BD-BAE4-6299D102EC95}"/>
              </c:ext>
            </c:extLst>
          </c:dPt>
          <c:cat>
            <c:strRef>
              <c:f>'Pivot Tables'!$S$3:$S$23</c:f>
              <c:strCache>
                <c:ptCount val="20"/>
                <c:pt idx="0">
                  <c:v>0</c:v>
                </c:pt>
                <c:pt idx="1">
                  <c:v>0.09</c:v>
                </c:pt>
                <c:pt idx="2">
                  <c:v>0.1</c:v>
                </c:pt>
                <c:pt idx="3">
                  <c:v>0.13</c:v>
                </c:pt>
                <c:pt idx="4">
                  <c:v>0.16</c:v>
                </c:pt>
                <c:pt idx="5">
                  <c:v>0.19</c:v>
                </c:pt>
                <c:pt idx="6">
                  <c:v>0.22</c:v>
                </c:pt>
                <c:pt idx="7">
                  <c:v>0.25</c:v>
                </c:pt>
                <c:pt idx="8">
                  <c:v>0.28</c:v>
                </c:pt>
                <c:pt idx="9">
                  <c:v>0.3</c:v>
                </c:pt>
                <c:pt idx="10">
                  <c:v>0.33</c:v>
                </c:pt>
                <c:pt idx="11">
                  <c:v>0.36</c:v>
                </c:pt>
                <c:pt idx="12">
                  <c:v>0.39</c:v>
                </c:pt>
                <c:pt idx="13">
                  <c:v>0.42</c:v>
                </c:pt>
                <c:pt idx="14">
                  <c:v>0.45</c:v>
                </c:pt>
                <c:pt idx="15">
                  <c:v>0.46</c:v>
                </c:pt>
                <c:pt idx="16">
                  <c:v>0.49</c:v>
                </c:pt>
                <c:pt idx="17">
                  <c:v>0.52</c:v>
                </c:pt>
                <c:pt idx="18">
                  <c:v>0.55</c:v>
                </c:pt>
                <c:pt idx="19">
                  <c:v>0.58</c:v>
                </c:pt>
              </c:strCache>
            </c:strRef>
          </c:cat>
          <c:val>
            <c:numRef>
              <c:f>'Pivot Tables'!$U$3:$U$23</c:f>
              <c:numCache>
                <c:formatCode>General</c:formatCode>
                <c:ptCount val="20"/>
                <c:pt idx="0">
                  <c:v>638</c:v>
                </c:pt>
                <c:pt idx="1">
                  <c:v>321</c:v>
                </c:pt>
                <c:pt idx="2">
                  <c:v>266</c:v>
                </c:pt>
                <c:pt idx="3">
                  <c:v>311</c:v>
                </c:pt>
                <c:pt idx="4">
                  <c:v>406</c:v>
                </c:pt>
                <c:pt idx="5">
                  <c:v>346</c:v>
                </c:pt>
                <c:pt idx="6">
                  <c:v>266</c:v>
                </c:pt>
                <c:pt idx="7">
                  <c:v>504</c:v>
                </c:pt>
                <c:pt idx="8">
                  <c:v>379</c:v>
                </c:pt>
                <c:pt idx="9">
                  <c:v>363</c:v>
                </c:pt>
                <c:pt idx="10">
                  <c:v>315</c:v>
                </c:pt>
                <c:pt idx="11">
                  <c:v>159</c:v>
                </c:pt>
                <c:pt idx="12">
                  <c:v>84</c:v>
                </c:pt>
                <c:pt idx="13">
                  <c:v>203</c:v>
                </c:pt>
                <c:pt idx="14">
                  <c:v>97</c:v>
                </c:pt>
                <c:pt idx="15">
                  <c:v>141</c:v>
                </c:pt>
                <c:pt idx="16">
                  <c:v>31</c:v>
                </c:pt>
                <c:pt idx="17">
                  <c:v>45</c:v>
                </c:pt>
                <c:pt idx="18">
                  <c:v>20</c:v>
                </c:pt>
                <c:pt idx="19">
                  <c:v>26</c:v>
                </c:pt>
              </c:numCache>
            </c:numRef>
          </c:val>
          <c:extLst>
            <c:ext xmlns:c16="http://schemas.microsoft.com/office/drawing/2014/chart" uri="{C3380CC4-5D6E-409C-BE32-E72D297353CC}">
              <c16:uniqueId val="{00000051-B42F-47BD-BAE4-6299D102EC95}"/>
            </c:ext>
          </c:extLst>
        </c:ser>
        <c:ser>
          <c:idx val="2"/>
          <c:order val="2"/>
          <c:tx>
            <c:strRef>
              <c:f>'Pivot Tables'!$V$2</c:f>
              <c:strCache>
                <c:ptCount val="1"/>
                <c:pt idx="0">
                  <c:v>Sum of Registered_customers</c:v>
                </c:pt>
              </c:strCache>
            </c:strRef>
          </c:tx>
          <c:dPt>
            <c:idx val="0"/>
            <c:bubble3D val="0"/>
            <c:spPr>
              <a:solidFill>
                <a:schemeClr val="accent1"/>
              </a:solidFill>
              <a:ln>
                <a:noFill/>
              </a:ln>
              <a:effectLst/>
              <a:sp3d/>
            </c:spPr>
            <c:extLst>
              <c:ext xmlns:c16="http://schemas.microsoft.com/office/drawing/2014/chart" uri="{C3380CC4-5D6E-409C-BE32-E72D297353CC}">
                <c16:uniqueId val="{00000053-B42F-47BD-BAE4-6299D102EC95}"/>
              </c:ext>
            </c:extLst>
          </c:dPt>
          <c:dPt>
            <c:idx val="1"/>
            <c:bubble3D val="0"/>
            <c:spPr>
              <a:solidFill>
                <a:schemeClr val="accent2"/>
              </a:solidFill>
              <a:ln>
                <a:noFill/>
              </a:ln>
              <a:effectLst/>
              <a:sp3d/>
            </c:spPr>
            <c:extLst>
              <c:ext xmlns:c16="http://schemas.microsoft.com/office/drawing/2014/chart" uri="{C3380CC4-5D6E-409C-BE32-E72D297353CC}">
                <c16:uniqueId val="{00000055-B42F-47BD-BAE4-6299D102EC95}"/>
              </c:ext>
            </c:extLst>
          </c:dPt>
          <c:dPt>
            <c:idx val="2"/>
            <c:bubble3D val="0"/>
            <c:spPr>
              <a:solidFill>
                <a:schemeClr val="accent3"/>
              </a:solidFill>
              <a:ln>
                <a:noFill/>
              </a:ln>
              <a:effectLst/>
              <a:sp3d/>
            </c:spPr>
            <c:extLst>
              <c:ext xmlns:c16="http://schemas.microsoft.com/office/drawing/2014/chart" uri="{C3380CC4-5D6E-409C-BE32-E72D297353CC}">
                <c16:uniqueId val="{00000057-B42F-47BD-BAE4-6299D102EC95}"/>
              </c:ext>
            </c:extLst>
          </c:dPt>
          <c:dPt>
            <c:idx val="3"/>
            <c:bubble3D val="0"/>
            <c:spPr>
              <a:solidFill>
                <a:schemeClr val="accent4"/>
              </a:solidFill>
              <a:ln>
                <a:noFill/>
              </a:ln>
              <a:effectLst/>
              <a:sp3d/>
            </c:spPr>
            <c:extLst>
              <c:ext xmlns:c16="http://schemas.microsoft.com/office/drawing/2014/chart" uri="{C3380CC4-5D6E-409C-BE32-E72D297353CC}">
                <c16:uniqueId val="{00000059-B42F-47BD-BAE4-6299D102EC95}"/>
              </c:ext>
            </c:extLst>
          </c:dPt>
          <c:dPt>
            <c:idx val="4"/>
            <c:bubble3D val="0"/>
            <c:spPr>
              <a:solidFill>
                <a:schemeClr val="accent5"/>
              </a:solidFill>
              <a:ln>
                <a:noFill/>
              </a:ln>
              <a:effectLst/>
              <a:sp3d/>
            </c:spPr>
            <c:extLst>
              <c:ext xmlns:c16="http://schemas.microsoft.com/office/drawing/2014/chart" uri="{C3380CC4-5D6E-409C-BE32-E72D297353CC}">
                <c16:uniqueId val="{0000005B-B42F-47BD-BAE4-6299D102EC95}"/>
              </c:ext>
            </c:extLst>
          </c:dPt>
          <c:dPt>
            <c:idx val="5"/>
            <c:bubble3D val="0"/>
            <c:spPr>
              <a:solidFill>
                <a:schemeClr val="accent6"/>
              </a:solidFill>
              <a:ln>
                <a:noFill/>
              </a:ln>
              <a:effectLst/>
              <a:sp3d/>
            </c:spPr>
            <c:extLst>
              <c:ext xmlns:c16="http://schemas.microsoft.com/office/drawing/2014/chart" uri="{C3380CC4-5D6E-409C-BE32-E72D297353CC}">
                <c16:uniqueId val="{0000005D-B42F-47BD-BAE4-6299D102EC95}"/>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5F-B42F-47BD-BAE4-6299D102EC95}"/>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61-B42F-47BD-BAE4-6299D102EC95}"/>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63-B42F-47BD-BAE4-6299D102EC95}"/>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65-B42F-47BD-BAE4-6299D102EC95}"/>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67-B42F-47BD-BAE4-6299D102EC95}"/>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69-B42F-47BD-BAE4-6299D102EC95}"/>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6B-B42F-47BD-BAE4-6299D102EC95}"/>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6D-B42F-47BD-BAE4-6299D102EC95}"/>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6F-B42F-47BD-BAE4-6299D102EC95}"/>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71-B42F-47BD-BAE4-6299D102EC95}"/>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73-B42F-47BD-BAE4-6299D102EC95}"/>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75-B42F-47BD-BAE4-6299D102EC95}"/>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77-B42F-47BD-BAE4-6299D102EC95}"/>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79-B42F-47BD-BAE4-6299D102EC95}"/>
              </c:ext>
            </c:extLst>
          </c:dPt>
          <c:cat>
            <c:strRef>
              <c:f>'Pivot Tables'!$S$3:$S$23</c:f>
              <c:strCache>
                <c:ptCount val="20"/>
                <c:pt idx="0">
                  <c:v>0</c:v>
                </c:pt>
                <c:pt idx="1">
                  <c:v>0.09</c:v>
                </c:pt>
                <c:pt idx="2">
                  <c:v>0.1</c:v>
                </c:pt>
                <c:pt idx="3">
                  <c:v>0.13</c:v>
                </c:pt>
                <c:pt idx="4">
                  <c:v>0.16</c:v>
                </c:pt>
                <c:pt idx="5">
                  <c:v>0.19</c:v>
                </c:pt>
                <c:pt idx="6">
                  <c:v>0.22</c:v>
                </c:pt>
                <c:pt idx="7">
                  <c:v>0.25</c:v>
                </c:pt>
                <c:pt idx="8">
                  <c:v>0.28</c:v>
                </c:pt>
                <c:pt idx="9">
                  <c:v>0.3</c:v>
                </c:pt>
                <c:pt idx="10">
                  <c:v>0.33</c:v>
                </c:pt>
                <c:pt idx="11">
                  <c:v>0.36</c:v>
                </c:pt>
                <c:pt idx="12">
                  <c:v>0.39</c:v>
                </c:pt>
                <c:pt idx="13">
                  <c:v>0.42</c:v>
                </c:pt>
                <c:pt idx="14">
                  <c:v>0.45</c:v>
                </c:pt>
                <c:pt idx="15">
                  <c:v>0.46</c:v>
                </c:pt>
                <c:pt idx="16">
                  <c:v>0.49</c:v>
                </c:pt>
                <c:pt idx="17">
                  <c:v>0.52</c:v>
                </c:pt>
                <c:pt idx="18">
                  <c:v>0.55</c:v>
                </c:pt>
                <c:pt idx="19">
                  <c:v>0.58</c:v>
                </c:pt>
              </c:strCache>
            </c:strRef>
          </c:cat>
          <c:val>
            <c:numRef>
              <c:f>'Pivot Tables'!$V$3:$V$23</c:f>
              <c:numCache>
                <c:formatCode>General</c:formatCode>
                <c:ptCount val="20"/>
                <c:pt idx="0">
                  <c:v>7207</c:v>
                </c:pt>
                <c:pt idx="1">
                  <c:v>3828</c:v>
                </c:pt>
                <c:pt idx="2">
                  <c:v>4084</c:v>
                </c:pt>
                <c:pt idx="3">
                  <c:v>4950</c:v>
                </c:pt>
                <c:pt idx="4">
                  <c:v>5203</c:v>
                </c:pt>
                <c:pt idx="5">
                  <c:v>4322</c:v>
                </c:pt>
                <c:pt idx="6">
                  <c:v>3280</c:v>
                </c:pt>
                <c:pt idx="7">
                  <c:v>3570</c:v>
                </c:pt>
                <c:pt idx="8">
                  <c:v>3137</c:v>
                </c:pt>
                <c:pt idx="9">
                  <c:v>2509</c:v>
                </c:pt>
                <c:pt idx="10">
                  <c:v>3293</c:v>
                </c:pt>
                <c:pt idx="11">
                  <c:v>1910</c:v>
                </c:pt>
                <c:pt idx="12">
                  <c:v>1166</c:v>
                </c:pt>
                <c:pt idx="13">
                  <c:v>1229</c:v>
                </c:pt>
                <c:pt idx="14">
                  <c:v>1010</c:v>
                </c:pt>
                <c:pt idx="15">
                  <c:v>740</c:v>
                </c:pt>
                <c:pt idx="16">
                  <c:v>598</c:v>
                </c:pt>
                <c:pt idx="17">
                  <c:v>637</c:v>
                </c:pt>
                <c:pt idx="18">
                  <c:v>354</c:v>
                </c:pt>
                <c:pt idx="19">
                  <c:v>356</c:v>
                </c:pt>
              </c:numCache>
            </c:numRef>
          </c:val>
          <c:extLst>
            <c:ext xmlns:c16="http://schemas.microsoft.com/office/drawing/2014/chart" uri="{C3380CC4-5D6E-409C-BE32-E72D297353CC}">
              <c16:uniqueId val="{0000007A-B42F-47BD-BAE4-6299D102EC9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581267277535076E-2"/>
          <c:y val="0.11812261323893605"/>
          <c:w val="0.92742063706960975"/>
          <c:h val="0.73763393212212114"/>
        </c:manualLayout>
      </c:layout>
      <c:lineChart>
        <c:grouping val="standard"/>
        <c:varyColors val="0"/>
        <c:ser>
          <c:idx val="0"/>
          <c:order val="0"/>
          <c:tx>
            <c:strRef>
              <c:f>'Forecasting Sheet'!$B$1</c:f>
              <c:strCache>
                <c:ptCount val="1"/>
                <c:pt idx="0">
                  <c:v>Total_count</c:v>
                </c:pt>
              </c:strCache>
            </c:strRef>
          </c:tx>
          <c:spPr>
            <a:ln w="28575" cap="rnd">
              <a:solidFill>
                <a:schemeClr val="accent1"/>
              </a:solidFill>
              <a:round/>
            </a:ln>
            <a:effectLst/>
          </c:spPr>
          <c:marker>
            <c:symbol val="none"/>
          </c:marker>
          <c:val>
            <c:numRef>
              <c:f>'Forecasting Sheet'!$B$2:$B$58</c:f>
              <c:numCache>
                <c:formatCode>0.00</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7D2C-4B05-9D4E-D53D7291764A}"/>
            </c:ext>
          </c:extLst>
        </c:ser>
        <c:ser>
          <c:idx val="1"/>
          <c:order val="1"/>
          <c:tx>
            <c:strRef>
              <c:f>'Forecasting Sheet'!$C$1</c:f>
              <c:strCache>
                <c:ptCount val="1"/>
                <c:pt idx="0">
                  <c:v>Forecast(Total_count)</c:v>
                </c:pt>
              </c:strCache>
            </c:strRef>
          </c:tx>
          <c:spPr>
            <a:ln w="25400" cap="rnd">
              <a:solidFill>
                <a:schemeClr val="accent2"/>
              </a:solidFill>
              <a:round/>
            </a:ln>
            <a:effectLst/>
          </c:spPr>
          <c:marker>
            <c:symbol val="none"/>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Sheet'!$C$2:$C$58</c:f>
              <c:numCache>
                <c:formatCode>General</c:formatCode>
                <c:ptCount val="57"/>
                <c:pt idx="44" formatCode="0.00">
                  <c:v>18.875</c:v>
                </c:pt>
                <c:pt idx="45" formatCode="0.00">
                  <c:v>61.270134143024279</c:v>
                </c:pt>
                <c:pt idx="46" formatCode="0.00">
                  <c:v>61.525827765725516</c:v>
                </c:pt>
                <c:pt idx="47" formatCode="0.00">
                  <c:v>61.781521388426746</c:v>
                </c:pt>
                <c:pt idx="48" formatCode="0.00">
                  <c:v>62.037215011127984</c:v>
                </c:pt>
                <c:pt idx="49" formatCode="0.00">
                  <c:v>62.292908633829221</c:v>
                </c:pt>
                <c:pt idx="50" formatCode="0.00">
                  <c:v>62.548602256530458</c:v>
                </c:pt>
                <c:pt idx="51" formatCode="0.00">
                  <c:v>62.804295879231688</c:v>
                </c:pt>
                <c:pt idx="52" formatCode="0.00">
                  <c:v>63.059989501932925</c:v>
                </c:pt>
                <c:pt idx="53" formatCode="0.00">
                  <c:v>63.315683124634162</c:v>
                </c:pt>
                <c:pt idx="54" formatCode="0.00">
                  <c:v>63.5713767473354</c:v>
                </c:pt>
                <c:pt idx="55" formatCode="0.00">
                  <c:v>63.827070370036637</c:v>
                </c:pt>
                <c:pt idx="56" formatCode="0.00">
                  <c:v>64.082763992737867</c:v>
                </c:pt>
              </c:numCache>
            </c:numRef>
          </c:val>
          <c:smooth val="0"/>
          <c:extLst>
            <c:ext xmlns:c16="http://schemas.microsoft.com/office/drawing/2014/chart" uri="{C3380CC4-5D6E-409C-BE32-E72D297353CC}">
              <c16:uniqueId val="{00000001-7D2C-4B05-9D4E-D53D7291764A}"/>
            </c:ext>
          </c:extLst>
        </c:ser>
        <c:ser>
          <c:idx val="2"/>
          <c:order val="2"/>
          <c:tx>
            <c:strRef>
              <c:f>'Forecasting Sheet'!$D$1</c:f>
              <c:strCache>
                <c:ptCount val="1"/>
                <c:pt idx="0">
                  <c:v>Lower Confidence Bound(Total_count)</c:v>
                </c:pt>
              </c:strCache>
            </c:strRef>
          </c:tx>
          <c:spPr>
            <a:ln w="12700" cap="rnd">
              <a:solidFill>
                <a:srgbClr val="EA4335"/>
              </a:solidFill>
              <a:prstDash val="solid"/>
              <a:round/>
            </a:ln>
            <a:effectLst/>
          </c:spPr>
          <c:marker>
            <c:symbol val="none"/>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7D2C-4B05-9D4E-D53D7291764A}"/>
            </c:ext>
          </c:extLst>
        </c:ser>
        <c:ser>
          <c:idx val="3"/>
          <c:order val="3"/>
          <c:tx>
            <c:strRef>
              <c:f>'Forecasting Sheet'!$E$1</c:f>
              <c:strCache>
                <c:ptCount val="1"/>
                <c:pt idx="0">
                  <c:v>Upper Confidence Bound(Total_count)</c:v>
                </c:pt>
              </c:strCache>
            </c:strRef>
          </c:tx>
          <c:spPr>
            <a:ln w="12700" cap="rnd">
              <a:solidFill>
                <a:srgbClr val="EA4335"/>
              </a:solidFill>
              <a:prstDash val="solid"/>
              <a:round/>
            </a:ln>
            <a:effectLst/>
          </c:spPr>
          <c:marker>
            <c:symbol val="none"/>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7D2C-4B05-9D4E-D53D7291764A}"/>
            </c:ext>
          </c:extLst>
        </c:ser>
        <c:dLbls>
          <c:showLegendKey val="0"/>
          <c:showVal val="0"/>
          <c:showCatName val="0"/>
          <c:showSerName val="0"/>
          <c:showPercent val="0"/>
          <c:showBubbleSize val="0"/>
        </c:dLbls>
        <c:smooth val="0"/>
        <c:axId val="54404704"/>
        <c:axId val="54400384"/>
      </c:lineChart>
      <c:catAx>
        <c:axId val="5440470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00384"/>
        <c:crosses val="autoZero"/>
        <c:auto val="1"/>
        <c:lblAlgn val="ctr"/>
        <c:lblOffset val="100"/>
        <c:noMultiLvlLbl val="0"/>
      </c:catAx>
      <c:valAx>
        <c:axId val="5440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04704"/>
        <c:crosses val="autoZero"/>
        <c:crossBetween val="between"/>
      </c:valAx>
      <c:spPr>
        <a:noFill/>
        <a:ln>
          <a:noFill/>
        </a:ln>
        <a:effectLst/>
      </c:spPr>
    </c:plotArea>
    <c:legend>
      <c:legendPos val="b"/>
      <c:layout>
        <c:manualLayout>
          <c:xMode val="edge"/>
          <c:yMode val="edge"/>
          <c:x val="4.4463713120197333E-2"/>
          <c:y val="1.3209518048386411E-2"/>
          <c:w val="0.92685496456042082"/>
          <c:h val="9.81605994902811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Outliers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486439195100607E-2"/>
          <c:y val="0.16712962962962963"/>
          <c:w val="0.87427755905511806"/>
          <c:h val="0.62949292796733747"/>
        </c:manualLayout>
      </c:layout>
      <c:scatterChart>
        <c:scatterStyle val="lineMarker"/>
        <c:varyColors val="0"/>
        <c:ser>
          <c:idx val="0"/>
          <c:order val="0"/>
          <c:tx>
            <c:strRef>
              <c:f>Outlier!$J$4</c:f>
              <c:strCache>
                <c:ptCount val="1"/>
                <c:pt idx="0">
                  <c:v>Normal demand</c:v>
                </c:pt>
              </c:strCache>
            </c:strRef>
          </c:tx>
          <c:spPr>
            <a:ln w="25400" cap="rnd">
              <a:noFill/>
              <a:round/>
            </a:ln>
            <a:effectLst/>
          </c:spPr>
          <c:marker>
            <c:symbol val="circle"/>
            <c:size val="5"/>
            <c:spPr>
              <a:solidFill>
                <a:schemeClr val="accent1"/>
              </a:solidFill>
              <a:ln w="9525">
                <a:solidFill>
                  <a:schemeClr val="accent1"/>
                </a:solidFill>
              </a:ln>
              <a:effectLst/>
            </c:spPr>
          </c:marker>
          <c:xVal>
            <c:numRef>
              <c:f>Outlier!$B$5:$B$1004</c:f>
              <c:numCache>
                <c:formatCode>General</c:formatCode>
                <c:ptCount val="10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numCache>
            </c:numRef>
          </c:xVal>
          <c:yVal>
            <c:numRef>
              <c:f>Outlier!$J$5:$J$1004</c:f>
              <c:numCache>
                <c:formatCode>General</c:formatCode>
                <c:ptCount val="1000"/>
                <c:pt idx="0">
                  <c:v>16</c:v>
                </c:pt>
                <c:pt idx="1">
                  <c:v>#N/A</c:v>
                </c:pt>
                <c:pt idx="2">
                  <c:v>#N/A</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#N/A</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#N/A</c:v>
                </c:pt>
                <c:pt idx="349">
                  <c:v>23</c:v>
                </c:pt>
                <c:pt idx="350">
                  <c:v>16</c:v>
                </c:pt>
                <c:pt idx="351">
                  <c:v>#N/A</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#N/A</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#N/A</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#N/A</c:v>
                </c:pt>
                <c:pt idx="451">
                  <c:v>#N/A</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#N/A</c:v>
                </c:pt>
                <c:pt idx="566">
                  <c:v>146</c:v>
                </c:pt>
                <c:pt idx="567">
                  <c:v>#N/A</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#N/A</c:v>
                </c:pt>
                <c:pt idx="586">
                  <c:v>#N/A</c:v>
                </c:pt>
                <c:pt idx="587">
                  <c:v>#N/A</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#N/A</c:v>
                </c:pt>
                <c:pt idx="782">
                  <c:v>18</c:v>
                </c:pt>
                <c:pt idx="783">
                  <c:v>17</c:v>
                </c:pt>
                <c:pt idx="784">
                  <c:v>11</c:v>
                </c:pt>
                <c:pt idx="785">
                  <c:v>#N/A</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#N/A</c:v>
                </c:pt>
                <c:pt idx="805">
                  <c:v>#N/A</c:v>
                </c:pt>
                <c:pt idx="806">
                  <c:v>#N/A</c:v>
                </c:pt>
                <c:pt idx="807">
                  <c:v>20</c:v>
                </c:pt>
                <c:pt idx="808">
                  <c:v>13</c:v>
                </c:pt>
                <c:pt idx="809">
                  <c:v>2</c:v>
                </c:pt>
                <c:pt idx="810">
                  <c:v>1</c:v>
                </c:pt>
                <c:pt idx="811">
                  <c:v>1</c:v>
                </c:pt>
                <c:pt idx="812">
                  <c:v>8</c:v>
                </c:pt>
                <c:pt idx="813">
                  <c:v>23</c:v>
                </c:pt>
                <c:pt idx="814">
                  <c:v>45</c:v>
                </c:pt>
                <c:pt idx="815">
                  <c:v>#N/A</c:v>
                </c:pt>
                <c:pt idx="816">
                  <c:v>#N/A</c:v>
                </c:pt>
                <c:pt idx="817">
                  <c:v>#N/A</c:v>
                </c:pt>
                <c:pt idx="818">
                  <c:v>#N/A</c:v>
                </c:pt>
                <c:pt idx="819">
                  <c:v>#N/A</c:v>
                </c:pt>
                <c:pt idx="820">
                  <c:v>#N/A</c:v>
                </c:pt>
                <c:pt idx="821">
                  <c:v>#N/A</c:v>
                </c:pt>
                <c:pt idx="822">
                  <c:v>121</c:v>
                </c:pt>
                <c:pt idx="823">
                  <c:v>78</c:v>
                </c:pt>
                <c:pt idx="824">
                  <c:v>#N/A</c:v>
                </c:pt>
                <c:pt idx="825">
                  <c:v>26</c:v>
                </c:pt>
                <c:pt idx="826">
                  <c:v>27</c:v>
                </c:pt>
                <c:pt idx="827">
                  <c:v>#N/A</c:v>
                </c:pt>
                <c:pt idx="828">
                  <c:v>30</c:v>
                </c:pt>
                <c:pt idx="829">
                  <c:v>15</c:v>
                </c:pt>
                <c:pt idx="830">
                  <c:v>5</c:v>
                </c:pt>
                <c:pt idx="831">
                  <c:v>3</c:v>
                </c:pt>
                <c:pt idx="832">
                  <c:v>1</c:v>
                </c:pt>
                <c:pt idx="833">
                  <c:v>2</c:v>
                </c:pt>
                <c:pt idx="834">
                  <c:v>#N/A</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#N/A</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#N/A</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#N/A</c:v>
                </c:pt>
                <c:pt idx="945">
                  <c:v>30</c:v>
                </c:pt>
                <c:pt idx="946">
                  <c:v>24</c:v>
                </c:pt>
                <c:pt idx="947">
                  <c:v>15</c:v>
                </c:pt>
                <c:pt idx="948">
                  <c:v>10</c:v>
                </c:pt>
                <c:pt idx="949">
                  <c:v>4</c:v>
                </c:pt>
                <c:pt idx="950">
                  <c:v>1</c:v>
                </c:pt>
                <c:pt idx="951">
                  <c:v>2</c:v>
                </c:pt>
                <c:pt idx="952">
                  <c:v>11</c:v>
                </c:pt>
                <c:pt idx="953">
                  <c:v>30</c:v>
                </c:pt>
                <c:pt idx="954">
                  <c:v>43</c:v>
                </c:pt>
                <c:pt idx="955">
                  <c:v>84</c:v>
                </c:pt>
                <c:pt idx="956">
                  <c:v>#N/A</c:v>
                </c:pt>
                <c:pt idx="957">
                  <c:v>120</c:v>
                </c:pt>
                <c:pt idx="958">
                  <c:v>135</c:v>
                </c:pt>
                <c:pt idx="959">
                  <c:v>120</c:v>
                </c:pt>
                <c:pt idx="960">
                  <c:v>#N/A</c:v>
                </c:pt>
                <c:pt idx="961">
                  <c:v>#N/A</c:v>
                </c:pt>
                <c:pt idx="962">
                  <c:v>137</c:v>
                </c:pt>
                <c:pt idx="963">
                  <c:v>64</c:v>
                </c:pt>
                <c:pt idx="964">
                  <c:v>41</c:v>
                </c:pt>
                <c:pt idx="965">
                  <c:v>40</c:v>
                </c:pt>
                <c:pt idx="966">
                  <c:v>51</c:v>
                </c:pt>
                <c:pt idx="967">
                  <c:v>45</c:v>
                </c:pt>
                <c:pt idx="968">
                  <c:v>32</c:v>
                </c:pt>
                <c:pt idx="969">
                  <c:v>#N/A</c:v>
                </c:pt>
                <c:pt idx="970">
                  <c:v>24</c:v>
                </c:pt>
                <c:pt idx="971">
                  <c:v>20</c:v>
                </c:pt>
                <c:pt idx="972">
                  <c:v>12</c:v>
                </c:pt>
                <c:pt idx="973">
                  <c:v>2</c:v>
                </c:pt>
                <c:pt idx="974">
                  <c:v>5</c:v>
                </c:pt>
                <c:pt idx="975">
                  <c:v>3</c:v>
                </c:pt>
                <c:pt idx="976">
                  <c:v>12</c:v>
                </c:pt>
                <c:pt idx="977">
                  <c:v>47</c:v>
                </c:pt>
                <c:pt idx="978">
                  <c:v>#N/A</c:v>
                </c:pt>
                <c:pt idx="979">
                  <c:v>#N/A</c:v>
                </c:pt>
                <c:pt idx="980">
                  <c:v>#N/A</c:v>
                </c:pt>
                <c:pt idx="981">
                  <c:v>#N/A</c:v>
                </c:pt>
                <c:pt idx="982">
                  <c:v>#N/A</c:v>
                </c:pt>
                <c:pt idx="983">
                  <c:v>#N/A</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0DB5-48E8-BA72-C3C3733DA14C}"/>
            </c:ext>
          </c:extLst>
        </c:ser>
        <c:ser>
          <c:idx val="1"/>
          <c:order val="1"/>
          <c:tx>
            <c:strRef>
              <c:f>Outlier!$K$4</c:f>
              <c:strCache>
                <c:ptCount val="1"/>
                <c:pt idx="0">
                  <c:v>Anamoly </c:v>
                </c:pt>
              </c:strCache>
            </c:strRef>
          </c:tx>
          <c:spPr>
            <a:ln w="25400" cap="rnd">
              <a:noFill/>
              <a:round/>
            </a:ln>
            <a:effectLst/>
          </c:spPr>
          <c:marker>
            <c:symbol val="circle"/>
            <c:size val="5"/>
            <c:spPr>
              <a:solidFill>
                <a:schemeClr val="accent2"/>
              </a:solidFill>
              <a:ln w="9525">
                <a:solidFill>
                  <a:schemeClr val="accent2"/>
                </a:solidFill>
              </a:ln>
              <a:effectLst/>
            </c:spPr>
          </c:marker>
          <c:xVal>
            <c:numRef>
              <c:f>Outlier!$B$5:$B$1004</c:f>
              <c:numCache>
                <c:formatCode>General</c:formatCode>
                <c:ptCount val="10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numCache>
            </c:numRef>
          </c:xVal>
          <c:yVal>
            <c:numRef>
              <c:f>Outlier!$K$5:$K$1004</c:f>
              <c:numCache>
                <c:formatCode>General</c:formatCode>
                <c:ptCount val="1000"/>
                <c:pt idx="0">
                  <c:v>#N/A</c:v>
                </c:pt>
                <c:pt idx="1">
                  <c:v>40</c:v>
                </c:pt>
                <c:pt idx="2">
                  <c:v>32</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9</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39</c:v>
                </c:pt>
                <c:pt idx="349">
                  <c:v>#N/A</c:v>
                </c:pt>
                <c:pt idx="350">
                  <c:v>#N/A</c:v>
                </c:pt>
                <c:pt idx="351">
                  <c:v>15</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3</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59</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152</c:v>
                </c:pt>
                <c:pt idx="451">
                  <c:v>126</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225</c:v>
                </c:pt>
                <c:pt idx="566">
                  <c:v>#N/A</c:v>
                </c:pt>
                <c:pt idx="567">
                  <c:v>119</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36</c:v>
                </c:pt>
                <c:pt idx="586">
                  <c:v>26</c:v>
                </c:pt>
                <c:pt idx="587">
                  <c:v>24</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39</c:v>
                </c:pt>
                <c:pt idx="782">
                  <c:v>#N/A</c:v>
                </c:pt>
                <c:pt idx="783">
                  <c:v>#N/A</c:v>
                </c:pt>
                <c:pt idx="784">
                  <c:v>#N/A</c:v>
                </c:pt>
                <c:pt idx="785">
                  <c:v>8</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59</c:v>
                </c:pt>
                <c:pt idx="805">
                  <c:v>39</c:v>
                </c:pt>
                <c:pt idx="806">
                  <c:v>44</c:v>
                </c:pt>
                <c:pt idx="807">
                  <c:v>#N/A</c:v>
                </c:pt>
                <c:pt idx="808">
                  <c:v>#N/A</c:v>
                </c:pt>
                <c:pt idx="809">
                  <c:v>#N/A</c:v>
                </c:pt>
                <c:pt idx="810">
                  <c:v>#N/A</c:v>
                </c:pt>
                <c:pt idx="811">
                  <c:v>#N/A</c:v>
                </c:pt>
                <c:pt idx="812">
                  <c:v>#N/A</c:v>
                </c:pt>
                <c:pt idx="813">
                  <c:v>#N/A</c:v>
                </c:pt>
                <c:pt idx="814">
                  <c:v>#N/A</c:v>
                </c:pt>
                <c:pt idx="815">
                  <c:v>89</c:v>
                </c:pt>
                <c:pt idx="816">
                  <c:v>117</c:v>
                </c:pt>
                <c:pt idx="817">
                  <c:v>174</c:v>
                </c:pt>
                <c:pt idx="818">
                  <c:v>182</c:v>
                </c:pt>
                <c:pt idx="819">
                  <c:v>161</c:v>
                </c:pt>
                <c:pt idx="820">
                  <c:v>182</c:v>
                </c:pt>
                <c:pt idx="821">
                  <c:v>157</c:v>
                </c:pt>
                <c:pt idx="822">
                  <c:v>#N/A</c:v>
                </c:pt>
                <c:pt idx="823">
                  <c:v>#N/A</c:v>
                </c:pt>
                <c:pt idx="824">
                  <c:v>21</c:v>
                </c:pt>
                <c:pt idx="825">
                  <c:v>#N/A</c:v>
                </c:pt>
                <c:pt idx="826">
                  <c:v>#N/A</c:v>
                </c:pt>
                <c:pt idx="827">
                  <c:v>62</c:v>
                </c:pt>
                <c:pt idx="828">
                  <c:v>#N/A</c:v>
                </c:pt>
                <c:pt idx="829">
                  <c:v>#N/A</c:v>
                </c:pt>
                <c:pt idx="830">
                  <c:v>#N/A</c:v>
                </c:pt>
                <c:pt idx="831">
                  <c:v>#N/A</c:v>
                </c:pt>
                <c:pt idx="832">
                  <c:v>#N/A</c:v>
                </c:pt>
                <c:pt idx="833">
                  <c:v>#N/A</c:v>
                </c:pt>
                <c:pt idx="834">
                  <c:v>10</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78</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83</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53</c:v>
                </c:pt>
                <c:pt idx="945">
                  <c:v>#N/A</c:v>
                </c:pt>
                <c:pt idx="946">
                  <c:v>#N/A</c:v>
                </c:pt>
                <c:pt idx="947">
                  <c:v>#N/A</c:v>
                </c:pt>
                <c:pt idx="948">
                  <c:v>#N/A</c:v>
                </c:pt>
                <c:pt idx="949">
                  <c:v>#N/A</c:v>
                </c:pt>
                <c:pt idx="950">
                  <c:v>#N/A</c:v>
                </c:pt>
                <c:pt idx="951">
                  <c:v>#N/A</c:v>
                </c:pt>
                <c:pt idx="952">
                  <c:v>#N/A</c:v>
                </c:pt>
                <c:pt idx="953">
                  <c:v>#N/A</c:v>
                </c:pt>
                <c:pt idx="954">
                  <c:v>#N/A</c:v>
                </c:pt>
                <c:pt idx="955">
                  <c:v>#N/A</c:v>
                </c:pt>
                <c:pt idx="956">
                  <c:v>114</c:v>
                </c:pt>
                <c:pt idx="957">
                  <c:v>#N/A</c:v>
                </c:pt>
                <c:pt idx="958">
                  <c:v>#N/A</c:v>
                </c:pt>
                <c:pt idx="959">
                  <c:v>#N/A</c:v>
                </c:pt>
                <c:pt idx="960">
                  <c:v>174</c:v>
                </c:pt>
                <c:pt idx="961">
                  <c:v>145</c:v>
                </c:pt>
                <c:pt idx="962">
                  <c:v>#N/A</c:v>
                </c:pt>
                <c:pt idx="963">
                  <c:v>#N/A</c:v>
                </c:pt>
                <c:pt idx="964">
                  <c:v>#N/A</c:v>
                </c:pt>
                <c:pt idx="965">
                  <c:v>#N/A</c:v>
                </c:pt>
                <c:pt idx="966">
                  <c:v>#N/A</c:v>
                </c:pt>
                <c:pt idx="967">
                  <c:v>#N/A</c:v>
                </c:pt>
                <c:pt idx="968">
                  <c:v>#N/A</c:v>
                </c:pt>
                <c:pt idx="969">
                  <c:v>39</c:v>
                </c:pt>
                <c:pt idx="970">
                  <c:v>#N/A</c:v>
                </c:pt>
                <c:pt idx="971">
                  <c:v>#N/A</c:v>
                </c:pt>
                <c:pt idx="972">
                  <c:v>#N/A</c:v>
                </c:pt>
                <c:pt idx="973">
                  <c:v>#N/A</c:v>
                </c:pt>
                <c:pt idx="974">
                  <c:v>#N/A</c:v>
                </c:pt>
                <c:pt idx="975">
                  <c:v>#N/A</c:v>
                </c:pt>
                <c:pt idx="976">
                  <c:v>#N/A</c:v>
                </c:pt>
                <c:pt idx="977">
                  <c:v>#N/A</c:v>
                </c:pt>
                <c:pt idx="978">
                  <c:v>105</c:v>
                </c:pt>
                <c:pt idx="979">
                  <c:v>112</c:v>
                </c:pt>
                <c:pt idx="980">
                  <c:v>152</c:v>
                </c:pt>
                <c:pt idx="981">
                  <c:v>154</c:v>
                </c:pt>
                <c:pt idx="982">
                  <c:v>161</c:v>
                </c:pt>
                <c:pt idx="983">
                  <c:v>162</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numCache>
            </c:numRef>
          </c:yVal>
          <c:smooth val="0"/>
          <c:extLst>
            <c:ext xmlns:c16="http://schemas.microsoft.com/office/drawing/2014/chart" uri="{C3380CC4-5D6E-409C-BE32-E72D297353CC}">
              <c16:uniqueId val="{00000001-0DB5-48E8-BA72-C3C3733DA14C}"/>
            </c:ext>
          </c:extLst>
        </c:ser>
        <c:dLbls>
          <c:showLegendKey val="0"/>
          <c:showVal val="0"/>
          <c:showCatName val="0"/>
          <c:showSerName val="0"/>
          <c:showPercent val="0"/>
          <c:showBubbleSize val="0"/>
        </c:dLbls>
        <c:axId val="924886560"/>
        <c:axId val="924892320"/>
      </c:scatterChart>
      <c:valAx>
        <c:axId val="92488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892320"/>
        <c:crosses val="autoZero"/>
        <c:crossBetween val="midCat"/>
      </c:valAx>
      <c:valAx>
        <c:axId val="92489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8865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t>Rental Demand Trend Over Time</a:t>
            </a:r>
            <a:endParaRPr lang="en-IN" b="1" u="sng"/>
          </a:p>
        </c:rich>
      </c:tx>
      <c:layout>
        <c:manualLayout>
          <c:xMode val="edge"/>
          <c:yMode val="edge"/>
          <c:x val="0.1416456692913385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c:f>
              <c:strCache>
                <c:ptCount val="1"/>
                <c:pt idx="0">
                  <c:v>Sum of Total_count</c:v>
                </c:pt>
              </c:strCache>
            </c:strRef>
          </c:tx>
          <c:spPr>
            <a:solidFill>
              <a:schemeClr val="accent1"/>
            </a:solidFill>
            <a:ln>
              <a:noFill/>
            </a:ln>
            <a:effectLst/>
          </c:spPr>
          <c:invertIfNegative val="0"/>
          <c:cat>
            <c:strRef>
              <c:f>'Pivot Tables'!$F$3:$F$5</c:f>
              <c:strCache>
                <c:ptCount val="2"/>
                <c:pt idx="0">
                  <c:v>Jan</c:v>
                </c:pt>
                <c:pt idx="1">
                  <c:v>Feb</c:v>
                </c:pt>
              </c:strCache>
            </c:strRef>
          </c:cat>
          <c:val>
            <c:numRef>
              <c:f>'Pivot Tables'!$G$3:$G$5</c:f>
              <c:numCache>
                <c:formatCode>General</c:formatCode>
                <c:ptCount val="2"/>
                <c:pt idx="0">
                  <c:v>38189</c:v>
                </c:pt>
                <c:pt idx="1">
                  <c:v>20115</c:v>
                </c:pt>
              </c:numCache>
            </c:numRef>
          </c:val>
          <c:extLst>
            <c:ext xmlns:c16="http://schemas.microsoft.com/office/drawing/2014/chart" uri="{C3380CC4-5D6E-409C-BE32-E72D297353CC}">
              <c16:uniqueId val="{00000000-9906-45EC-9F44-EC59F9869151}"/>
            </c:ext>
          </c:extLst>
        </c:ser>
        <c:dLbls>
          <c:showLegendKey val="0"/>
          <c:showVal val="0"/>
          <c:showCatName val="0"/>
          <c:showSerName val="0"/>
          <c:showPercent val="0"/>
          <c:showBubbleSize val="0"/>
        </c:dLbls>
        <c:gapWidth val="219"/>
        <c:overlap val="-27"/>
        <c:axId val="918723904"/>
        <c:axId val="918724864"/>
      </c:barChart>
      <c:lineChart>
        <c:grouping val="standard"/>
        <c:varyColors val="0"/>
        <c:ser>
          <c:idx val="1"/>
          <c:order val="1"/>
          <c:tx>
            <c:strRef>
              <c:f>'Pivot Tables'!$H$2</c:f>
              <c:strCache>
                <c:ptCount val="1"/>
                <c:pt idx="0">
                  <c:v>Average of Total_count2</c:v>
                </c:pt>
              </c:strCache>
            </c:strRef>
          </c:tx>
          <c:spPr>
            <a:ln w="28575" cap="rnd">
              <a:solidFill>
                <a:schemeClr val="accent2"/>
              </a:solidFill>
              <a:round/>
            </a:ln>
            <a:effectLst/>
          </c:spPr>
          <c:marker>
            <c:symbol val="none"/>
          </c:marker>
          <c:cat>
            <c:strRef>
              <c:f>'Pivot Tables'!$F$3:$F$5</c:f>
              <c:strCache>
                <c:ptCount val="2"/>
                <c:pt idx="0">
                  <c:v>Jan</c:v>
                </c:pt>
                <c:pt idx="1">
                  <c:v>Feb</c:v>
                </c:pt>
              </c:strCache>
            </c:strRef>
          </c:cat>
          <c:val>
            <c:numRef>
              <c:f>'Pivot Tables'!$H$3:$H$5</c:f>
              <c:numCache>
                <c:formatCode>0.00</c:formatCode>
                <c:ptCount val="2"/>
                <c:pt idx="0">
                  <c:v>55.507267441860463</c:v>
                </c:pt>
                <c:pt idx="1">
                  <c:v>64.47115384615384</c:v>
                </c:pt>
              </c:numCache>
            </c:numRef>
          </c:val>
          <c:smooth val="0"/>
          <c:extLst>
            <c:ext xmlns:c16="http://schemas.microsoft.com/office/drawing/2014/chart" uri="{C3380CC4-5D6E-409C-BE32-E72D297353CC}">
              <c16:uniqueId val="{00000001-9906-45EC-9F44-EC59F9869151}"/>
            </c:ext>
          </c:extLst>
        </c:ser>
        <c:dLbls>
          <c:showLegendKey val="0"/>
          <c:showVal val="0"/>
          <c:showCatName val="0"/>
          <c:showSerName val="0"/>
          <c:showPercent val="0"/>
          <c:showBubbleSize val="0"/>
        </c:dLbls>
        <c:marker val="1"/>
        <c:smooth val="0"/>
        <c:axId val="1039025968"/>
        <c:axId val="1039021648"/>
      </c:lineChart>
      <c:catAx>
        <c:axId val="9187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24864"/>
        <c:crosses val="autoZero"/>
        <c:auto val="1"/>
        <c:lblAlgn val="ctr"/>
        <c:lblOffset val="100"/>
        <c:noMultiLvlLbl val="0"/>
      </c:catAx>
      <c:valAx>
        <c:axId val="91872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23904"/>
        <c:crosses val="autoZero"/>
        <c:crossBetween val="between"/>
      </c:valAx>
      <c:valAx>
        <c:axId val="10390216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25968"/>
        <c:crosses val="max"/>
        <c:crossBetween val="between"/>
      </c:valAx>
      <c:catAx>
        <c:axId val="1039025968"/>
        <c:scaling>
          <c:orientation val="minMax"/>
        </c:scaling>
        <c:delete val="1"/>
        <c:axPos val="b"/>
        <c:numFmt formatCode="General" sourceLinked="1"/>
        <c:majorTickMark val="out"/>
        <c:minorTickMark val="none"/>
        <c:tickLblPos val="nextTo"/>
        <c:crossAx val="10390216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Demand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Sum of Total_count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Tables'!$B$3:$B$27</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B37C-4FAB-AD6F-9A573AB0DB19}"/>
            </c:ext>
          </c:extLst>
        </c:ser>
        <c:ser>
          <c:idx val="1"/>
          <c:order val="1"/>
          <c:tx>
            <c:strRef>
              <c:f>'Pivot Tables'!$C$2</c:f>
              <c:strCache>
                <c:ptCount val="1"/>
                <c:pt idx="0">
                  <c:v>Sum of Casual_customers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Tables'!$C$3:$C$27</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smooth val="0"/>
          <c:extLst>
            <c:ext xmlns:c16="http://schemas.microsoft.com/office/drawing/2014/chart" uri="{C3380CC4-5D6E-409C-BE32-E72D297353CC}">
              <c16:uniqueId val="{00000001-B37C-4FAB-AD6F-9A573AB0DB19}"/>
            </c:ext>
          </c:extLst>
        </c:ser>
        <c:ser>
          <c:idx val="2"/>
          <c:order val="2"/>
          <c:tx>
            <c:strRef>
              <c:f>'Pivot Tables'!$D$2</c:f>
              <c:strCache>
                <c:ptCount val="1"/>
                <c:pt idx="0">
                  <c:v>Sum of Registered_customers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Tables'!$D$3:$D$27</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smooth val="0"/>
          <c:extLst>
            <c:ext xmlns:c16="http://schemas.microsoft.com/office/drawing/2014/chart" uri="{C3380CC4-5D6E-409C-BE32-E72D297353CC}">
              <c16:uniqueId val="{00000002-B37C-4FAB-AD6F-9A573AB0DB19}"/>
            </c:ext>
          </c:extLst>
        </c:ser>
        <c:dLbls>
          <c:showLegendKey val="0"/>
          <c:showVal val="0"/>
          <c:showCatName val="0"/>
          <c:showSerName val="0"/>
          <c:showPercent val="0"/>
          <c:showBubbleSize val="0"/>
        </c:dLbls>
        <c:marker val="1"/>
        <c:smooth val="0"/>
        <c:axId val="918708544"/>
        <c:axId val="918702784"/>
      </c:lineChart>
      <c:catAx>
        <c:axId val="91870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02784"/>
        <c:crosses val="autoZero"/>
        <c:auto val="1"/>
        <c:lblAlgn val="ctr"/>
        <c:lblOffset val="100"/>
        <c:noMultiLvlLbl val="0"/>
      </c:catAx>
      <c:valAx>
        <c:axId val="91870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Demand</a:t>
            </a:r>
            <a:r>
              <a:rPr lang="en-US" b="1" u="sng" baseline="0"/>
              <a:t> by weather situation</a:t>
            </a:r>
            <a:endParaRPr lang="en-US" b="1" u="sng"/>
          </a:p>
        </c:rich>
      </c:tx>
      <c:layout>
        <c:manualLayout>
          <c:xMode val="edge"/>
          <c:yMode val="edge"/>
          <c:x val="0.2033748906386701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Tables'!$O$2</c:f>
              <c:strCache>
                <c:ptCount val="1"/>
                <c:pt idx="0">
                  <c:v>Sum of Total_count</c:v>
                </c:pt>
              </c:strCache>
            </c:strRef>
          </c:tx>
          <c:spPr>
            <a:solidFill>
              <a:schemeClr val="accent1"/>
            </a:solidFill>
            <a:ln>
              <a:noFill/>
            </a:ln>
            <a:effectLst/>
          </c:spPr>
          <c:cat>
            <c:strRef>
              <c:f>'Pivot Tables'!$N$3:$N$7</c:f>
              <c:strCache>
                <c:ptCount val="4"/>
                <c:pt idx="0">
                  <c:v>Clear Weather</c:v>
                </c:pt>
                <c:pt idx="1">
                  <c:v>Heavy Rain</c:v>
                </c:pt>
                <c:pt idx="2">
                  <c:v>Light Rain</c:v>
                </c:pt>
                <c:pt idx="3">
                  <c:v>Thunderstorm</c:v>
                </c:pt>
              </c:strCache>
            </c:strRef>
          </c:cat>
          <c:val>
            <c:numRef>
              <c:f>'Pivot Tables'!$O$3:$O$7</c:f>
              <c:numCache>
                <c:formatCode>General</c:formatCode>
                <c:ptCount val="4"/>
                <c:pt idx="0">
                  <c:v>37373</c:v>
                </c:pt>
                <c:pt idx="1">
                  <c:v>2789</c:v>
                </c:pt>
                <c:pt idx="2">
                  <c:v>18106</c:v>
                </c:pt>
                <c:pt idx="3">
                  <c:v>36</c:v>
                </c:pt>
              </c:numCache>
            </c:numRef>
          </c:val>
          <c:extLst>
            <c:ext xmlns:c16="http://schemas.microsoft.com/office/drawing/2014/chart" uri="{C3380CC4-5D6E-409C-BE32-E72D297353CC}">
              <c16:uniqueId val="{00000000-E278-4E14-872B-93C867CE2B24}"/>
            </c:ext>
          </c:extLst>
        </c:ser>
        <c:ser>
          <c:idx val="1"/>
          <c:order val="1"/>
          <c:tx>
            <c:strRef>
              <c:f>'Pivot Tables'!$P$2</c:f>
              <c:strCache>
                <c:ptCount val="1"/>
                <c:pt idx="0">
                  <c:v>Sum of Registered_customers</c:v>
                </c:pt>
              </c:strCache>
            </c:strRef>
          </c:tx>
          <c:spPr>
            <a:solidFill>
              <a:schemeClr val="accent2"/>
            </a:solidFill>
            <a:ln w="25400">
              <a:noFill/>
            </a:ln>
            <a:effectLst/>
          </c:spPr>
          <c:cat>
            <c:strRef>
              <c:f>'Pivot Tables'!$N$3:$N$7</c:f>
              <c:strCache>
                <c:ptCount val="4"/>
                <c:pt idx="0">
                  <c:v>Clear Weather</c:v>
                </c:pt>
                <c:pt idx="1">
                  <c:v>Heavy Rain</c:v>
                </c:pt>
                <c:pt idx="2">
                  <c:v>Light Rain</c:v>
                </c:pt>
                <c:pt idx="3">
                  <c:v>Thunderstorm</c:v>
                </c:pt>
              </c:strCache>
            </c:strRef>
          </c:cat>
          <c:val>
            <c:numRef>
              <c:f>'Pivot Tables'!$P$3:$P$7</c:f>
              <c:numCache>
                <c:formatCode>General</c:formatCode>
                <c:ptCount val="4"/>
                <c:pt idx="0">
                  <c:v>34162</c:v>
                </c:pt>
                <c:pt idx="1">
                  <c:v>2618</c:v>
                </c:pt>
                <c:pt idx="2">
                  <c:v>16568</c:v>
                </c:pt>
                <c:pt idx="3">
                  <c:v>35</c:v>
                </c:pt>
              </c:numCache>
            </c:numRef>
          </c:val>
          <c:extLst>
            <c:ext xmlns:c16="http://schemas.microsoft.com/office/drawing/2014/chart" uri="{C3380CC4-5D6E-409C-BE32-E72D297353CC}">
              <c16:uniqueId val="{00000001-E278-4E14-872B-93C867CE2B24}"/>
            </c:ext>
          </c:extLst>
        </c:ser>
        <c:ser>
          <c:idx val="2"/>
          <c:order val="2"/>
          <c:tx>
            <c:strRef>
              <c:f>'Pivot Tables'!$Q$2</c:f>
              <c:strCache>
                <c:ptCount val="1"/>
                <c:pt idx="0">
                  <c:v>Sum of Casual_customers</c:v>
                </c:pt>
              </c:strCache>
            </c:strRef>
          </c:tx>
          <c:spPr>
            <a:solidFill>
              <a:schemeClr val="accent3"/>
            </a:solidFill>
            <a:ln w="25400">
              <a:noFill/>
            </a:ln>
            <a:effectLst/>
          </c:spPr>
          <c:cat>
            <c:strRef>
              <c:f>'Pivot Tables'!$N$3:$N$7</c:f>
              <c:strCache>
                <c:ptCount val="4"/>
                <c:pt idx="0">
                  <c:v>Clear Weather</c:v>
                </c:pt>
                <c:pt idx="1">
                  <c:v>Heavy Rain</c:v>
                </c:pt>
                <c:pt idx="2">
                  <c:v>Light Rain</c:v>
                </c:pt>
                <c:pt idx="3">
                  <c:v>Thunderstorm</c:v>
                </c:pt>
              </c:strCache>
            </c:strRef>
          </c:cat>
          <c:val>
            <c:numRef>
              <c:f>'Pivot Tables'!$Q$3:$Q$7</c:f>
              <c:numCache>
                <c:formatCode>General</c:formatCode>
                <c:ptCount val="4"/>
                <c:pt idx="0">
                  <c:v>3211</c:v>
                </c:pt>
                <c:pt idx="1">
                  <c:v>171</c:v>
                </c:pt>
                <c:pt idx="2">
                  <c:v>1538</c:v>
                </c:pt>
                <c:pt idx="3">
                  <c:v>1</c:v>
                </c:pt>
              </c:numCache>
            </c:numRef>
          </c:val>
          <c:extLst>
            <c:ext xmlns:c16="http://schemas.microsoft.com/office/drawing/2014/chart" uri="{C3380CC4-5D6E-409C-BE32-E72D297353CC}">
              <c16:uniqueId val="{00000004-E278-4E14-872B-93C867CE2B24}"/>
            </c:ext>
          </c:extLst>
        </c:ser>
        <c:dLbls>
          <c:showLegendKey val="0"/>
          <c:showVal val="0"/>
          <c:showCatName val="0"/>
          <c:showSerName val="0"/>
          <c:showPercent val="0"/>
          <c:showBubbleSize val="0"/>
        </c:dLbls>
        <c:axId val="1238662048"/>
        <c:axId val="1238678848"/>
      </c:areaChart>
      <c:catAx>
        <c:axId val="1238662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78848"/>
        <c:crosses val="autoZero"/>
        <c:auto val="1"/>
        <c:lblAlgn val="ctr"/>
        <c:lblOffset val="100"/>
        <c:noMultiLvlLbl val="0"/>
      </c:catAx>
      <c:valAx>
        <c:axId val="12386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620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Tables!PivotTable8</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sz="1400" b="1" u="sng"/>
              <a:t>Demand by Temperature</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Tables'!$L$4</c:f>
              <c:strCache>
                <c:ptCount val="1"/>
                <c:pt idx="0">
                  <c:v>Total</c:v>
                </c:pt>
              </c:strCache>
            </c:strRef>
          </c:tx>
          <c:spPr>
            <a:solidFill>
              <a:schemeClr val="accent1"/>
            </a:solidFill>
            <a:ln>
              <a:noFill/>
            </a:ln>
            <a:effectLst/>
          </c:spPr>
          <c:invertIfNegative val="0"/>
          <c:cat>
            <c:strRef>
              <c:f>'Pivot Tables'!$K$5:$K$28</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Tables'!$L$5:$L$28</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5-9D6A-45D7-93C4-503BE384FB30}"/>
            </c:ext>
          </c:extLst>
        </c:ser>
        <c:dLbls>
          <c:showLegendKey val="0"/>
          <c:showVal val="0"/>
          <c:showCatName val="0"/>
          <c:showSerName val="0"/>
          <c:showPercent val="0"/>
          <c:showBubbleSize val="0"/>
        </c:dLbls>
        <c:gapWidth val="219"/>
        <c:overlap val="-27"/>
        <c:axId val="914851216"/>
        <c:axId val="914851696"/>
      </c:barChart>
      <c:catAx>
        <c:axId val="91485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51696"/>
        <c:crosses val="autoZero"/>
        <c:auto val="1"/>
        <c:lblAlgn val="ctr"/>
        <c:lblOffset val="100"/>
        <c:noMultiLvlLbl val="0"/>
      </c:catAx>
      <c:valAx>
        <c:axId val="91485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5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6999125109361"/>
          <c:y val="0.15638670166229221"/>
          <c:w val="0.50343000874890642"/>
          <c:h val="0.62961067366579182"/>
        </c:manualLayout>
      </c:layout>
      <c:barChart>
        <c:barDir val="col"/>
        <c:grouping val="clustered"/>
        <c:varyColors val="0"/>
        <c:ser>
          <c:idx val="0"/>
          <c:order val="0"/>
          <c:tx>
            <c:v>Average of Total_count</c:v>
          </c:tx>
          <c:spPr>
            <a:solidFill>
              <a:schemeClr val="accent1"/>
            </a:solidFill>
            <a:ln>
              <a:noFill/>
            </a:ln>
            <a:effectLst/>
          </c:spPr>
          <c:invertIfNegative val="0"/>
          <c:cat>
            <c:strLit>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Lit>
          </c:cat>
          <c:val>
            <c:numLit>
              <c:formatCode>General</c:formatCode>
              <c:ptCount val="64"/>
              <c:pt idx="0">
                <c:v>73.5</c:v>
              </c:pt>
              <c:pt idx="1">
                <c:v>211</c:v>
              </c:pt>
              <c:pt idx="2">
                <c:v>56</c:v>
              </c:pt>
              <c:pt idx="3">
                <c:v>88.5</c:v>
              </c:pt>
              <c:pt idx="4">
                <c:v>68.666666666666671</c:v>
              </c:pt>
              <c:pt idx="5">
                <c:v>109.875</c:v>
              </c:pt>
              <c:pt idx="6">
                <c:v>122.2</c:v>
              </c:pt>
              <c:pt idx="7">
                <c:v>99.181818181818187</c:v>
              </c:pt>
              <c:pt idx="8">
                <c:v>118</c:v>
              </c:pt>
              <c:pt idx="9">
                <c:v>113.66666666666667</c:v>
              </c:pt>
              <c:pt idx="10">
                <c:v>59.555555555555557</c:v>
              </c:pt>
              <c:pt idx="11">
                <c:v>93.142857142857139</c:v>
              </c:pt>
              <c:pt idx="12">
                <c:v>67</c:v>
              </c:pt>
              <c:pt idx="13">
                <c:v>51.53846153846154</c:v>
              </c:pt>
              <c:pt idx="14">
                <c:v>74.80952380952381</c:v>
              </c:pt>
              <c:pt idx="15">
                <c:v>78.84210526315789</c:v>
              </c:pt>
              <c:pt idx="16">
                <c:v>72.266666666666666</c:v>
              </c:pt>
              <c:pt idx="17">
                <c:v>82.5</c:v>
              </c:pt>
              <c:pt idx="18">
                <c:v>55.1</c:v>
              </c:pt>
              <c:pt idx="19">
                <c:v>76.733333333333334</c:v>
              </c:pt>
              <c:pt idx="20">
                <c:v>40.450000000000003</c:v>
              </c:pt>
              <c:pt idx="21">
                <c:v>36</c:v>
              </c:pt>
              <c:pt idx="22">
                <c:v>63</c:v>
              </c:pt>
              <c:pt idx="23">
                <c:v>66.25</c:v>
              </c:pt>
              <c:pt idx="24">
                <c:v>69.891304347826093</c:v>
              </c:pt>
              <c:pt idx="25">
                <c:v>71.13333333333334</c:v>
              </c:pt>
              <c:pt idx="26">
                <c:v>97.0625</c:v>
              </c:pt>
              <c:pt idx="27">
                <c:v>57.5</c:v>
              </c:pt>
              <c:pt idx="28">
                <c:v>80.888888888888886</c:v>
              </c:pt>
              <c:pt idx="29">
                <c:v>84.875</c:v>
              </c:pt>
              <c:pt idx="30">
                <c:v>33.833333333333336</c:v>
              </c:pt>
              <c:pt idx="31">
                <c:v>27.5</c:v>
              </c:pt>
              <c:pt idx="32">
                <c:v>50.524999999999999</c:v>
              </c:pt>
              <c:pt idx="33">
                <c:v>68.239999999999995</c:v>
              </c:pt>
              <c:pt idx="34">
                <c:v>62.18181818181818</c:v>
              </c:pt>
              <c:pt idx="35">
                <c:v>60.333333333333336</c:v>
              </c:pt>
              <c:pt idx="36">
                <c:v>55.826086956521742</c:v>
              </c:pt>
              <c:pt idx="37">
                <c:v>49.65</c:v>
              </c:pt>
              <c:pt idx="38">
                <c:v>87.5</c:v>
              </c:pt>
              <c:pt idx="39">
                <c:v>37.200000000000003</c:v>
              </c:pt>
              <c:pt idx="40">
                <c:v>15.166666666666666</c:v>
              </c:pt>
              <c:pt idx="41">
                <c:v>31.34375</c:v>
              </c:pt>
              <c:pt idx="42">
                <c:v>48.434782608695649</c:v>
              </c:pt>
              <c:pt idx="43">
                <c:v>114.33333333333333</c:v>
              </c:pt>
              <c:pt idx="44">
                <c:v>62</c:v>
              </c:pt>
              <c:pt idx="45">
                <c:v>37.405405405405403</c:v>
              </c:pt>
              <c:pt idx="46">
                <c:v>59.928571428571431</c:v>
              </c:pt>
              <c:pt idx="47">
                <c:v>64.25</c:v>
              </c:pt>
              <c:pt idx="48">
                <c:v>100</c:v>
              </c:pt>
              <c:pt idx="49">
                <c:v>74</c:v>
              </c:pt>
              <c:pt idx="50">
                <c:v>60.869565217391305</c:v>
              </c:pt>
              <c:pt idx="51">
                <c:v>41.090909090909093</c:v>
              </c:pt>
              <c:pt idx="52">
                <c:v>34.333333333333336</c:v>
              </c:pt>
              <c:pt idx="53">
                <c:v>65.333333333333329</c:v>
              </c:pt>
              <c:pt idx="54">
                <c:v>39.058823529411768</c:v>
              </c:pt>
              <c:pt idx="55">
                <c:v>60.9</c:v>
              </c:pt>
              <c:pt idx="56">
                <c:v>87</c:v>
              </c:pt>
              <c:pt idx="57">
                <c:v>38.5</c:v>
              </c:pt>
              <c:pt idx="58">
                <c:v>44.9375</c:v>
              </c:pt>
              <c:pt idx="59">
                <c:v>32</c:v>
              </c:pt>
              <c:pt idx="60">
                <c:v>90</c:v>
              </c:pt>
              <c:pt idx="61">
                <c:v>37.799999999999997</c:v>
              </c:pt>
              <c:pt idx="62">
                <c:v>13.5</c:v>
              </c:pt>
              <c:pt idx="63">
                <c:v>54.25</c:v>
              </c:pt>
            </c:numLit>
          </c:val>
          <c:extLst>
            <c:ext xmlns:c16="http://schemas.microsoft.com/office/drawing/2014/chart" uri="{C3380CC4-5D6E-409C-BE32-E72D297353CC}">
              <c16:uniqueId val="{00000000-F9C9-42BE-A5DA-D60256740887}"/>
            </c:ext>
          </c:extLst>
        </c:ser>
        <c:ser>
          <c:idx val="1"/>
          <c:order val="1"/>
          <c:tx>
            <c:v>Average of Casual_customers</c:v>
          </c:tx>
          <c:spPr>
            <a:solidFill>
              <a:schemeClr val="accent2"/>
            </a:solidFill>
            <a:ln>
              <a:noFill/>
            </a:ln>
            <a:effectLst/>
          </c:spPr>
          <c:invertIfNegative val="0"/>
          <c:cat>
            <c:strLit>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Lit>
          </c:cat>
          <c:val>
            <c:numLit>
              <c:formatCode>General</c:formatCode>
              <c:ptCount val="64"/>
              <c:pt idx="0">
                <c:v>10</c:v>
              </c:pt>
              <c:pt idx="1">
                <c:v>18</c:v>
              </c:pt>
              <c:pt idx="2">
                <c:v>3</c:v>
              </c:pt>
              <c:pt idx="3">
                <c:v>6.833333333333333</c:v>
              </c:pt>
              <c:pt idx="4">
                <c:v>7</c:v>
              </c:pt>
              <c:pt idx="5">
                <c:v>12.875</c:v>
              </c:pt>
              <c:pt idx="6">
                <c:v>32.4</c:v>
              </c:pt>
              <c:pt idx="7">
                <c:v>14.181818181818182</c:v>
              </c:pt>
              <c:pt idx="8">
                <c:v>19.333333333333332</c:v>
              </c:pt>
              <c:pt idx="9">
                <c:v>12.888888888888889</c:v>
              </c:pt>
              <c:pt idx="10">
                <c:v>6.5555555555555554</c:v>
              </c:pt>
              <c:pt idx="11">
                <c:v>10</c:v>
              </c:pt>
              <c:pt idx="12">
                <c:v>9.1764705882352935</c:v>
              </c:pt>
              <c:pt idx="13">
                <c:v>8.6923076923076916</c:v>
              </c:pt>
              <c:pt idx="14">
                <c:v>7.4761904761904763</c:v>
              </c:pt>
              <c:pt idx="15">
                <c:v>7.6842105263157894</c:v>
              </c:pt>
              <c:pt idx="16">
                <c:v>10.533333333333333</c:v>
              </c:pt>
              <c:pt idx="17">
                <c:v>4.166666666666667</c:v>
              </c:pt>
              <c:pt idx="18">
                <c:v>4.7</c:v>
              </c:pt>
              <c:pt idx="19">
                <c:v>5.333333333333333</c:v>
              </c:pt>
              <c:pt idx="20">
                <c:v>3.75</c:v>
              </c:pt>
              <c:pt idx="21">
                <c:v>3.6190476190476191</c:v>
              </c:pt>
              <c:pt idx="22">
                <c:v>6.333333333333333</c:v>
              </c:pt>
              <c:pt idx="23">
                <c:v>12.5</c:v>
              </c:pt>
              <c:pt idx="24">
                <c:v>4.1739130434782608</c:v>
              </c:pt>
              <c:pt idx="25">
                <c:v>3.8666666666666667</c:v>
              </c:pt>
              <c:pt idx="26">
                <c:v>8.75</c:v>
              </c:pt>
              <c:pt idx="27">
                <c:v>1.6764705882352942</c:v>
              </c:pt>
              <c:pt idx="28">
                <c:v>4.7777777777777777</c:v>
              </c:pt>
              <c:pt idx="29">
                <c:v>8.5</c:v>
              </c:pt>
              <c:pt idx="30">
                <c:v>1.3333333333333333</c:v>
              </c:pt>
              <c:pt idx="31">
                <c:v>1.125</c:v>
              </c:pt>
              <c:pt idx="32">
                <c:v>2.25</c:v>
              </c:pt>
              <c:pt idx="33">
                <c:v>6.68</c:v>
              </c:pt>
              <c:pt idx="34">
                <c:v>5.1818181818181817</c:v>
              </c:pt>
              <c:pt idx="35">
                <c:v>6</c:v>
              </c:pt>
              <c:pt idx="36">
                <c:v>1.9782608695652173</c:v>
              </c:pt>
              <c:pt idx="37">
                <c:v>4.25</c:v>
              </c:pt>
              <c:pt idx="38">
                <c:v>7.5</c:v>
              </c:pt>
              <c:pt idx="39">
                <c:v>4.8</c:v>
              </c:pt>
              <c:pt idx="40">
                <c:v>1</c:v>
              </c:pt>
              <c:pt idx="41">
                <c:v>2.03125</c:v>
              </c:pt>
              <c:pt idx="42">
                <c:v>4.0434782608695654</c:v>
              </c:pt>
              <c:pt idx="43">
                <c:v>12</c:v>
              </c:pt>
              <c:pt idx="44">
                <c:v>1</c:v>
              </c:pt>
              <c:pt idx="45">
                <c:v>3.1351351351351351</c:v>
              </c:pt>
              <c:pt idx="46">
                <c:v>2.7142857142857144</c:v>
              </c:pt>
              <c:pt idx="47">
                <c:v>8.25</c:v>
              </c:pt>
              <c:pt idx="48">
                <c:v>41</c:v>
              </c:pt>
              <c:pt idx="49">
                <c:v>1</c:v>
              </c:pt>
              <c:pt idx="50">
                <c:v>1.6086956521739131</c:v>
              </c:pt>
              <c:pt idx="51">
                <c:v>2.4090909090909092</c:v>
              </c:pt>
              <c:pt idx="52">
                <c:v>5.833333333333333</c:v>
              </c:pt>
              <c:pt idx="53">
                <c:v>23</c:v>
              </c:pt>
              <c:pt idx="54">
                <c:v>2.7352941176470589</c:v>
              </c:pt>
              <c:pt idx="55">
                <c:v>7.5</c:v>
              </c:pt>
              <c:pt idx="56">
                <c:v>14.75</c:v>
              </c:pt>
              <c:pt idx="57">
                <c:v>1.2941176470588236</c:v>
              </c:pt>
              <c:pt idx="58">
                <c:v>2.8125</c:v>
              </c:pt>
              <c:pt idx="59">
                <c:v>8.5</c:v>
              </c:pt>
              <c:pt idx="60">
                <c:v>1</c:v>
              </c:pt>
              <c:pt idx="61">
                <c:v>1.2153846153846153</c:v>
              </c:pt>
              <c:pt idx="62">
                <c:v>4</c:v>
              </c:pt>
              <c:pt idx="63">
                <c:v>4.875</c:v>
              </c:pt>
            </c:numLit>
          </c:val>
          <c:extLst>
            <c:ext xmlns:c16="http://schemas.microsoft.com/office/drawing/2014/chart" uri="{C3380CC4-5D6E-409C-BE32-E72D297353CC}">
              <c16:uniqueId val="{00000001-F9C9-42BE-A5DA-D60256740887}"/>
            </c:ext>
          </c:extLst>
        </c:ser>
        <c:dLbls>
          <c:showLegendKey val="0"/>
          <c:showVal val="0"/>
          <c:showCatName val="0"/>
          <c:showSerName val="0"/>
          <c:showPercent val="0"/>
          <c:showBubbleSize val="0"/>
        </c:dLbls>
        <c:gapWidth val="219"/>
        <c:overlap val="-27"/>
        <c:axId val="696526719"/>
        <c:axId val="696528159"/>
      </c:barChart>
      <c:lineChart>
        <c:grouping val="standard"/>
        <c:varyColors val="0"/>
        <c:ser>
          <c:idx val="2"/>
          <c:order val="2"/>
          <c:tx>
            <c:v>Average of Registered_customers</c:v>
          </c:tx>
          <c:spPr>
            <a:ln w="28575" cap="rnd">
              <a:solidFill>
                <a:schemeClr val="accent3"/>
              </a:solidFill>
              <a:round/>
            </a:ln>
            <a:effectLst/>
          </c:spPr>
          <c:marker>
            <c:symbol val="none"/>
          </c:marker>
          <c:cat>
            <c:strLit>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Lit>
          </c:cat>
          <c:val>
            <c:numLit>
              <c:formatCode>General</c:formatCode>
              <c:ptCount val="64"/>
              <c:pt idx="0">
                <c:v>63.5</c:v>
              </c:pt>
              <c:pt idx="1">
                <c:v>193</c:v>
              </c:pt>
              <c:pt idx="2">
                <c:v>53</c:v>
              </c:pt>
              <c:pt idx="3">
                <c:v>81.666666666666671</c:v>
              </c:pt>
              <c:pt idx="4">
                <c:v>61.666666666666664</c:v>
              </c:pt>
              <c:pt idx="5">
                <c:v>97</c:v>
              </c:pt>
              <c:pt idx="6">
                <c:v>89.8</c:v>
              </c:pt>
              <c:pt idx="7">
                <c:v>85</c:v>
              </c:pt>
              <c:pt idx="8">
                <c:v>98.666666666666671</c:v>
              </c:pt>
              <c:pt idx="9">
                <c:v>100.77777777777777</c:v>
              </c:pt>
              <c:pt idx="10">
                <c:v>53</c:v>
              </c:pt>
              <c:pt idx="11">
                <c:v>83.142857142857139</c:v>
              </c:pt>
              <c:pt idx="12">
                <c:v>57.823529411764703</c:v>
              </c:pt>
              <c:pt idx="13">
                <c:v>42.846153846153847</c:v>
              </c:pt>
              <c:pt idx="14">
                <c:v>67.333333333333329</c:v>
              </c:pt>
              <c:pt idx="15">
                <c:v>71.15789473684211</c:v>
              </c:pt>
              <c:pt idx="16">
                <c:v>61.733333333333334</c:v>
              </c:pt>
              <c:pt idx="17">
                <c:v>78.333333333333329</c:v>
              </c:pt>
              <c:pt idx="18">
                <c:v>50.4</c:v>
              </c:pt>
              <c:pt idx="19">
                <c:v>71.400000000000006</c:v>
              </c:pt>
              <c:pt idx="20">
                <c:v>36.700000000000003</c:v>
              </c:pt>
              <c:pt idx="21">
                <c:v>32.38095238095238</c:v>
              </c:pt>
              <c:pt idx="22">
                <c:v>56.666666666666664</c:v>
              </c:pt>
              <c:pt idx="23">
                <c:v>53.75</c:v>
              </c:pt>
              <c:pt idx="24">
                <c:v>65.717391304347828</c:v>
              </c:pt>
              <c:pt idx="25">
                <c:v>67.266666666666666</c:v>
              </c:pt>
              <c:pt idx="26">
                <c:v>88.3125</c:v>
              </c:pt>
              <c:pt idx="27">
                <c:v>55.823529411764703</c:v>
              </c:pt>
              <c:pt idx="28">
                <c:v>76.111111111111114</c:v>
              </c:pt>
              <c:pt idx="29">
                <c:v>76.375</c:v>
              </c:pt>
              <c:pt idx="30">
                <c:v>32.5</c:v>
              </c:pt>
              <c:pt idx="31">
                <c:v>26.375</c:v>
              </c:pt>
              <c:pt idx="32">
                <c:v>48.274999999999999</c:v>
              </c:pt>
              <c:pt idx="33">
                <c:v>61.56</c:v>
              </c:pt>
              <c:pt idx="34">
                <c:v>57</c:v>
              </c:pt>
              <c:pt idx="35">
                <c:v>54.333333333333336</c:v>
              </c:pt>
              <c:pt idx="36">
                <c:v>53.847826086956523</c:v>
              </c:pt>
              <c:pt idx="37">
                <c:v>45.4</c:v>
              </c:pt>
              <c:pt idx="38">
                <c:v>80</c:v>
              </c:pt>
              <c:pt idx="39">
                <c:v>32.4</c:v>
              </c:pt>
              <c:pt idx="40">
                <c:v>14.166666666666666</c:v>
              </c:pt>
              <c:pt idx="41">
                <c:v>29.3125</c:v>
              </c:pt>
              <c:pt idx="42">
                <c:v>44.391304347826086</c:v>
              </c:pt>
              <c:pt idx="43">
                <c:v>102.33333333333333</c:v>
              </c:pt>
              <c:pt idx="44">
                <c:v>61</c:v>
              </c:pt>
              <c:pt idx="45">
                <c:v>34.270270270270274</c:v>
              </c:pt>
              <c:pt idx="46">
                <c:v>57.214285714285715</c:v>
              </c:pt>
              <c:pt idx="47">
                <c:v>56</c:v>
              </c:pt>
              <c:pt idx="48">
                <c:v>59</c:v>
              </c:pt>
              <c:pt idx="49">
                <c:v>73</c:v>
              </c:pt>
              <c:pt idx="50">
                <c:v>59.260869565217391</c:v>
              </c:pt>
              <c:pt idx="51">
                <c:v>38.68181818181818</c:v>
              </c:pt>
              <c:pt idx="52">
                <c:v>28.5</c:v>
              </c:pt>
              <c:pt idx="53">
                <c:v>42.333333333333336</c:v>
              </c:pt>
              <c:pt idx="54">
                <c:v>36.323529411764703</c:v>
              </c:pt>
              <c:pt idx="55">
                <c:v>53.4</c:v>
              </c:pt>
              <c:pt idx="56">
                <c:v>72.25</c:v>
              </c:pt>
              <c:pt idx="57">
                <c:v>37.205882352941174</c:v>
              </c:pt>
              <c:pt idx="58">
                <c:v>42.125</c:v>
              </c:pt>
              <c:pt idx="59">
                <c:v>23.5</c:v>
              </c:pt>
              <c:pt idx="60">
                <c:v>89</c:v>
              </c:pt>
              <c:pt idx="61">
                <c:v>36.584615384615383</c:v>
              </c:pt>
              <c:pt idx="62">
                <c:v>9.5</c:v>
              </c:pt>
              <c:pt idx="63">
                <c:v>49.375</c:v>
              </c:pt>
            </c:numLit>
          </c:val>
          <c:smooth val="0"/>
          <c:extLst>
            <c:ext xmlns:c16="http://schemas.microsoft.com/office/drawing/2014/chart" uri="{C3380CC4-5D6E-409C-BE32-E72D297353CC}">
              <c16:uniqueId val="{00000002-F9C9-42BE-A5DA-D60256740887}"/>
            </c:ext>
          </c:extLst>
        </c:ser>
        <c:dLbls>
          <c:showLegendKey val="0"/>
          <c:showVal val="0"/>
          <c:showCatName val="0"/>
          <c:showSerName val="0"/>
          <c:showPercent val="0"/>
          <c:showBubbleSize val="0"/>
        </c:dLbls>
        <c:marker val="1"/>
        <c:smooth val="0"/>
        <c:axId val="696526719"/>
        <c:axId val="696528159"/>
      </c:lineChart>
      <c:catAx>
        <c:axId val="69652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528159"/>
        <c:crosses val="autoZero"/>
        <c:auto val="1"/>
        <c:lblAlgn val="ctr"/>
        <c:lblOffset val="100"/>
        <c:noMultiLvlLbl val="0"/>
      </c:catAx>
      <c:valAx>
        <c:axId val="69652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52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accent1"/>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Tables'!$T$2</c:f>
              <c:strCache>
                <c:ptCount val="1"/>
                <c:pt idx="0">
                  <c:v>Sum of Total_count</c:v>
                </c:pt>
              </c:strCache>
            </c:strRef>
          </c:tx>
          <c:dPt>
            <c:idx val="0"/>
            <c:bubble3D val="0"/>
            <c:spPr>
              <a:solidFill>
                <a:schemeClr val="accent1"/>
              </a:solidFill>
              <a:ln>
                <a:noFill/>
              </a:ln>
              <a:effectLst/>
              <a:sp3d/>
            </c:spPr>
            <c:extLst>
              <c:ext xmlns:c16="http://schemas.microsoft.com/office/drawing/2014/chart" uri="{C3380CC4-5D6E-409C-BE32-E72D297353CC}">
                <c16:uniqueId val="{00000001-43B5-4410-94F2-121685BFABED}"/>
              </c:ext>
            </c:extLst>
          </c:dPt>
          <c:dPt>
            <c:idx val="1"/>
            <c:bubble3D val="0"/>
            <c:spPr>
              <a:solidFill>
                <a:schemeClr val="accent2"/>
              </a:solidFill>
              <a:ln>
                <a:noFill/>
              </a:ln>
              <a:effectLst/>
              <a:sp3d/>
            </c:spPr>
            <c:extLst>
              <c:ext xmlns:c16="http://schemas.microsoft.com/office/drawing/2014/chart" uri="{C3380CC4-5D6E-409C-BE32-E72D297353CC}">
                <c16:uniqueId val="{00000003-43B5-4410-94F2-121685BFABED}"/>
              </c:ext>
            </c:extLst>
          </c:dPt>
          <c:dPt>
            <c:idx val="2"/>
            <c:bubble3D val="0"/>
            <c:spPr>
              <a:solidFill>
                <a:schemeClr val="accent3"/>
              </a:solidFill>
              <a:ln>
                <a:noFill/>
              </a:ln>
              <a:effectLst/>
              <a:sp3d/>
            </c:spPr>
            <c:extLst>
              <c:ext xmlns:c16="http://schemas.microsoft.com/office/drawing/2014/chart" uri="{C3380CC4-5D6E-409C-BE32-E72D297353CC}">
                <c16:uniqueId val="{00000005-43B5-4410-94F2-121685BFABED}"/>
              </c:ext>
            </c:extLst>
          </c:dPt>
          <c:dPt>
            <c:idx val="3"/>
            <c:bubble3D val="0"/>
            <c:spPr>
              <a:solidFill>
                <a:schemeClr val="accent4"/>
              </a:solidFill>
              <a:ln>
                <a:noFill/>
              </a:ln>
              <a:effectLst/>
              <a:sp3d/>
            </c:spPr>
            <c:extLst>
              <c:ext xmlns:c16="http://schemas.microsoft.com/office/drawing/2014/chart" uri="{C3380CC4-5D6E-409C-BE32-E72D297353CC}">
                <c16:uniqueId val="{00000007-43B5-4410-94F2-121685BFABED}"/>
              </c:ext>
            </c:extLst>
          </c:dPt>
          <c:dPt>
            <c:idx val="4"/>
            <c:bubble3D val="0"/>
            <c:spPr>
              <a:solidFill>
                <a:schemeClr val="accent5"/>
              </a:solidFill>
              <a:ln>
                <a:noFill/>
              </a:ln>
              <a:effectLst/>
              <a:sp3d/>
            </c:spPr>
            <c:extLst>
              <c:ext xmlns:c16="http://schemas.microsoft.com/office/drawing/2014/chart" uri="{C3380CC4-5D6E-409C-BE32-E72D297353CC}">
                <c16:uniqueId val="{00000009-43B5-4410-94F2-121685BFABED}"/>
              </c:ext>
            </c:extLst>
          </c:dPt>
          <c:dPt>
            <c:idx val="5"/>
            <c:bubble3D val="0"/>
            <c:spPr>
              <a:solidFill>
                <a:schemeClr val="accent6"/>
              </a:solidFill>
              <a:ln>
                <a:noFill/>
              </a:ln>
              <a:effectLst/>
              <a:sp3d/>
            </c:spPr>
            <c:extLst>
              <c:ext xmlns:c16="http://schemas.microsoft.com/office/drawing/2014/chart" uri="{C3380CC4-5D6E-409C-BE32-E72D297353CC}">
                <c16:uniqueId val="{0000000B-43B5-4410-94F2-121685BFABED}"/>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43B5-4410-94F2-121685BFABED}"/>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43B5-4410-94F2-121685BFABED}"/>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43B5-4410-94F2-121685BFABED}"/>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43B5-4410-94F2-121685BFABED}"/>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43B5-4410-94F2-121685BFABED}"/>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43B5-4410-94F2-121685BFABED}"/>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43B5-4410-94F2-121685BFABED}"/>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43B5-4410-94F2-121685BFABED}"/>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43B5-4410-94F2-121685BFABED}"/>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1F-43B5-4410-94F2-121685BFABED}"/>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21-43B5-4410-94F2-121685BFABED}"/>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23-43B5-4410-94F2-121685BFABED}"/>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25-43B5-4410-94F2-121685BFABED}"/>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27-43B5-4410-94F2-121685BFABED}"/>
              </c:ext>
            </c:extLst>
          </c:dPt>
          <c:cat>
            <c:strRef>
              <c:f>'Pivot Tables'!$S$3:$S$23</c:f>
              <c:strCache>
                <c:ptCount val="20"/>
                <c:pt idx="0">
                  <c:v>0</c:v>
                </c:pt>
                <c:pt idx="1">
                  <c:v>0.09</c:v>
                </c:pt>
                <c:pt idx="2">
                  <c:v>0.1</c:v>
                </c:pt>
                <c:pt idx="3">
                  <c:v>0.13</c:v>
                </c:pt>
                <c:pt idx="4">
                  <c:v>0.16</c:v>
                </c:pt>
                <c:pt idx="5">
                  <c:v>0.19</c:v>
                </c:pt>
                <c:pt idx="6">
                  <c:v>0.22</c:v>
                </c:pt>
                <c:pt idx="7">
                  <c:v>0.25</c:v>
                </c:pt>
                <c:pt idx="8">
                  <c:v>0.28</c:v>
                </c:pt>
                <c:pt idx="9">
                  <c:v>0.3</c:v>
                </c:pt>
                <c:pt idx="10">
                  <c:v>0.33</c:v>
                </c:pt>
                <c:pt idx="11">
                  <c:v>0.36</c:v>
                </c:pt>
                <c:pt idx="12">
                  <c:v>0.39</c:v>
                </c:pt>
                <c:pt idx="13">
                  <c:v>0.42</c:v>
                </c:pt>
                <c:pt idx="14">
                  <c:v>0.45</c:v>
                </c:pt>
                <c:pt idx="15">
                  <c:v>0.46</c:v>
                </c:pt>
                <c:pt idx="16">
                  <c:v>0.49</c:v>
                </c:pt>
                <c:pt idx="17">
                  <c:v>0.52</c:v>
                </c:pt>
                <c:pt idx="18">
                  <c:v>0.55</c:v>
                </c:pt>
                <c:pt idx="19">
                  <c:v>0.58</c:v>
                </c:pt>
              </c:strCache>
            </c:strRef>
          </c:cat>
          <c:val>
            <c:numRef>
              <c:f>'Pivot Tables'!$T$3:$T$23</c:f>
              <c:numCache>
                <c:formatCode>0.00</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extLst>
            <c:ext xmlns:c16="http://schemas.microsoft.com/office/drawing/2014/chart" uri="{C3380CC4-5D6E-409C-BE32-E72D297353CC}">
              <c16:uniqueId val="{00000000-6864-4EA2-A666-7A92ACD089A5}"/>
            </c:ext>
          </c:extLst>
        </c:ser>
        <c:ser>
          <c:idx val="1"/>
          <c:order val="1"/>
          <c:tx>
            <c:strRef>
              <c:f>'Pivot Tables'!$U$2</c:f>
              <c:strCache>
                <c:ptCount val="1"/>
                <c:pt idx="0">
                  <c:v>Sum of Casual_customers</c:v>
                </c:pt>
              </c:strCache>
            </c:strRef>
          </c:tx>
          <c:dPt>
            <c:idx val="0"/>
            <c:bubble3D val="0"/>
            <c:spPr>
              <a:solidFill>
                <a:schemeClr val="accent1"/>
              </a:solidFill>
              <a:ln>
                <a:noFill/>
              </a:ln>
              <a:effectLst/>
              <a:sp3d/>
            </c:spPr>
            <c:extLst>
              <c:ext xmlns:c16="http://schemas.microsoft.com/office/drawing/2014/chart" uri="{C3380CC4-5D6E-409C-BE32-E72D297353CC}">
                <c16:uniqueId val="{00000029-43B5-4410-94F2-121685BFABED}"/>
              </c:ext>
            </c:extLst>
          </c:dPt>
          <c:dPt>
            <c:idx val="1"/>
            <c:bubble3D val="0"/>
            <c:spPr>
              <a:solidFill>
                <a:schemeClr val="accent2"/>
              </a:solidFill>
              <a:ln>
                <a:noFill/>
              </a:ln>
              <a:effectLst/>
              <a:sp3d/>
            </c:spPr>
            <c:extLst>
              <c:ext xmlns:c16="http://schemas.microsoft.com/office/drawing/2014/chart" uri="{C3380CC4-5D6E-409C-BE32-E72D297353CC}">
                <c16:uniqueId val="{0000002B-43B5-4410-94F2-121685BFABED}"/>
              </c:ext>
            </c:extLst>
          </c:dPt>
          <c:dPt>
            <c:idx val="2"/>
            <c:bubble3D val="0"/>
            <c:spPr>
              <a:solidFill>
                <a:schemeClr val="accent3"/>
              </a:solidFill>
              <a:ln>
                <a:noFill/>
              </a:ln>
              <a:effectLst/>
              <a:sp3d/>
            </c:spPr>
            <c:extLst>
              <c:ext xmlns:c16="http://schemas.microsoft.com/office/drawing/2014/chart" uri="{C3380CC4-5D6E-409C-BE32-E72D297353CC}">
                <c16:uniqueId val="{0000002D-43B5-4410-94F2-121685BFABED}"/>
              </c:ext>
            </c:extLst>
          </c:dPt>
          <c:dPt>
            <c:idx val="3"/>
            <c:bubble3D val="0"/>
            <c:spPr>
              <a:solidFill>
                <a:schemeClr val="accent4"/>
              </a:solidFill>
              <a:ln>
                <a:noFill/>
              </a:ln>
              <a:effectLst/>
              <a:sp3d/>
            </c:spPr>
            <c:extLst>
              <c:ext xmlns:c16="http://schemas.microsoft.com/office/drawing/2014/chart" uri="{C3380CC4-5D6E-409C-BE32-E72D297353CC}">
                <c16:uniqueId val="{0000002F-43B5-4410-94F2-121685BFABED}"/>
              </c:ext>
            </c:extLst>
          </c:dPt>
          <c:dPt>
            <c:idx val="4"/>
            <c:bubble3D val="0"/>
            <c:spPr>
              <a:solidFill>
                <a:schemeClr val="accent5"/>
              </a:solidFill>
              <a:ln>
                <a:noFill/>
              </a:ln>
              <a:effectLst/>
              <a:sp3d/>
            </c:spPr>
            <c:extLst>
              <c:ext xmlns:c16="http://schemas.microsoft.com/office/drawing/2014/chart" uri="{C3380CC4-5D6E-409C-BE32-E72D297353CC}">
                <c16:uniqueId val="{00000031-43B5-4410-94F2-121685BFABED}"/>
              </c:ext>
            </c:extLst>
          </c:dPt>
          <c:dPt>
            <c:idx val="5"/>
            <c:bubble3D val="0"/>
            <c:spPr>
              <a:solidFill>
                <a:schemeClr val="accent6"/>
              </a:solidFill>
              <a:ln>
                <a:noFill/>
              </a:ln>
              <a:effectLst/>
              <a:sp3d/>
            </c:spPr>
            <c:extLst>
              <c:ext xmlns:c16="http://schemas.microsoft.com/office/drawing/2014/chart" uri="{C3380CC4-5D6E-409C-BE32-E72D297353CC}">
                <c16:uniqueId val="{00000033-43B5-4410-94F2-121685BFABED}"/>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35-43B5-4410-94F2-121685BFABED}"/>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37-43B5-4410-94F2-121685BFABED}"/>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39-43B5-4410-94F2-121685BFABED}"/>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3B-43B5-4410-94F2-121685BFABED}"/>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3D-43B5-4410-94F2-121685BFABED}"/>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3F-43B5-4410-94F2-121685BFABED}"/>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41-43B5-4410-94F2-121685BFABED}"/>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43-43B5-4410-94F2-121685BFABED}"/>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45-43B5-4410-94F2-121685BFABED}"/>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47-43B5-4410-94F2-121685BFABED}"/>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49-43B5-4410-94F2-121685BFABED}"/>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4B-43B5-4410-94F2-121685BFABED}"/>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4D-43B5-4410-94F2-121685BFABED}"/>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4F-43B5-4410-94F2-121685BFABED}"/>
              </c:ext>
            </c:extLst>
          </c:dPt>
          <c:cat>
            <c:strRef>
              <c:f>'Pivot Tables'!$S$3:$S$23</c:f>
              <c:strCache>
                <c:ptCount val="20"/>
                <c:pt idx="0">
                  <c:v>0</c:v>
                </c:pt>
                <c:pt idx="1">
                  <c:v>0.09</c:v>
                </c:pt>
                <c:pt idx="2">
                  <c:v>0.1</c:v>
                </c:pt>
                <c:pt idx="3">
                  <c:v>0.13</c:v>
                </c:pt>
                <c:pt idx="4">
                  <c:v>0.16</c:v>
                </c:pt>
                <c:pt idx="5">
                  <c:v>0.19</c:v>
                </c:pt>
                <c:pt idx="6">
                  <c:v>0.22</c:v>
                </c:pt>
                <c:pt idx="7">
                  <c:v>0.25</c:v>
                </c:pt>
                <c:pt idx="8">
                  <c:v>0.28</c:v>
                </c:pt>
                <c:pt idx="9">
                  <c:v>0.3</c:v>
                </c:pt>
                <c:pt idx="10">
                  <c:v>0.33</c:v>
                </c:pt>
                <c:pt idx="11">
                  <c:v>0.36</c:v>
                </c:pt>
                <c:pt idx="12">
                  <c:v>0.39</c:v>
                </c:pt>
                <c:pt idx="13">
                  <c:v>0.42</c:v>
                </c:pt>
                <c:pt idx="14">
                  <c:v>0.45</c:v>
                </c:pt>
                <c:pt idx="15">
                  <c:v>0.46</c:v>
                </c:pt>
                <c:pt idx="16">
                  <c:v>0.49</c:v>
                </c:pt>
                <c:pt idx="17">
                  <c:v>0.52</c:v>
                </c:pt>
                <c:pt idx="18">
                  <c:v>0.55</c:v>
                </c:pt>
                <c:pt idx="19">
                  <c:v>0.58</c:v>
                </c:pt>
              </c:strCache>
            </c:strRef>
          </c:cat>
          <c:val>
            <c:numRef>
              <c:f>'Pivot Tables'!$U$3:$U$23</c:f>
              <c:numCache>
                <c:formatCode>General</c:formatCode>
                <c:ptCount val="20"/>
                <c:pt idx="0">
                  <c:v>638</c:v>
                </c:pt>
                <c:pt idx="1">
                  <c:v>321</c:v>
                </c:pt>
                <c:pt idx="2">
                  <c:v>266</c:v>
                </c:pt>
                <c:pt idx="3">
                  <c:v>311</c:v>
                </c:pt>
                <c:pt idx="4">
                  <c:v>406</c:v>
                </c:pt>
                <c:pt idx="5">
                  <c:v>346</c:v>
                </c:pt>
                <c:pt idx="6">
                  <c:v>266</c:v>
                </c:pt>
                <c:pt idx="7">
                  <c:v>504</c:v>
                </c:pt>
                <c:pt idx="8">
                  <c:v>379</c:v>
                </c:pt>
                <c:pt idx="9">
                  <c:v>363</c:v>
                </c:pt>
                <c:pt idx="10">
                  <c:v>315</c:v>
                </c:pt>
                <c:pt idx="11">
                  <c:v>159</c:v>
                </c:pt>
                <c:pt idx="12">
                  <c:v>84</c:v>
                </c:pt>
                <c:pt idx="13">
                  <c:v>203</c:v>
                </c:pt>
                <c:pt idx="14">
                  <c:v>97</c:v>
                </c:pt>
                <c:pt idx="15">
                  <c:v>141</c:v>
                </c:pt>
                <c:pt idx="16">
                  <c:v>31</c:v>
                </c:pt>
                <c:pt idx="17">
                  <c:v>45</c:v>
                </c:pt>
                <c:pt idx="18">
                  <c:v>20</c:v>
                </c:pt>
                <c:pt idx="19">
                  <c:v>26</c:v>
                </c:pt>
              </c:numCache>
            </c:numRef>
          </c:val>
          <c:extLst>
            <c:ext xmlns:c16="http://schemas.microsoft.com/office/drawing/2014/chart" uri="{C3380CC4-5D6E-409C-BE32-E72D297353CC}">
              <c16:uniqueId val="{00000001-2E4F-43BB-A363-532C4117A1FF}"/>
            </c:ext>
          </c:extLst>
        </c:ser>
        <c:ser>
          <c:idx val="2"/>
          <c:order val="2"/>
          <c:tx>
            <c:strRef>
              <c:f>'Pivot Tables'!$V$2</c:f>
              <c:strCache>
                <c:ptCount val="1"/>
                <c:pt idx="0">
                  <c:v>Sum of Registered_customers</c:v>
                </c:pt>
              </c:strCache>
            </c:strRef>
          </c:tx>
          <c:dPt>
            <c:idx val="0"/>
            <c:bubble3D val="0"/>
            <c:spPr>
              <a:solidFill>
                <a:schemeClr val="accent1"/>
              </a:solidFill>
              <a:ln>
                <a:noFill/>
              </a:ln>
              <a:effectLst/>
              <a:sp3d/>
            </c:spPr>
            <c:extLst>
              <c:ext xmlns:c16="http://schemas.microsoft.com/office/drawing/2014/chart" uri="{C3380CC4-5D6E-409C-BE32-E72D297353CC}">
                <c16:uniqueId val="{00000051-43B5-4410-94F2-121685BFABED}"/>
              </c:ext>
            </c:extLst>
          </c:dPt>
          <c:dPt>
            <c:idx val="1"/>
            <c:bubble3D val="0"/>
            <c:spPr>
              <a:solidFill>
                <a:schemeClr val="accent2"/>
              </a:solidFill>
              <a:ln>
                <a:noFill/>
              </a:ln>
              <a:effectLst/>
              <a:sp3d/>
            </c:spPr>
            <c:extLst>
              <c:ext xmlns:c16="http://schemas.microsoft.com/office/drawing/2014/chart" uri="{C3380CC4-5D6E-409C-BE32-E72D297353CC}">
                <c16:uniqueId val="{00000053-43B5-4410-94F2-121685BFABED}"/>
              </c:ext>
            </c:extLst>
          </c:dPt>
          <c:dPt>
            <c:idx val="2"/>
            <c:bubble3D val="0"/>
            <c:spPr>
              <a:solidFill>
                <a:schemeClr val="accent3"/>
              </a:solidFill>
              <a:ln>
                <a:noFill/>
              </a:ln>
              <a:effectLst/>
              <a:sp3d/>
            </c:spPr>
            <c:extLst>
              <c:ext xmlns:c16="http://schemas.microsoft.com/office/drawing/2014/chart" uri="{C3380CC4-5D6E-409C-BE32-E72D297353CC}">
                <c16:uniqueId val="{00000055-43B5-4410-94F2-121685BFABED}"/>
              </c:ext>
            </c:extLst>
          </c:dPt>
          <c:dPt>
            <c:idx val="3"/>
            <c:bubble3D val="0"/>
            <c:spPr>
              <a:solidFill>
                <a:schemeClr val="accent4"/>
              </a:solidFill>
              <a:ln>
                <a:noFill/>
              </a:ln>
              <a:effectLst/>
              <a:sp3d/>
            </c:spPr>
            <c:extLst>
              <c:ext xmlns:c16="http://schemas.microsoft.com/office/drawing/2014/chart" uri="{C3380CC4-5D6E-409C-BE32-E72D297353CC}">
                <c16:uniqueId val="{00000057-43B5-4410-94F2-121685BFABED}"/>
              </c:ext>
            </c:extLst>
          </c:dPt>
          <c:dPt>
            <c:idx val="4"/>
            <c:bubble3D val="0"/>
            <c:spPr>
              <a:solidFill>
                <a:schemeClr val="accent5"/>
              </a:solidFill>
              <a:ln>
                <a:noFill/>
              </a:ln>
              <a:effectLst/>
              <a:sp3d/>
            </c:spPr>
            <c:extLst>
              <c:ext xmlns:c16="http://schemas.microsoft.com/office/drawing/2014/chart" uri="{C3380CC4-5D6E-409C-BE32-E72D297353CC}">
                <c16:uniqueId val="{00000059-43B5-4410-94F2-121685BFABED}"/>
              </c:ext>
            </c:extLst>
          </c:dPt>
          <c:dPt>
            <c:idx val="5"/>
            <c:bubble3D val="0"/>
            <c:spPr>
              <a:solidFill>
                <a:schemeClr val="accent6"/>
              </a:solidFill>
              <a:ln>
                <a:noFill/>
              </a:ln>
              <a:effectLst/>
              <a:sp3d/>
            </c:spPr>
            <c:extLst>
              <c:ext xmlns:c16="http://schemas.microsoft.com/office/drawing/2014/chart" uri="{C3380CC4-5D6E-409C-BE32-E72D297353CC}">
                <c16:uniqueId val="{0000005B-43B5-4410-94F2-121685BFABED}"/>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5D-43B5-4410-94F2-121685BFABED}"/>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5F-43B5-4410-94F2-121685BFABED}"/>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61-43B5-4410-94F2-121685BFABED}"/>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63-43B5-4410-94F2-121685BFABED}"/>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65-43B5-4410-94F2-121685BFABED}"/>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67-43B5-4410-94F2-121685BFABED}"/>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69-43B5-4410-94F2-121685BFABED}"/>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6B-43B5-4410-94F2-121685BFABED}"/>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6D-43B5-4410-94F2-121685BFABED}"/>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6F-43B5-4410-94F2-121685BFABED}"/>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71-43B5-4410-94F2-121685BFABED}"/>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73-43B5-4410-94F2-121685BFABED}"/>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75-43B5-4410-94F2-121685BFABED}"/>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77-43B5-4410-94F2-121685BFABED}"/>
              </c:ext>
            </c:extLst>
          </c:dPt>
          <c:cat>
            <c:strRef>
              <c:f>'Pivot Tables'!$S$3:$S$23</c:f>
              <c:strCache>
                <c:ptCount val="20"/>
                <c:pt idx="0">
                  <c:v>0</c:v>
                </c:pt>
                <c:pt idx="1">
                  <c:v>0.09</c:v>
                </c:pt>
                <c:pt idx="2">
                  <c:v>0.1</c:v>
                </c:pt>
                <c:pt idx="3">
                  <c:v>0.13</c:v>
                </c:pt>
                <c:pt idx="4">
                  <c:v>0.16</c:v>
                </c:pt>
                <c:pt idx="5">
                  <c:v>0.19</c:v>
                </c:pt>
                <c:pt idx="6">
                  <c:v>0.22</c:v>
                </c:pt>
                <c:pt idx="7">
                  <c:v>0.25</c:v>
                </c:pt>
                <c:pt idx="8">
                  <c:v>0.28</c:v>
                </c:pt>
                <c:pt idx="9">
                  <c:v>0.3</c:v>
                </c:pt>
                <c:pt idx="10">
                  <c:v>0.33</c:v>
                </c:pt>
                <c:pt idx="11">
                  <c:v>0.36</c:v>
                </c:pt>
                <c:pt idx="12">
                  <c:v>0.39</c:v>
                </c:pt>
                <c:pt idx="13">
                  <c:v>0.42</c:v>
                </c:pt>
                <c:pt idx="14">
                  <c:v>0.45</c:v>
                </c:pt>
                <c:pt idx="15">
                  <c:v>0.46</c:v>
                </c:pt>
                <c:pt idx="16">
                  <c:v>0.49</c:v>
                </c:pt>
                <c:pt idx="17">
                  <c:v>0.52</c:v>
                </c:pt>
                <c:pt idx="18">
                  <c:v>0.55</c:v>
                </c:pt>
                <c:pt idx="19">
                  <c:v>0.58</c:v>
                </c:pt>
              </c:strCache>
            </c:strRef>
          </c:cat>
          <c:val>
            <c:numRef>
              <c:f>'Pivot Tables'!$V$3:$V$23</c:f>
              <c:numCache>
                <c:formatCode>General</c:formatCode>
                <c:ptCount val="20"/>
                <c:pt idx="0">
                  <c:v>7207</c:v>
                </c:pt>
                <c:pt idx="1">
                  <c:v>3828</c:v>
                </c:pt>
                <c:pt idx="2">
                  <c:v>4084</c:v>
                </c:pt>
                <c:pt idx="3">
                  <c:v>4950</c:v>
                </c:pt>
                <c:pt idx="4">
                  <c:v>5203</c:v>
                </c:pt>
                <c:pt idx="5">
                  <c:v>4322</c:v>
                </c:pt>
                <c:pt idx="6">
                  <c:v>3280</c:v>
                </c:pt>
                <c:pt idx="7">
                  <c:v>3570</c:v>
                </c:pt>
                <c:pt idx="8">
                  <c:v>3137</c:v>
                </c:pt>
                <c:pt idx="9">
                  <c:v>2509</c:v>
                </c:pt>
                <c:pt idx="10">
                  <c:v>3293</c:v>
                </c:pt>
                <c:pt idx="11">
                  <c:v>1910</c:v>
                </c:pt>
                <c:pt idx="12">
                  <c:v>1166</c:v>
                </c:pt>
                <c:pt idx="13">
                  <c:v>1229</c:v>
                </c:pt>
                <c:pt idx="14">
                  <c:v>1010</c:v>
                </c:pt>
                <c:pt idx="15">
                  <c:v>740</c:v>
                </c:pt>
                <c:pt idx="16">
                  <c:v>598</c:v>
                </c:pt>
                <c:pt idx="17">
                  <c:v>637</c:v>
                </c:pt>
                <c:pt idx="18">
                  <c:v>354</c:v>
                </c:pt>
                <c:pt idx="19">
                  <c:v>356</c:v>
                </c:pt>
              </c:numCache>
            </c:numRef>
          </c:val>
          <c:extLst>
            <c:ext xmlns:c16="http://schemas.microsoft.com/office/drawing/2014/chart" uri="{C3380CC4-5D6E-409C-BE32-E72D297353CC}">
              <c16:uniqueId val="{00000002-2E4F-43BB-A363-532C4117A1F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pPr>
            <a:r>
              <a:rPr lang="en-IN" b="1" u="sng">
                <a:solidFill>
                  <a:schemeClr val="tx1"/>
                </a:solidFill>
              </a:rPr>
              <a:t>Bike Rental Demand by Time of Day</a:t>
            </a:r>
            <a:endParaRPr lang="en-GB" sz="1400" b="1" i="0" u="sng" strike="noStrike" baseline="0">
              <a:solidFill>
                <a:schemeClr val="tx1"/>
              </a:solidFill>
              <a:latin typeface="Arial"/>
              <a:cs typeface="Arial"/>
            </a:endParaRPr>
          </a:p>
        </cx:rich>
      </cx:tx>
    </cx:title>
    <cx:plotArea>
      <cx:plotAreaRegion>
        <cx:series layoutId="funnel" uniqueId="{92FBF5CE-2B00-49D6-BD7D-59DE28A6A9AD}">
          <cx:tx>
            <cx:txData>
              <cx:f>_xlchart.v2.1</cx:f>
              <cx:v>Sum of Total_count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IN"/>
              <a:t>Bike Rental Demand by Time of Day</a:t>
            </a:r>
            <a:endParaRPr lang="en-GB" sz="1400" b="0" i="0" u="none" strike="noStrike" baseline="0">
              <a:solidFill>
                <a:srgbClr val="000000">
                  <a:lumMod val="65000"/>
                  <a:lumOff val="35000"/>
                </a:srgbClr>
              </a:solidFill>
              <a:latin typeface="Arial"/>
              <a:cs typeface="Arial"/>
            </a:endParaRPr>
          </a:p>
        </cx:rich>
      </cx:tx>
    </cx:title>
    <cx:plotArea>
      <cx:plotAreaRegion>
        <cx:series layoutId="funnel" uniqueId="{92FBF5CE-2B00-49D6-BD7D-59DE28A6A9AD}">
          <cx:tx>
            <cx:txData>
              <cx:f>_xlchart.v2.4</cx:f>
              <cx:v>Sum of Total_count</cx:v>
            </cx:txData>
          </cx:tx>
          <cx:dataLabels>
            <cx:visibility seriesName="0" categoryName="0" value="1"/>
          </cx:dataLabels>
          <cx:dataId val="0"/>
        </cx:series>
      </cx:plotAreaRegion>
      <cx:axis id="0">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6B50464-004E-4B18-B5E6-4C230AE7DFC6}" type="doc">
      <dgm:prSet loTypeId="urn:microsoft.com/office/officeart/2005/8/layout/chevronAccent+Icon" loCatId="officeonline" qsTypeId="urn:microsoft.com/office/officeart/2005/8/quickstyle/simple1" qsCatId="simple" csTypeId="urn:microsoft.com/office/officeart/2005/8/colors/accent1_2" csCatId="accent1" phldr="1"/>
      <dgm:spPr/>
    </dgm:pt>
    <dgm:pt modelId="{6875C107-E462-4AD8-A6AB-73A11DA1FAD1}">
      <dgm:prSet phldrT="[Text]" custT="1"/>
      <dgm:spPr>
        <a:solidFill>
          <a:schemeClr val="accent6">
            <a:lumMod val="60000"/>
            <a:lumOff val="40000"/>
            <a:alpha val="90000"/>
          </a:schemeClr>
        </a:solidFill>
      </dgm:spPr>
      <dgm:t>
        <a:bodyPr/>
        <a:lstStyle/>
        <a:p>
          <a:r>
            <a:rPr lang="en-IN" sz="1400" b="1">
              <a:solidFill>
                <a:schemeClr val="tx1"/>
              </a:solidFill>
            </a:rPr>
            <a:t>Total Bike Rentals </a:t>
          </a:r>
        </a:p>
        <a:p>
          <a:r>
            <a:rPr lang="en-IN" sz="1400" b="1"/>
            <a:t>58304</a:t>
          </a:r>
        </a:p>
      </dgm:t>
    </dgm:pt>
    <dgm:pt modelId="{728F211C-24C5-445E-8BAA-5036B92CEE44}" type="parTrans" cxnId="{1A2B3320-FDB0-4C05-BE0E-DB7CBAB5E103}">
      <dgm:prSet/>
      <dgm:spPr/>
      <dgm:t>
        <a:bodyPr/>
        <a:lstStyle/>
        <a:p>
          <a:endParaRPr lang="en-IN"/>
        </a:p>
      </dgm:t>
    </dgm:pt>
    <dgm:pt modelId="{C1136CE2-0878-4F64-B0F6-9687505A0AFC}" type="sibTrans" cxnId="{1A2B3320-FDB0-4C05-BE0E-DB7CBAB5E103}">
      <dgm:prSet/>
      <dgm:spPr/>
      <dgm:t>
        <a:bodyPr/>
        <a:lstStyle/>
        <a:p>
          <a:endParaRPr lang="en-IN"/>
        </a:p>
      </dgm:t>
    </dgm:pt>
    <dgm:pt modelId="{F69C0119-9DBE-4EE0-86C7-5FD8D3269767}">
      <dgm:prSet phldrT="[Text]" custT="1"/>
      <dgm:spPr>
        <a:solidFill>
          <a:schemeClr val="accent5">
            <a:lumMod val="60000"/>
            <a:lumOff val="40000"/>
            <a:alpha val="90000"/>
          </a:schemeClr>
        </a:solidFill>
      </dgm:spPr>
      <dgm:t>
        <a:bodyPr/>
        <a:lstStyle/>
        <a:p>
          <a:r>
            <a:rPr lang="en-IN" sz="1400" b="1"/>
            <a:t>Average Rentals</a:t>
          </a:r>
        </a:p>
        <a:p>
          <a:r>
            <a:rPr lang="en-IN" sz="1400" b="1"/>
            <a:t>58.3</a:t>
          </a:r>
        </a:p>
      </dgm:t>
    </dgm:pt>
    <dgm:pt modelId="{5B7C2BBA-19D1-4895-866B-13C1CBB624E6}" type="parTrans" cxnId="{DFF89217-86D7-4194-917D-F0E70E97449E}">
      <dgm:prSet/>
      <dgm:spPr/>
      <dgm:t>
        <a:bodyPr/>
        <a:lstStyle/>
        <a:p>
          <a:endParaRPr lang="en-IN"/>
        </a:p>
      </dgm:t>
    </dgm:pt>
    <dgm:pt modelId="{EFB82C48-7794-4A94-9533-C3C31568F0C3}" type="sibTrans" cxnId="{DFF89217-86D7-4194-917D-F0E70E97449E}">
      <dgm:prSet/>
      <dgm:spPr/>
      <dgm:t>
        <a:bodyPr/>
        <a:lstStyle/>
        <a:p>
          <a:endParaRPr lang="en-IN"/>
        </a:p>
      </dgm:t>
    </dgm:pt>
    <dgm:pt modelId="{08AB5C58-7404-4D4D-B2E6-2886B3C10F30}">
      <dgm:prSet phldrT="[Text]"/>
      <dgm:spPr>
        <a:solidFill>
          <a:schemeClr val="accent3">
            <a:lumMod val="60000"/>
            <a:lumOff val="40000"/>
            <a:alpha val="90000"/>
          </a:schemeClr>
        </a:solidFill>
      </dgm:spPr>
      <dgm:t>
        <a:bodyPr/>
        <a:lstStyle/>
        <a:p>
          <a:r>
            <a:rPr lang="en-IN" b="1"/>
            <a:t>Peak Hour | Demand</a:t>
          </a:r>
        </a:p>
        <a:p>
          <a:r>
            <a:rPr lang="en-IN" b="1"/>
            <a:t>Hour 8 | 249 rentals</a:t>
          </a:r>
        </a:p>
      </dgm:t>
    </dgm:pt>
    <dgm:pt modelId="{F74A7B02-F7D0-4219-8310-F79A0C745013}" type="parTrans" cxnId="{64A4120B-F99D-4550-9F3F-7F7FE93C4249}">
      <dgm:prSet/>
      <dgm:spPr/>
      <dgm:t>
        <a:bodyPr/>
        <a:lstStyle/>
        <a:p>
          <a:endParaRPr lang="en-IN"/>
        </a:p>
      </dgm:t>
    </dgm:pt>
    <dgm:pt modelId="{1927931A-0C27-4C8B-9CDE-FDDA1F16AEB7}" type="sibTrans" cxnId="{64A4120B-F99D-4550-9F3F-7F7FE93C4249}">
      <dgm:prSet/>
      <dgm:spPr/>
      <dgm:t>
        <a:bodyPr/>
        <a:lstStyle/>
        <a:p>
          <a:endParaRPr lang="en-IN"/>
        </a:p>
      </dgm:t>
    </dgm:pt>
    <dgm:pt modelId="{C7AFA14D-FBF2-4D6F-9629-B348A549C9CC}" type="pres">
      <dgm:prSet presAssocID="{16B50464-004E-4B18-B5E6-4C230AE7DFC6}" presName="Name0" presStyleCnt="0">
        <dgm:presLayoutVars>
          <dgm:dir/>
          <dgm:resizeHandles val="exact"/>
        </dgm:presLayoutVars>
      </dgm:prSet>
      <dgm:spPr/>
    </dgm:pt>
    <dgm:pt modelId="{C72F6BA6-0AA5-492C-8ADC-D6F969CFF5F2}" type="pres">
      <dgm:prSet presAssocID="{6875C107-E462-4AD8-A6AB-73A11DA1FAD1}" presName="composite" presStyleCnt="0"/>
      <dgm:spPr/>
    </dgm:pt>
    <dgm:pt modelId="{B5C9E08B-4FAB-4739-9A97-BEA79AD0FB41}" type="pres">
      <dgm:prSet presAssocID="{6875C107-E462-4AD8-A6AB-73A11DA1FAD1}" presName="bgChev" presStyleLbl="node1" presStyleIdx="0" presStyleCnt="3"/>
      <dgm:spPr>
        <a:solidFill>
          <a:schemeClr val="accent6">
            <a:lumMod val="50000"/>
          </a:schemeClr>
        </a:solidFill>
      </dgm:spPr>
    </dgm:pt>
    <dgm:pt modelId="{EB40A7DB-E71A-405F-8BA8-3E9CA5838363}" type="pres">
      <dgm:prSet presAssocID="{6875C107-E462-4AD8-A6AB-73A11DA1FAD1}" presName="txNode" presStyleLbl="fgAcc1" presStyleIdx="0" presStyleCnt="3">
        <dgm:presLayoutVars>
          <dgm:bulletEnabled val="1"/>
        </dgm:presLayoutVars>
      </dgm:prSet>
      <dgm:spPr/>
    </dgm:pt>
    <dgm:pt modelId="{3CE6B809-D87E-4C28-87D5-09A548F2C22B}" type="pres">
      <dgm:prSet presAssocID="{C1136CE2-0878-4F64-B0F6-9687505A0AFC}" presName="compositeSpace" presStyleCnt="0"/>
      <dgm:spPr/>
    </dgm:pt>
    <dgm:pt modelId="{C6C3E9D8-1CDC-46A0-9DC9-005ED86B94C5}" type="pres">
      <dgm:prSet presAssocID="{F69C0119-9DBE-4EE0-86C7-5FD8D3269767}" presName="composite" presStyleCnt="0"/>
      <dgm:spPr/>
    </dgm:pt>
    <dgm:pt modelId="{05CA25B6-A3C4-4651-9C1C-92E035A0DC55}" type="pres">
      <dgm:prSet presAssocID="{F69C0119-9DBE-4EE0-86C7-5FD8D3269767}" presName="bgChev" presStyleLbl="node1" presStyleIdx="1" presStyleCnt="3"/>
      <dgm:spPr>
        <a:solidFill>
          <a:schemeClr val="accent5">
            <a:lumMod val="75000"/>
          </a:schemeClr>
        </a:solidFill>
      </dgm:spPr>
    </dgm:pt>
    <dgm:pt modelId="{029FD89A-BB38-4C90-BB76-B98DA97746B3}" type="pres">
      <dgm:prSet presAssocID="{F69C0119-9DBE-4EE0-86C7-5FD8D3269767}" presName="txNode" presStyleLbl="fgAcc1" presStyleIdx="1" presStyleCnt="3">
        <dgm:presLayoutVars>
          <dgm:bulletEnabled val="1"/>
        </dgm:presLayoutVars>
      </dgm:prSet>
      <dgm:spPr/>
    </dgm:pt>
    <dgm:pt modelId="{F80C4ED4-6EE4-4FDB-AF63-DC87FE0509D7}" type="pres">
      <dgm:prSet presAssocID="{EFB82C48-7794-4A94-9533-C3C31568F0C3}" presName="compositeSpace" presStyleCnt="0"/>
      <dgm:spPr/>
    </dgm:pt>
    <dgm:pt modelId="{5BD93705-FB37-4FB8-AF12-938D0533DD9E}" type="pres">
      <dgm:prSet presAssocID="{08AB5C58-7404-4D4D-B2E6-2886B3C10F30}" presName="composite" presStyleCnt="0"/>
      <dgm:spPr/>
    </dgm:pt>
    <dgm:pt modelId="{7DFE6CDE-E0EA-451E-8DD9-C7265CAA7D57}" type="pres">
      <dgm:prSet presAssocID="{08AB5C58-7404-4D4D-B2E6-2886B3C10F30}" presName="bgChev" presStyleLbl="node1" presStyleIdx="2" presStyleCnt="3"/>
      <dgm:spPr>
        <a:solidFill>
          <a:schemeClr val="accent3">
            <a:lumMod val="50000"/>
          </a:schemeClr>
        </a:solidFill>
      </dgm:spPr>
    </dgm:pt>
    <dgm:pt modelId="{DD51D04A-21DF-4802-AF24-91BEDD52DBA6}" type="pres">
      <dgm:prSet presAssocID="{08AB5C58-7404-4D4D-B2E6-2886B3C10F30}" presName="txNode" presStyleLbl="fgAcc1" presStyleIdx="2" presStyleCnt="3" custLinFactNeighborX="408" custLinFactNeighborY="-2118">
        <dgm:presLayoutVars>
          <dgm:bulletEnabled val="1"/>
        </dgm:presLayoutVars>
      </dgm:prSet>
      <dgm:spPr/>
    </dgm:pt>
  </dgm:ptLst>
  <dgm:cxnLst>
    <dgm:cxn modelId="{64A4120B-F99D-4550-9F3F-7F7FE93C4249}" srcId="{16B50464-004E-4B18-B5E6-4C230AE7DFC6}" destId="{08AB5C58-7404-4D4D-B2E6-2886B3C10F30}" srcOrd="2" destOrd="0" parTransId="{F74A7B02-F7D0-4219-8310-F79A0C745013}" sibTransId="{1927931A-0C27-4C8B-9CDE-FDDA1F16AEB7}"/>
    <dgm:cxn modelId="{DFF89217-86D7-4194-917D-F0E70E97449E}" srcId="{16B50464-004E-4B18-B5E6-4C230AE7DFC6}" destId="{F69C0119-9DBE-4EE0-86C7-5FD8D3269767}" srcOrd="1" destOrd="0" parTransId="{5B7C2BBA-19D1-4895-866B-13C1CBB624E6}" sibTransId="{EFB82C48-7794-4A94-9533-C3C31568F0C3}"/>
    <dgm:cxn modelId="{1A2B3320-FDB0-4C05-BE0E-DB7CBAB5E103}" srcId="{16B50464-004E-4B18-B5E6-4C230AE7DFC6}" destId="{6875C107-E462-4AD8-A6AB-73A11DA1FAD1}" srcOrd="0" destOrd="0" parTransId="{728F211C-24C5-445E-8BAA-5036B92CEE44}" sibTransId="{C1136CE2-0878-4F64-B0F6-9687505A0AFC}"/>
    <dgm:cxn modelId="{20E7FB90-1C0C-461E-8736-56DBE9A836D5}" type="presOf" srcId="{16B50464-004E-4B18-B5E6-4C230AE7DFC6}" destId="{C7AFA14D-FBF2-4D6F-9629-B348A549C9CC}" srcOrd="0" destOrd="0" presId="urn:microsoft.com/office/officeart/2005/8/layout/chevronAccent+Icon"/>
    <dgm:cxn modelId="{4AD00F9D-8DB0-4677-87AF-4ADB69143404}" type="presOf" srcId="{6875C107-E462-4AD8-A6AB-73A11DA1FAD1}" destId="{EB40A7DB-E71A-405F-8BA8-3E9CA5838363}" srcOrd="0" destOrd="0" presId="urn:microsoft.com/office/officeart/2005/8/layout/chevronAccent+Icon"/>
    <dgm:cxn modelId="{D6BE16BF-CFBB-4498-AA44-BB70BDB9A475}" type="presOf" srcId="{08AB5C58-7404-4D4D-B2E6-2886B3C10F30}" destId="{DD51D04A-21DF-4802-AF24-91BEDD52DBA6}" srcOrd="0" destOrd="0" presId="urn:microsoft.com/office/officeart/2005/8/layout/chevronAccent+Icon"/>
    <dgm:cxn modelId="{3CFE27ED-F4B6-4135-BCDA-7BC58441B6B6}" type="presOf" srcId="{F69C0119-9DBE-4EE0-86C7-5FD8D3269767}" destId="{029FD89A-BB38-4C90-BB76-B98DA97746B3}" srcOrd="0" destOrd="0" presId="urn:microsoft.com/office/officeart/2005/8/layout/chevronAccent+Icon"/>
    <dgm:cxn modelId="{32CF82FB-8E9B-4F93-AFB6-4D3BCD21A0CB}" type="presParOf" srcId="{C7AFA14D-FBF2-4D6F-9629-B348A549C9CC}" destId="{C72F6BA6-0AA5-492C-8ADC-D6F969CFF5F2}" srcOrd="0" destOrd="0" presId="urn:microsoft.com/office/officeart/2005/8/layout/chevronAccent+Icon"/>
    <dgm:cxn modelId="{7B41F868-29A8-48C5-8276-1C7E50F88601}" type="presParOf" srcId="{C72F6BA6-0AA5-492C-8ADC-D6F969CFF5F2}" destId="{B5C9E08B-4FAB-4739-9A97-BEA79AD0FB41}" srcOrd="0" destOrd="0" presId="urn:microsoft.com/office/officeart/2005/8/layout/chevronAccent+Icon"/>
    <dgm:cxn modelId="{970C2FE2-CCF3-43E7-A47E-C1FDA540FF78}" type="presParOf" srcId="{C72F6BA6-0AA5-492C-8ADC-D6F969CFF5F2}" destId="{EB40A7DB-E71A-405F-8BA8-3E9CA5838363}" srcOrd="1" destOrd="0" presId="urn:microsoft.com/office/officeart/2005/8/layout/chevronAccent+Icon"/>
    <dgm:cxn modelId="{79C1C48E-1869-49FC-BBD9-7C31921A8D36}" type="presParOf" srcId="{C7AFA14D-FBF2-4D6F-9629-B348A549C9CC}" destId="{3CE6B809-D87E-4C28-87D5-09A548F2C22B}" srcOrd="1" destOrd="0" presId="urn:microsoft.com/office/officeart/2005/8/layout/chevronAccent+Icon"/>
    <dgm:cxn modelId="{C8BE2983-5E47-4518-9A4D-C930A86DFB31}" type="presParOf" srcId="{C7AFA14D-FBF2-4D6F-9629-B348A549C9CC}" destId="{C6C3E9D8-1CDC-46A0-9DC9-005ED86B94C5}" srcOrd="2" destOrd="0" presId="urn:microsoft.com/office/officeart/2005/8/layout/chevronAccent+Icon"/>
    <dgm:cxn modelId="{32B79E8B-6D00-4272-87B7-2853D393D7D1}" type="presParOf" srcId="{C6C3E9D8-1CDC-46A0-9DC9-005ED86B94C5}" destId="{05CA25B6-A3C4-4651-9C1C-92E035A0DC55}" srcOrd="0" destOrd="0" presId="urn:microsoft.com/office/officeart/2005/8/layout/chevronAccent+Icon"/>
    <dgm:cxn modelId="{FE6DADFA-8DF6-40FC-B423-DC4C2465B52E}" type="presParOf" srcId="{C6C3E9D8-1CDC-46A0-9DC9-005ED86B94C5}" destId="{029FD89A-BB38-4C90-BB76-B98DA97746B3}" srcOrd="1" destOrd="0" presId="urn:microsoft.com/office/officeart/2005/8/layout/chevronAccent+Icon"/>
    <dgm:cxn modelId="{842B691D-AF85-459F-80BE-F119E31A202D}" type="presParOf" srcId="{C7AFA14D-FBF2-4D6F-9629-B348A549C9CC}" destId="{F80C4ED4-6EE4-4FDB-AF63-DC87FE0509D7}" srcOrd="3" destOrd="0" presId="urn:microsoft.com/office/officeart/2005/8/layout/chevronAccent+Icon"/>
    <dgm:cxn modelId="{7DCFD77D-A9EE-4E65-AF4E-453FCDF4F057}" type="presParOf" srcId="{C7AFA14D-FBF2-4D6F-9629-B348A549C9CC}" destId="{5BD93705-FB37-4FB8-AF12-938D0533DD9E}" srcOrd="4" destOrd="0" presId="urn:microsoft.com/office/officeart/2005/8/layout/chevronAccent+Icon"/>
    <dgm:cxn modelId="{6EA1BEF1-A4AB-43E3-9107-0D56A32E25C8}" type="presParOf" srcId="{5BD93705-FB37-4FB8-AF12-938D0533DD9E}" destId="{7DFE6CDE-E0EA-451E-8DD9-C7265CAA7D57}" srcOrd="0" destOrd="0" presId="urn:microsoft.com/office/officeart/2005/8/layout/chevronAccent+Icon"/>
    <dgm:cxn modelId="{45177F8E-7C5D-46C9-BDA9-4DD7D77B6BCE}" type="presParOf" srcId="{5BD93705-FB37-4FB8-AF12-938D0533DD9E}" destId="{DD51D04A-21DF-4802-AF24-91BEDD52DBA6}" srcOrd="1" destOrd="0" presId="urn:microsoft.com/office/officeart/2005/8/layout/chevronAccent+Icon"/>
  </dgm:cxnLst>
  <dgm:bg/>
  <dgm:whole/>
  <dgm:extLst>
    <a:ext uri="http://schemas.microsoft.com/office/drawing/2008/diagram">
      <dsp:dataModelExt xmlns:dsp="http://schemas.microsoft.com/office/drawing/2008/diagram" relId="rId11"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B5A75A0-3D87-451A-AF78-2E3CDB265084}" type="doc">
      <dgm:prSet loTypeId="urn:microsoft.com/office/officeart/2005/8/layout/chevronAccent+Icon" loCatId="officeonline" qsTypeId="urn:microsoft.com/office/officeart/2005/8/quickstyle/simple1" qsCatId="simple" csTypeId="urn:microsoft.com/office/officeart/2005/8/colors/accent1_2" csCatId="accent1" phldr="1"/>
      <dgm:spPr/>
    </dgm:pt>
    <dgm:pt modelId="{35F00AEA-5CFC-459C-89C3-CD6560008E29}">
      <dgm:prSet phldrT="[Text]"/>
      <dgm:spPr>
        <a:solidFill>
          <a:schemeClr val="bg2">
            <a:lumMod val="75000"/>
            <a:alpha val="90000"/>
          </a:schemeClr>
        </a:solidFill>
      </dgm:spPr>
      <dgm:t>
        <a:bodyPr/>
        <a:lstStyle/>
        <a:p>
          <a:r>
            <a:rPr lang="en-IN" b="1"/>
            <a:t>Casual Customers</a:t>
          </a:r>
        </a:p>
        <a:p>
          <a:r>
            <a:rPr lang="en-IN" b="1"/>
            <a:t>4921</a:t>
          </a:r>
        </a:p>
      </dgm:t>
    </dgm:pt>
    <dgm:pt modelId="{07F49D2B-6EE7-495D-9FC4-1A6330BF14BF}" type="parTrans" cxnId="{835C05B3-5E36-45F1-AC21-358F162FD64D}">
      <dgm:prSet/>
      <dgm:spPr/>
      <dgm:t>
        <a:bodyPr/>
        <a:lstStyle/>
        <a:p>
          <a:endParaRPr lang="en-IN"/>
        </a:p>
      </dgm:t>
    </dgm:pt>
    <dgm:pt modelId="{8B49FB35-F145-455A-87A5-5F893601AD39}" type="sibTrans" cxnId="{835C05B3-5E36-45F1-AC21-358F162FD64D}">
      <dgm:prSet/>
      <dgm:spPr/>
      <dgm:t>
        <a:bodyPr/>
        <a:lstStyle/>
        <a:p>
          <a:endParaRPr lang="en-IN"/>
        </a:p>
      </dgm:t>
    </dgm:pt>
    <dgm:pt modelId="{01D3E8A6-8933-42D2-BB40-10A61E3086E2}">
      <dgm:prSet phldrT="[Text]"/>
      <dgm:spPr>
        <a:solidFill>
          <a:schemeClr val="accent4">
            <a:lumMod val="60000"/>
            <a:lumOff val="40000"/>
            <a:alpha val="90000"/>
          </a:schemeClr>
        </a:solidFill>
      </dgm:spPr>
      <dgm:t>
        <a:bodyPr/>
        <a:lstStyle/>
        <a:p>
          <a:r>
            <a:rPr lang="en-IN" b="1"/>
            <a:t>Registered Customers</a:t>
          </a:r>
        </a:p>
        <a:p>
          <a:r>
            <a:rPr lang="en-IN" b="1"/>
            <a:t>53,383</a:t>
          </a:r>
        </a:p>
      </dgm:t>
    </dgm:pt>
    <dgm:pt modelId="{2E5DA6FF-CEFC-4C2C-9C7A-0E26D679FB14}" type="parTrans" cxnId="{A900713D-082B-422F-AF2B-3D4DE10B6BD8}">
      <dgm:prSet/>
      <dgm:spPr/>
      <dgm:t>
        <a:bodyPr/>
        <a:lstStyle/>
        <a:p>
          <a:endParaRPr lang="en-IN"/>
        </a:p>
      </dgm:t>
    </dgm:pt>
    <dgm:pt modelId="{7A55F0EE-1C53-4816-BAAF-5283DE0649E1}" type="sibTrans" cxnId="{A900713D-082B-422F-AF2B-3D4DE10B6BD8}">
      <dgm:prSet/>
      <dgm:spPr/>
      <dgm:t>
        <a:bodyPr/>
        <a:lstStyle/>
        <a:p>
          <a:endParaRPr lang="en-IN"/>
        </a:p>
      </dgm:t>
    </dgm:pt>
    <dgm:pt modelId="{B96252F8-6A48-4894-9D04-B1C34714498A}" type="pres">
      <dgm:prSet presAssocID="{CB5A75A0-3D87-451A-AF78-2E3CDB265084}" presName="Name0" presStyleCnt="0">
        <dgm:presLayoutVars>
          <dgm:dir/>
          <dgm:resizeHandles val="exact"/>
        </dgm:presLayoutVars>
      </dgm:prSet>
      <dgm:spPr/>
    </dgm:pt>
    <dgm:pt modelId="{CC42CC6C-EE21-4785-B657-4D4B024ADC4D}" type="pres">
      <dgm:prSet presAssocID="{35F00AEA-5CFC-459C-89C3-CD6560008E29}" presName="composite" presStyleCnt="0"/>
      <dgm:spPr/>
    </dgm:pt>
    <dgm:pt modelId="{E269787D-3455-4AAA-8483-3D4084F91C36}" type="pres">
      <dgm:prSet presAssocID="{35F00AEA-5CFC-459C-89C3-CD6560008E29}" presName="bgChev" presStyleLbl="node1" presStyleIdx="0" presStyleCnt="2" custLinFactNeighborX="-335"/>
      <dgm:spPr>
        <a:solidFill>
          <a:schemeClr val="tx1">
            <a:lumMod val="65000"/>
            <a:lumOff val="35000"/>
          </a:schemeClr>
        </a:solidFill>
      </dgm:spPr>
    </dgm:pt>
    <dgm:pt modelId="{33BD36D7-1693-4FD4-9898-9CE81D47C56C}" type="pres">
      <dgm:prSet presAssocID="{35F00AEA-5CFC-459C-89C3-CD6560008E29}" presName="txNode" presStyleLbl="fgAcc1" presStyleIdx="0" presStyleCnt="2" custLinFactNeighborY="1068">
        <dgm:presLayoutVars>
          <dgm:bulletEnabled val="1"/>
        </dgm:presLayoutVars>
      </dgm:prSet>
      <dgm:spPr/>
    </dgm:pt>
    <dgm:pt modelId="{9D6C7C78-FD36-4044-A2B5-F07D00662991}" type="pres">
      <dgm:prSet presAssocID="{8B49FB35-F145-455A-87A5-5F893601AD39}" presName="compositeSpace" presStyleCnt="0"/>
      <dgm:spPr/>
    </dgm:pt>
    <dgm:pt modelId="{442AE575-18DA-4E2E-986A-BC11DE9A276B}" type="pres">
      <dgm:prSet presAssocID="{01D3E8A6-8933-42D2-BB40-10A61E3086E2}" presName="composite" presStyleCnt="0"/>
      <dgm:spPr/>
    </dgm:pt>
    <dgm:pt modelId="{28B92990-CAC1-40C2-BC44-A2F31EA2911E}" type="pres">
      <dgm:prSet presAssocID="{01D3E8A6-8933-42D2-BB40-10A61E3086E2}" presName="bgChev" presStyleLbl="node1" presStyleIdx="1" presStyleCnt="2"/>
      <dgm:spPr>
        <a:solidFill>
          <a:schemeClr val="accent4">
            <a:lumMod val="75000"/>
          </a:schemeClr>
        </a:solidFill>
      </dgm:spPr>
    </dgm:pt>
    <dgm:pt modelId="{38196C3E-3D1C-4BE7-9EFD-A8136A2B39CA}" type="pres">
      <dgm:prSet presAssocID="{01D3E8A6-8933-42D2-BB40-10A61E3086E2}" presName="txNode" presStyleLbl="fgAcc1" presStyleIdx="1" presStyleCnt="2">
        <dgm:presLayoutVars>
          <dgm:bulletEnabled val="1"/>
        </dgm:presLayoutVars>
      </dgm:prSet>
      <dgm:spPr/>
    </dgm:pt>
  </dgm:ptLst>
  <dgm:cxnLst>
    <dgm:cxn modelId="{76A0E818-DE3A-4883-BC54-A6F71137FCF8}" type="presOf" srcId="{35F00AEA-5CFC-459C-89C3-CD6560008E29}" destId="{33BD36D7-1693-4FD4-9898-9CE81D47C56C}" srcOrd="0" destOrd="0" presId="urn:microsoft.com/office/officeart/2005/8/layout/chevronAccent+Icon"/>
    <dgm:cxn modelId="{70B3D21F-FF1F-421F-B52B-07B9EAF70D26}" type="presOf" srcId="{CB5A75A0-3D87-451A-AF78-2E3CDB265084}" destId="{B96252F8-6A48-4894-9D04-B1C34714498A}" srcOrd="0" destOrd="0" presId="urn:microsoft.com/office/officeart/2005/8/layout/chevronAccent+Icon"/>
    <dgm:cxn modelId="{C19B7522-0131-4EFE-A06F-F70C9ECEBC80}" type="presOf" srcId="{01D3E8A6-8933-42D2-BB40-10A61E3086E2}" destId="{38196C3E-3D1C-4BE7-9EFD-A8136A2B39CA}" srcOrd="0" destOrd="0" presId="urn:microsoft.com/office/officeart/2005/8/layout/chevronAccent+Icon"/>
    <dgm:cxn modelId="{A900713D-082B-422F-AF2B-3D4DE10B6BD8}" srcId="{CB5A75A0-3D87-451A-AF78-2E3CDB265084}" destId="{01D3E8A6-8933-42D2-BB40-10A61E3086E2}" srcOrd="1" destOrd="0" parTransId="{2E5DA6FF-CEFC-4C2C-9C7A-0E26D679FB14}" sibTransId="{7A55F0EE-1C53-4816-BAAF-5283DE0649E1}"/>
    <dgm:cxn modelId="{835C05B3-5E36-45F1-AC21-358F162FD64D}" srcId="{CB5A75A0-3D87-451A-AF78-2E3CDB265084}" destId="{35F00AEA-5CFC-459C-89C3-CD6560008E29}" srcOrd="0" destOrd="0" parTransId="{07F49D2B-6EE7-495D-9FC4-1A6330BF14BF}" sibTransId="{8B49FB35-F145-455A-87A5-5F893601AD39}"/>
    <dgm:cxn modelId="{B6F5009B-EFBB-4952-93BB-8154170CA808}" type="presParOf" srcId="{B96252F8-6A48-4894-9D04-B1C34714498A}" destId="{CC42CC6C-EE21-4785-B657-4D4B024ADC4D}" srcOrd="0" destOrd="0" presId="urn:microsoft.com/office/officeart/2005/8/layout/chevronAccent+Icon"/>
    <dgm:cxn modelId="{F7FBAE1A-9502-4803-BCC9-C8238810CFA8}" type="presParOf" srcId="{CC42CC6C-EE21-4785-B657-4D4B024ADC4D}" destId="{E269787D-3455-4AAA-8483-3D4084F91C36}" srcOrd="0" destOrd="0" presId="urn:microsoft.com/office/officeart/2005/8/layout/chevronAccent+Icon"/>
    <dgm:cxn modelId="{B3DE9629-896A-4FDD-AEDA-3BA8B0C139CB}" type="presParOf" srcId="{CC42CC6C-EE21-4785-B657-4D4B024ADC4D}" destId="{33BD36D7-1693-4FD4-9898-9CE81D47C56C}" srcOrd="1" destOrd="0" presId="urn:microsoft.com/office/officeart/2005/8/layout/chevronAccent+Icon"/>
    <dgm:cxn modelId="{44C47A05-73BC-42B5-A568-6171A8C15658}" type="presParOf" srcId="{B96252F8-6A48-4894-9D04-B1C34714498A}" destId="{9D6C7C78-FD36-4044-A2B5-F07D00662991}" srcOrd="1" destOrd="0" presId="urn:microsoft.com/office/officeart/2005/8/layout/chevronAccent+Icon"/>
    <dgm:cxn modelId="{E3597B87-D571-4757-B842-4EB606C64511}" type="presParOf" srcId="{B96252F8-6A48-4894-9D04-B1C34714498A}" destId="{442AE575-18DA-4E2E-986A-BC11DE9A276B}" srcOrd="2" destOrd="0" presId="urn:microsoft.com/office/officeart/2005/8/layout/chevronAccent+Icon"/>
    <dgm:cxn modelId="{0327C553-31A8-45C0-B4A6-283CAFD70769}" type="presParOf" srcId="{442AE575-18DA-4E2E-986A-BC11DE9A276B}" destId="{28B92990-CAC1-40C2-BC44-A2F31EA2911E}" srcOrd="0" destOrd="0" presId="urn:microsoft.com/office/officeart/2005/8/layout/chevronAccent+Icon"/>
    <dgm:cxn modelId="{181C36AD-4BD0-49D6-B666-0D6AFB53FC56}" type="presParOf" srcId="{442AE575-18DA-4E2E-986A-BC11DE9A276B}" destId="{38196C3E-3D1C-4BE7-9EFD-A8136A2B39CA}" srcOrd="1" destOrd="0" presId="urn:microsoft.com/office/officeart/2005/8/layout/chevronAccent+Icon"/>
  </dgm:cxnLst>
  <dgm:bg/>
  <dgm:whole/>
  <dgm:extLst>
    <a:ext uri="http://schemas.microsoft.com/office/drawing/2008/diagram">
      <dsp:dataModelExt xmlns:dsp="http://schemas.microsoft.com/office/drawing/2008/diagram" relId="rId1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5C9E08B-4FAB-4739-9A97-BEA79AD0FB41}">
      <dsp:nvSpPr>
        <dsp:cNvPr id="0" name=""/>
        <dsp:cNvSpPr/>
      </dsp:nvSpPr>
      <dsp:spPr>
        <a:xfrm>
          <a:off x="915" y="0"/>
          <a:ext cx="2299339" cy="764720"/>
        </a:xfrm>
        <a:prstGeom prst="chevron">
          <a:avLst>
            <a:gd name="adj" fmla="val 40000"/>
          </a:avLst>
        </a:prstGeom>
        <a:solidFill>
          <a:schemeClr val="accent6">
            <a:lumMod val="5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EB40A7DB-E71A-405F-8BA8-3E9CA5838363}">
      <dsp:nvSpPr>
        <dsp:cNvPr id="0" name=""/>
        <dsp:cNvSpPr/>
      </dsp:nvSpPr>
      <dsp:spPr>
        <a:xfrm>
          <a:off x="614072" y="191180"/>
          <a:ext cx="1941664" cy="764720"/>
        </a:xfrm>
        <a:prstGeom prst="roundRect">
          <a:avLst>
            <a:gd name="adj" fmla="val 10000"/>
          </a:avLst>
        </a:prstGeom>
        <a:solidFill>
          <a:schemeClr val="accent6">
            <a:lumMod val="60000"/>
            <a:lumOff val="4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9568" tIns="99568" rIns="99568" bIns="99568" numCol="1" spcCol="1270" anchor="ctr" anchorCtr="0">
          <a:noAutofit/>
        </a:bodyPr>
        <a:lstStyle/>
        <a:p>
          <a:pPr marL="0" lvl="0" indent="0" algn="ctr" defTabSz="622300">
            <a:lnSpc>
              <a:spcPct val="90000"/>
            </a:lnSpc>
            <a:spcBef>
              <a:spcPct val="0"/>
            </a:spcBef>
            <a:spcAft>
              <a:spcPct val="35000"/>
            </a:spcAft>
            <a:buNone/>
          </a:pPr>
          <a:r>
            <a:rPr lang="en-IN" sz="1400" b="1" kern="1200">
              <a:solidFill>
                <a:schemeClr val="tx1"/>
              </a:solidFill>
            </a:rPr>
            <a:t>Total Bike Rentals </a:t>
          </a:r>
        </a:p>
        <a:p>
          <a:pPr marL="0" lvl="0" indent="0" algn="ctr" defTabSz="622300">
            <a:lnSpc>
              <a:spcPct val="90000"/>
            </a:lnSpc>
            <a:spcBef>
              <a:spcPct val="0"/>
            </a:spcBef>
            <a:spcAft>
              <a:spcPct val="35000"/>
            </a:spcAft>
            <a:buNone/>
          </a:pPr>
          <a:r>
            <a:rPr lang="en-IN" sz="1400" b="1" kern="1200"/>
            <a:t>58304</a:t>
          </a:r>
        </a:p>
      </dsp:txBody>
      <dsp:txXfrm>
        <a:off x="636470" y="213578"/>
        <a:ext cx="1896868" cy="719924"/>
      </dsp:txXfrm>
    </dsp:sp>
    <dsp:sp modelId="{05CA25B6-A3C4-4651-9C1C-92E035A0DC55}">
      <dsp:nvSpPr>
        <dsp:cNvPr id="0" name=""/>
        <dsp:cNvSpPr/>
      </dsp:nvSpPr>
      <dsp:spPr>
        <a:xfrm>
          <a:off x="2627272" y="0"/>
          <a:ext cx="2299339" cy="764720"/>
        </a:xfrm>
        <a:prstGeom prst="chevron">
          <a:avLst>
            <a:gd name="adj" fmla="val 40000"/>
          </a:avLst>
        </a:prstGeom>
        <a:solidFill>
          <a:schemeClr val="accent5">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029FD89A-BB38-4C90-BB76-B98DA97746B3}">
      <dsp:nvSpPr>
        <dsp:cNvPr id="0" name=""/>
        <dsp:cNvSpPr/>
      </dsp:nvSpPr>
      <dsp:spPr>
        <a:xfrm>
          <a:off x="3240429" y="191180"/>
          <a:ext cx="1941664" cy="764720"/>
        </a:xfrm>
        <a:prstGeom prst="roundRect">
          <a:avLst>
            <a:gd name="adj" fmla="val 10000"/>
          </a:avLst>
        </a:prstGeom>
        <a:solidFill>
          <a:schemeClr val="accent5">
            <a:lumMod val="60000"/>
            <a:lumOff val="4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9568" tIns="99568" rIns="99568" bIns="99568" numCol="1" spcCol="1270" anchor="ctr" anchorCtr="0">
          <a:noAutofit/>
        </a:bodyPr>
        <a:lstStyle/>
        <a:p>
          <a:pPr marL="0" lvl="0" indent="0" algn="ctr" defTabSz="622300">
            <a:lnSpc>
              <a:spcPct val="90000"/>
            </a:lnSpc>
            <a:spcBef>
              <a:spcPct val="0"/>
            </a:spcBef>
            <a:spcAft>
              <a:spcPct val="35000"/>
            </a:spcAft>
            <a:buNone/>
          </a:pPr>
          <a:r>
            <a:rPr lang="en-IN" sz="1400" b="1" kern="1200"/>
            <a:t>Average Rentals</a:t>
          </a:r>
        </a:p>
        <a:p>
          <a:pPr marL="0" lvl="0" indent="0" algn="ctr" defTabSz="622300">
            <a:lnSpc>
              <a:spcPct val="90000"/>
            </a:lnSpc>
            <a:spcBef>
              <a:spcPct val="0"/>
            </a:spcBef>
            <a:spcAft>
              <a:spcPct val="35000"/>
            </a:spcAft>
            <a:buNone/>
          </a:pPr>
          <a:r>
            <a:rPr lang="en-IN" sz="1400" b="1" kern="1200"/>
            <a:t>58.3</a:t>
          </a:r>
        </a:p>
      </dsp:txBody>
      <dsp:txXfrm>
        <a:off x="3262827" y="213578"/>
        <a:ext cx="1896868" cy="719924"/>
      </dsp:txXfrm>
    </dsp:sp>
    <dsp:sp modelId="{7DFE6CDE-E0EA-451E-8DD9-C7265CAA7D57}">
      <dsp:nvSpPr>
        <dsp:cNvPr id="0" name=""/>
        <dsp:cNvSpPr/>
      </dsp:nvSpPr>
      <dsp:spPr>
        <a:xfrm>
          <a:off x="5253628" y="0"/>
          <a:ext cx="2299339" cy="764720"/>
        </a:xfrm>
        <a:prstGeom prst="chevron">
          <a:avLst>
            <a:gd name="adj" fmla="val 40000"/>
          </a:avLst>
        </a:prstGeom>
        <a:solidFill>
          <a:schemeClr val="accent3">
            <a:lumMod val="5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DD51D04A-21DF-4802-AF24-91BEDD52DBA6}">
      <dsp:nvSpPr>
        <dsp:cNvPr id="0" name=""/>
        <dsp:cNvSpPr/>
      </dsp:nvSpPr>
      <dsp:spPr>
        <a:xfrm>
          <a:off x="5867701" y="174983"/>
          <a:ext cx="1941664" cy="764720"/>
        </a:xfrm>
        <a:prstGeom prst="roundRect">
          <a:avLst>
            <a:gd name="adj" fmla="val 10000"/>
          </a:avLst>
        </a:prstGeom>
        <a:solidFill>
          <a:schemeClr val="accent3">
            <a:lumMod val="60000"/>
            <a:lumOff val="4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ctr" defTabSz="577850">
            <a:lnSpc>
              <a:spcPct val="90000"/>
            </a:lnSpc>
            <a:spcBef>
              <a:spcPct val="0"/>
            </a:spcBef>
            <a:spcAft>
              <a:spcPct val="35000"/>
            </a:spcAft>
            <a:buNone/>
          </a:pPr>
          <a:r>
            <a:rPr lang="en-IN" sz="1300" b="1" kern="1200"/>
            <a:t>Peak Hour | Demand</a:t>
          </a:r>
        </a:p>
        <a:p>
          <a:pPr marL="0" lvl="0" indent="0" algn="ctr" defTabSz="577850">
            <a:lnSpc>
              <a:spcPct val="90000"/>
            </a:lnSpc>
            <a:spcBef>
              <a:spcPct val="0"/>
            </a:spcBef>
            <a:spcAft>
              <a:spcPct val="35000"/>
            </a:spcAft>
            <a:buNone/>
          </a:pPr>
          <a:r>
            <a:rPr lang="en-IN" sz="1300" b="1" kern="1200"/>
            <a:t>Hour 8 | 249 rentals</a:t>
          </a:r>
        </a:p>
      </dsp:txBody>
      <dsp:txXfrm>
        <a:off x="5890099" y="197381"/>
        <a:ext cx="1896868" cy="71992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269787D-3455-4AAA-8483-3D4084F91C36}">
      <dsp:nvSpPr>
        <dsp:cNvPr id="0" name=""/>
        <dsp:cNvSpPr/>
      </dsp:nvSpPr>
      <dsp:spPr>
        <a:xfrm>
          <a:off x="0" y="0"/>
          <a:ext cx="2364636" cy="732972"/>
        </a:xfrm>
        <a:prstGeom prst="chevron">
          <a:avLst>
            <a:gd name="adj" fmla="val 40000"/>
          </a:avLst>
        </a:prstGeom>
        <a:solidFill>
          <a:schemeClr val="tx1">
            <a:lumMod val="65000"/>
            <a:lumOff val="3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33BD36D7-1693-4FD4-9898-9CE81D47C56C}">
      <dsp:nvSpPr>
        <dsp:cNvPr id="0" name=""/>
        <dsp:cNvSpPr/>
      </dsp:nvSpPr>
      <dsp:spPr>
        <a:xfrm>
          <a:off x="632845" y="183243"/>
          <a:ext cx="1996803" cy="732972"/>
        </a:xfrm>
        <a:prstGeom prst="roundRect">
          <a:avLst>
            <a:gd name="adj" fmla="val 10000"/>
          </a:avLst>
        </a:prstGeom>
        <a:solidFill>
          <a:schemeClr val="bg2">
            <a:lumMod val="75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ctr" defTabSz="577850">
            <a:lnSpc>
              <a:spcPct val="90000"/>
            </a:lnSpc>
            <a:spcBef>
              <a:spcPct val="0"/>
            </a:spcBef>
            <a:spcAft>
              <a:spcPct val="35000"/>
            </a:spcAft>
            <a:buNone/>
          </a:pPr>
          <a:r>
            <a:rPr lang="en-IN" sz="1300" b="1" kern="1200"/>
            <a:t>Casual Customers</a:t>
          </a:r>
        </a:p>
        <a:p>
          <a:pPr marL="0" lvl="0" indent="0" algn="ctr" defTabSz="577850">
            <a:lnSpc>
              <a:spcPct val="90000"/>
            </a:lnSpc>
            <a:spcBef>
              <a:spcPct val="0"/>
            </a:spcBef>
            <a:spcAft>
              <a:spcPct val="35000"/>
            </a:spcAft>
            <a:buNone/>
          </a:pPr>
          <a:r>
            <a:rPr lang="en-IN" sz="1300" b="1" kern="1200"/>
            <a:t>4921</a:t>
          </a:r>
        </a:p>
      </dsp:txBody>
      <dsp:txXfrm>
        <a:off x="654313" y="204711"/>
        <a:ext cx="1953867" cy="690036"/>
      </dsp:txXfrm>
    </dsp:sp>
    <dsp:sp modelId="{28B92990-CAC1-40C2-BC44-A2F31EA2911E}">
      <dsp:nvSpPr>
        <dsp:cNvPr id="0" name=""/>
        <dsp:cNvSpPr/>
      </dsp:nvSpPr>
      <dsp:spPr>
        <a:xfrm>
          <a:off x="2703215" y="0"/>
          <a:ext cx="2364636" cy="732972"/>
        </a:xfrm>
        <a:prstGeom prst="chevron">
          <a:avLst>
            <a:gd name="adj" fmla="val 4000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38196C3E-3D1C-4BE7-9EFD-A8136A2B39CA}">
      <dsp:nvSpPr>
        <dsp:cNvPr id="0" name=""/>
        <dsp:cNvSpPr/>
      </dsp:nvSpPr>
      <dsp:spPr>
        <a:xfrm>
          <a:off x="3333785" y="183243"/>
          <a:ext cx="1996803" cy="732972"/>
        </a:xfrm>
        <a:prstGeom prst="roundRect">
          <a:avLst>
            <a:gd name="adj" fmla="val 10000"/>
          </a:avLst>
        </a:prstGeom>
        <a:solidFill>
          <a:schemeClr val="accent4">
            <a:lumMod val="60000"/>
            <a:lumOff val="4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ctr" defTabSz="577850">
            <a:lnSpc>
              <a:spcPct val="90000"/>
            </a:lnSpc>
            <a:spcBef>
              <a:spcPct val="0"/>
            </a:spcBef>
            <a:spcAft>
              <a:spcPct val="35000"/>
            </a:spcAft>
            <a:buNone/>
          </a:pPr>
          <a:r>
            <a:rPr lang="en-IN" sz="1300" b="1" kern="1200"/>
            <a:t>Registered Customers</a:t>
          </a:r>
        </a:p>
        <a:p>
          <a:pPr marL="0" lvl="0" indent="0" algn="ctr" defTabSz="577850">
            <a:lnSpc>
              <a:spcPct val="90000"/>
            </a:lnSpc>
            <a:spcBef>
              <a:spcPct val="0"/>
            </a:spcBef>
            <a:spcAft>
              <a:spcPct val="35000"/>
            </a:spcAft>
            <a:buNone/>
          </a:pPr>
          <a:r>
            <a:rPr lang="en-IN" sz="1300" b="1" kern="1200"/>
            <a:t>53,383</a:t>
          </a:r>
        </a:p>
      </dsp:txBody>
      <dsp:txXfrm>
        <a:off x="3355253" y="204711"/>
        <a:ext cx="1953867" cy="690036"/>
      </dsp:txXfrm>
    </dsp:sp>
  </dsp:spTree>
</dsp:drawing>
</file>

<file path=xl/diagrams/layout1.xml><?xml version="1.0" encoding="utf-8"?>
<dgm:layoutDef xmlns:dgm="http://schemas.openxmlformats.org/drawingml/2006/diagram" xmlns:a="http://schemas.openxmlformats.org/drawingml/2006/main" uniqueId="urn:microsoft.com/office/officeart/2005/8/layout/chevronAccent+Icon">
  <dgm:title val="Chevron Accent Process"/>
  <dgm:desc val="Use to show sequential steps in a task, process, or workflow, or to emphasize movement or direction. Works best with minimal Level 1 and Level 2 text."/>
  <dgm:catLst>
    <dgm:cat type="process" pri="9500"/>
    <dgm:cat type="officeonline" pri="2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forName="composite" refType="w"/>
      <dgm:constr type="primFontSz" for="des" forName="txNode" op="equ" val="65"/>
      <dgm:constr type="w" for="ch" forName="compositeSpace" refType="w" refFor="ch" refForName="composite" fact="0.028"/>
    </dgm:constrLst>
    <dgm:ruleLst/>
    <dgm:forEach name="Name4" axis="ch" ptType="node">
      <dgm:layoutNode name="composite">
        <dgm:alg type="composite"/>
        <dgm:shape xmlns:r="http://schemas.openxmlformats.org/officeDocument/2006/relationships" r:blip="">
          <dgm:adjLst/>
        </dgm:shape>
        <dgm:presOf/>
        <dgm:choose name="Name5">
          <dgm:if name="Name6" func="var" arg="dir" op="equ" val="norm">
            <dgm:constrLst>
              <dgm:constr type="l" for="ch" forName="bgChev"/>
              <dgm:constr type="w" for="ch" forName="bgChev" refType="w" fact="0.9"/>
              <dgm:constr type="t" for="ch" forName="bgChev"/>
              <dgm:constr type="h" for="ch" forName="bgChev" refType="w" refFor="ch" refForName="bgChev" fact="0.386"/>
              <dgm:constr type="l" for="ch" forName="txNode" refType="w" fact="0.24"/>
              <dgm:constr type="w" for="ch" forName="txNode" refType="w" fact="0.76"/>
              <dgm:constr type="t" for="ch" forName="txNode" refType="h" refFor="ch" refForName="bgChev" fact="0.25"/>
              <dgm:constr type="h" for="ch" forName="txNode" refType="h" refFor="ch" refForName="bgChev"/>
            </dgm:constrLst>
          </dgm:if>
          <dgm:else name="Name7">
            <dgm:constrLst>
              <dgm:constr type="l" for="ch" forName="bgChev" refType="w" fact="0.1"/>
              <dgm:constr type="w" for="ch" forName="bgChev" refType="w" fact="0.9"/>
              <dgm:constr type="t" for="ch" forName="bgChev"/>
              <dgm:constr type="h" for="ch" forName="bgChev" refType="w" refFor="ch" refForName="bgChev" fact="0.386"/>
              <dgm:constr type="l" for="ch" forName="txNode"/>
              <dgm:constr type="w" for="ch" forName="txNode" refType="w" fact="0.76"/>
              <dgm:constr type="t" for="ch" forName="txNode" refType="h" refFor="ch" refForName="bgChev" fact="0.25"/>
              <dgm:constr type="h" for="ch" forName="txNode" refType="h" refFor="ch" refForName="bgChev"/>
            </dgm:constrLst>
          </dgm:else>
        </dgm:choose>
        <dgm:ruleLst/>
        <dgm:layoutNode name="bgChev" styleLbl="node1">
          <dgm:alg type="sp"/>
          <dgm:choose name="Name8">
            <dgm:if name="Name9" func="var" arg="dir" op="equ" val="norm">
              <dgm:shape xmlns:r="http://schemas.openxmlformats.org/officeDocument/2006/relationships" type="chevron" r:blip="">
                <dgm:adjLst>
                  <dgm:adj idx="1" val="0.4"/>
                </dgm:adjLst>
              </dgm:shape>
            </dgm:if>
            <dgm:else name="Name10">
              <dgm:shape xmlns:r="http://schemas.openxmlformats.org/officeDocument/2006/relationships" rot="180" type="chevron" r:blip="">
                <dgm:adjLst>
                  <dgm:adj idx="1" val="0.4"/>
                </dgm:adjLst>
              </dgm:shape>
            </dgm:else>
          </dgm:choose>
          <dgm:presOf/>
          <dgm:constrLst/>
        </dgm:layoutNode>
        <dgm:layoutNode name="txNode" styleLbl="fgAcc1">
          <dgm:varLst>
            <dgm:bulletEnabled val="1"/>
          </dgm:varLst>
          <dgm:alg type="tx"/>
          <dgm:shape xmlns:r="http://schemas.openxmlformats.org/officeDocument/2006/relationships" type="roundRect" r:blip="">
            <dgm:adjLst>
              <dgm:adj idx="1" val="0.1"/>
            </dgm:adjLst>
          </dgm:shape>
          <dgm:presOf axis="desOrSelf" ptType="node"/>
          <dgm:ruleLst>
            <dgm:rule type="primFontSz" val="5" fact="NaN" max="NaN"/>
          </dgm:ruleLst>
        </dgm:layoutNode>
      </dgm:layoutNode>
      <dgm:forEach name="Name11" axis="followSib" ptType="sibTrans" cnt="1">
        <dgm:layoutNode name="compositeSpace">
          <dgm:alg type="sp"/>
          <dgm:shape xmlns:r="http://schemas.openxmlformats.org/officeDocument/2006/relationships" r:blip="">
            <dgm:adjLst/>
          </dgm:shape>
          <dgm:presOf axis="sel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chevronAccent+Icon">
  <dgm:title val="Chevron Accent Process"/>
  <dgm:desc val="Use to show sequential steps in a task, process, or workflow, or to emphasize movement or direction. Works best with minimal Level 1 and Level 2 text."/>
  <dgm:catLst>
    <dgm:cat type="process" pri="9500"/>
    <dgm:cat type="officeonline" pri="2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forName="composite" refType="w"/>
      <dgm:constr type="primFontSz" for="des" forName="txNode" op="equ" val="65"/>
      <dgm:constr type="w" for="ch" forName="compositeSpace" refType="w" refFor="ch" refForName="composite" fact="0.028"/>
    </dgm:constrLst>
    <dgm:ruleLst/>
    <dgm:forEach name="Name4" axis="ch" ptType="node">
      <dgm:layoutNode name="composite">
        <dgm:alg type="composite"/>
        <dgm:shape xmlns:r="http://schemas.openxmlformats.org/officeDocument/2006/relationships" r:blip="">
          <dgm:adjLst/>
        </dgm:shape>
        <dgm:presOf/>
        <dgm:choose name="Name5">
          <dgm:if name="Name6" func="var" arg="dir" op="equ" val="norm">
            <dgm:constrLst>
              <dgm:constr type="l" for="ch" forName="bgChev"/>
              <dgm:constr type="w" for="ch" forName="bgChev" refType="w" fact="0.9"/>
              <dgm:constr type="t" for="ch" forName="bgChev"/>
              <dgm:constr type="h" for="ch" forName="bgChev" refType="w" refFor="ch" refForName="bgChev" fact="0.386"/>
              <dgm:constr type="l" for="ch" forName="txNode" refType="w" fact="0.24"/>
              <dgm:constr type="w" for="ch" forName="txNode" refType="w" fact="0.76"/>
              <dgm:constr type="t" for="ch" forName="txNode" refType="h" refFor="ch" refForName="bgChev" fact="0.25"/>
              <dgm:constr type="h" for="ch" forName="txNode" refType="h" refFor="ch" refForName="bgChev"/>
            </dgm:constrLst>
          </dgm:if>
          <dgm:else name="Name7">
            <dgm:constrLst>
              <dgm:constr type="l" for="ch" forName="bgChev" refType="w" fact="0.1"/>
              <dgm:constr type="w" for="ch" forName="bgChev" refType="w" fact="0.9"/>
              <dgm:constr type="t" for="ch" forName="bgChev"/>
              <dgm:constr type="h" for="ch" forName="bgChev" refType="w" refFor="ch" refForName="bgChev" fact="0.386"/>
              <dgm:constr type="l" for="ch" forName="txNode"/>
              <dgm:constr type="w" for="ch" forName="txNode" refType="w" fact="0.76"/>
              <dgm:constr type="t" for="ch" forName="txNode" refType="h" refFor="ch" refForName="bgChev" fact="0.25"/>
              <dgm:constr type="h" for="ch" forName="txNode" refType="h" refFor="ch" refForName="bgChev"/>
            </dgm:constrLst>
          </dgm:else>
        </dgm:choose>
        <dgm:ruleLst/>
        <dgm:layoutNode name="bgChev" styleLbl="node1">
          <dgm:alg type="sp"/>
          <dgm:choose name="Name8">
            <dgm:if name="Name9" func="var" arg="dir" op="equ" val="norm">
              <dgm:shape xmlns:r="http://schemas.openxmlformats.org/officeDocument/2006/relationships" type="chevron" r:blip="">
                <dgm:adjLst>
                  <dgm:adj idx="1" val="0.4"/>
                </dgm:adjLst>
              </dgm:shape>
            </dgm:if>
            <dgm:else name="Name10">
              <dgm:shape xmlns:r="http://schemas.openxmlformats.org/officeDocument/2006/relationships" rot="180" type="chevron" r:blip="">
                <dgm:adjLst>
                  <dgm:adj idx="1" val="0.4"/>
                </dgm:adjLst>
              </dgm:shape>
            </dgm:else>
          </dgm:choose>
          <dgm:presOf/>
          <dgm:constrLst/>
        </dgm:layoutNode>
        <dgm:layoutNode name="txNode" styleLbl="fgAcc1">
          <dgm:varLst>
            <dgm:bulletEnabled val="1"/>
          </dgm:varLst>
          <dgm:alg type="tx"/>
          <dgm:shape xmlns:r="http://schemas.openxmlformats.org/officeDocument/2006/relationships" type="roundRect" r:blip="">
            <dgm:adjLst>
              <dgm:adj idx="1" val="0.1"/>
            </dgm:adjLst>
          </dgm:shape>
          <dgm:presOf axis="desOrSelf" ptType="node"/>
          <dgm:ruleLst>
            <dgm:rule type="primFontSz" val="5" fact="NaN" max="NaN"/>
          </dgm:ruleLst>
        </dgm:layoutNode>
      </dgm:layoutNode>
      <dgm:forEach name="Name11" axis="followSib" ptType="sibTrans" cnt="1">
        <dgm:layoutNode name="compositeSpace">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diagramLayout" Target="../diagrams/layout1.xml"/><Relationship Id="rId13" Type="http://schemas.openxmlformats.org/officeDocument/2006/relationships/diagramLayout" Target="../diagrams/layout2.xml"/><Relationship Id="rId18" Type="http://schemas.openxmlformats.org/officeDocument/2006/relationships/chart" Target="../charts/chart9.xml"/><Relationship Id="rId3" Type="http://schemas.openxmlformats.org/officeDocument/2006/relationships/chart" Target="../charts/chart5.xml"/><Relationship Id="rId7" Type="http://schemas.openxmlformats.org/officeDocument/2006/relationships/diagramData" Target="../diagrams/data1.xml"/><Relationship Id="rId12" Type="http://schemas.openxmlformats.org/officeDocument/2006/relationships/diagramData" Target="../diagrams/data2.xml"/><Relationship Id="rId17" Type="http://schemas.openxmlformats.org/officeDocument/2006/relationships/chart" Target="../charts/chart8.xml"/><Relationship Id="rId2" Type="http://schemas.openxmlformats.org/officeDocument/2006/relationships/chart" Target="../charts/chart4.xml"/><Relationship Id="rId16" Type="http://schemas.microsoft.com/office/2007/relationships/diagramDrawing" Target="../diagrams/drawing2.xml"/><Relationship Id="rId1" Type="http://schemas.openxmlformats.org/officeDocument/2006/relationships/chart" Target="../charts/chart3.xml"/><Relationship Id="rId6" Type="http://schemas.microsoft.com/office/2014/relationships/chartEx" Target="../charts/chartEx1.xml"/><Relationship Id="rId11" Type="http://schemas.microsoft.com/office/2007/relationships/diagramDrawing" Target="../diagrams/drawing1.xml"/><Relationship Id="rId5" Type="http://schemas.openxmlformats.org/officeDocument/2006/relationships/chart" Target="../charts/chart7.xml"/><Relationship Id="rId15" Type="http://schemas.openxmlformats.org/officeDocument/2006/relationships/diagramColors" Target="../diagrams/colors2.xml"/><Relationship Id="rId10" Type="http://schemas.openxmlformats.org/officeDocument/2006/relationships/diagramColors" Target="../diagrams/colors1.xml"/><Relationship Id="rId19" Type="http://schemas.openxmlformats.org/officeDocument/2006/relationships/chart" Target="../charts/chart10.xml"/><Relationship Id="rId4" Type="http://schemas.openxmlformats.org/officeDocument/2006/relationships/chart" Target="../charts/chart6.xml"/><Relationship Id="rId9" Type="http://schemas.openxmlformats.org/officeDocument/2006/relationships/diagramQuickStyle" Target="../diagrams/quickStyle1.xml"/><Relationship Id="rId14" Type="http://schemas.openxmlformats.org/officeDocument/2006/relationships/diagramQuickStyle" Target="../diagrams/quickStyle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85725</xdr:colOff>
      <xdr:row>2</xdr:row>
      <xdr:rowOff>66674</xdr:rowOff>
    </xdr:from>
    <xdr:to>
      <xdr:col>20</xdr:col>
      <xdr:colOff>111125</xdr:colOff>
      <xdr:row>30</xdr:row>
      <xdr:rowOff>22224</xdr:rowOff>
    </xdr:to>
    <xdr:graphicFrame macro="">
      <xdr:nvGraphicFramePr>
        <xdr:cNvPr id="2" name="Chart 1">
          <a:extLst>
            <a:ext uri="{FF2B5EF4-FFF2-40B4-BE49-F238E27FC236}">
              <a16:creationId xmlns:a16="http://schemas.microsoft.com/office/drawing/2014/main" id="{1D5C8C82-74CE-4B0D-6033-D3293578A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50800</xdr:colOff>
      <xdr:row>3</xdr:row>
      <xdr:rowOff>127000</xdr:rowOff>
    </xdr:from>
    <xdr:to>
      <xdr:col>15</xdr:col>
      <xdr:colOff>298450</xdr:colOff>
      <xdr:row>20</xdr:row>
      <xdr:rowOff>69850</xdr:rowOff>
    </xdr:to>
    <xdr:graphicFrame macro="">
      <xdr:nvGraphicFramePr>
        <xdr:cNvPr id="11" name="Chart 10">
          <a:extLst>
            <a:ext uri="{FF2B5EF4-FFF2-40B4-BE49-F238E27FC236}">
              <a16:creationId xmlns:a16="http://schemas.microsoft.com/office/drawing/2014/main" id="{46BAC13B-1D17-4B17-A0C7-A6395350F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492125</xdr:colOff>
      <xdr:row>13</xdr:row>
      <xdr:rowOff>15874</xdr:rowOff>
    </xdr:from>
    <xdr:to>
      <xdr:col>4</xdr:col>
      <xdr:colOff>279398</xdr:colOff>
      <xdr:row>20</xdr:row>
      <xdr:rowOff>87311</xdr:rowOff>
    </xdr:to>
    <mc:AlternateContent xmlns:mc="http://schemas.openxmlformats.org/markup-compatibility/2006" xmlns:a14="http://schemas.microsoft.com/office/drawing/2010/main">
      <mc:Choice Requires="a14">
        <xdr:graphicFrame macro="">
          <xdr:nvGraphicFramePr>
            <xdr:cNvPr id="2" name="Time of Day 1">
              <a:extLst>
                <a:ext uri="{FF2B5EF4-FFF2-40B4-BE49-F238E27FC236}">
                  <a16:creationId xmlns:a16="http://schemas.microsoft.com/office/drawing/2014/main" id="{6D38E0BC-C541-4C20-A904-B1F3B85AD8EC}"/>
                </a:ext>
              </a:extLst>
            </xdr:cNvPr>
            <xdr:cNvGraphicFramePr/>
          </xdr:nvGraphicFramePr>
          <xdr:xfrm>
            <a:off x="0" y="0"/>
            <a:ext cx="0" cy="0"/>
          </xdr:xfrm>
          <a:graphic>
            <a:graphicData uri="http://schemas.microsoft.com/office/drawing/2010/slicer">
              <sle:slicer xmlns:sle="http://schemas.microsoft.com/office/drawing/2010/slicer" name="Time of Day 1"/>
            </a:graphicData>
          </a:graphic>
        </xdr:graphicFrame>
      </mc:Choice>
      <mc:Fallback xmlns="">
        <xdr:sp macro="" textlink="">
          <xdr:nvSpPr>
            <xdr:cNvPr id="0" name=""/>
            <xdr:cNvSpPr>
              <a:spLocks noTextEdit="1"/>
            </xdr:cNvSpPr>
          </xdr:nvSpPr>
          <xdr:spPr>
            <a:xfrm>
              <a:off x="422275" y="2024062"/>
              <a:ext cx="2119311" cy="1182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238123</xdr:colOff>
      <xdr:row>13</xdr:row>
      <xdr:rowOff>15876</xdr:rowOff>
    </xdr:from>
    <xdr:to>
      <xdr:col>7</xdr:col>
      <xdr:colOff>571498</xdr:colOff>
      <xdr:row>20</xdr:row>
      <xdr:rowOff>87312</xdr:rowOff>
    </xdr:to>
    <mc:AlternateContent xmlns:mc="http://schemas.openxmlformats.org/markup-compatibility/2006" xmlns:a14="http://schemas.microsoft.com/office/drawing/2010/main">
      <mc:Choice Requires="a14">
        <xdr:graphicFrame macro="">
          <xdr:nvGraphicFramePr>
            <xdr:cNvPr id="3" name="Weathersit 1">
              <a:extLst>
                <a:ext uri="{FF2B5EF4-FFF2-40B4-BE49-F238E27FC236}">
                  <a16:creationId xmlns:a16="http://schemas.microsoft.com/office/drawing/2014/main" id="{E1C04EB1-22E1-4A87-85B7-7722AC05F72A}"/>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2500311" y="2024064"/>
              <a:ext cx="2166937" cy="1182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7937</xdr:colOff>
      <xdr:row>13</xdr:row>
      <xdr:rowOff>15874</xdr:rowOff>
    </xdr:from>
    <xdr:to>
      <xdr:col>9</xdr:col>
      <xdr:colOff>1285875</xdr:colOff>
      <xdr:row>20</xdr:row>
      <xdr:rowOff>95249</xdr:rowOff>
    </xdr:to>
    <mc:AlternateContent xmlns:mc="http://schemas.openxmlformats.org/markup-compatibility/2006" xmlns:a14="http://schemas.microsoft.com/office/drawing/2010/main">
      <mc:Choice Requires="a14">
        <xdr:graphicFrame macro="">
          <xdr:nvGraphicFramePr>
            <xdr:cNvPr id="4" name="Holiday 1">
              <a:extLst>
                <a:ext uri="{FF2B5EF4-FFF2-40B4-BE49-F238E27FC236}">
                  <a16:creationId xmlns:a16="http://schemas.microsoft.com/office/drawing/2014/main" id="{92B46D9C-0E3F-4A5B-AF3A-40388870C933}"/>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mlns="">
        <xdr:sp macro="" textlink="">
          <xdr:nvSpPr>
            <xdr:cNvPr id="0" name=""/>
            <xdr:cNvSpPr>
              <a:spLocks noTextEdit="1"/>
            </xdr:cNvSpPr>
          </xdr:nvSpPr>
          <xdr:spPr>
            <a:xfrm>
              <a:off x="4714875" y="2024062"/>
              <a:ext cx="1889125"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1349376</xdr:colOff>
      <xdr:row>13</xdr:row>
      <xdr:rowOff>23811</xdr:rowOff>
    </xdr:from>
    <xdr:to>
      <xdr:col>16</xdr:col>
      <xdr:colOff>55565</xdr:colOff>
      <xdr:row>20</xdr:row>
      <xdr:rowOff>79375</xdr:rowOff>
    </xdr:to>
    <mc:AlternateContent xmlns:mc="http://schemas.openxmlformats.org/markup-compatibility/2006" xmlns:a14="http://schemas.microsoft.com/office/drawing/2010/main">
      <mc:Choice Requires="a14">
        <xdr:graphicFrame macro="">
          <xdr:nvGraphicFramePr>
            <xdr:cNvPr id="5" name="Weekday 1">
              <a:extLst>
                <a:ext uri="{FF2B5EF4-FFF2-40B4-BE49-F238E27FC236}">
                  <a16:creationId xmlns:a16="http://schemas.microsoft.com/office/drawing/2014/main" id="{C01C5ADD-8552-44B9-8044-2164483A4554}"/>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6667501" y="2031999"/>
              <a:ext cx="3960814" cy="1166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492126</xdr:colOff>
      <xdr:row>20</xdr:row>
      <xdr:rowOff>127000</xdr:rowOff>
    </xdr:from>
    <xdr:to>
      <xdr:col>8</xdr:col>
      <xdr:colOff>23811</xdr:colOff>
      <xdr:row>34</xdr:row>
      <xdr:rowOff>110950</xdr:rowOff>
    </xdr:to>
    <xdr:graphicFrame macro="">
      <xdr:nvGraphicFramePr>
        <xdr:cNvPr id="7" name="Chart 6">
          <a:extLst>
            <a:ext uri="{FF2B5EF4-FFF2-40B4-BE49-F238E27FC236}">
              <a16:creationId xmlns:a16="http://schemas.microsoft.com/office/drawing/2014/main" id="{CA808CCD-43F7-49B9-8FDA-EDA16A7FA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68791</xdr:colOff>
      <xdr:row>20</xdr:row>
      <xdr:rowOff>134054</xdr:rowOff>
    </xdr:from>
    <xdr:to>
      <xdr:col>13</xdr:col>
      <xdr:colOff>353416</xdr:colOff>
      <xdr:row>34</xdr:row>
      <xdr:rowOff>126999</xdr:rowOff>
    </xdr:to>
    <xdr:graphicFrame macro="">
      <xdr:nvGraphicFramePr>
        <xdr:cNvPr id="8" name="Chart 7">
          <a:extLst>
            <a:ext uri="{FF2B5EF4-FFF2-40B4-BE49-F238E27FC236}">
              <a16:creationId xmlns:a16="http://schemas.microsoft.com/office/drawing/2014/main" id="{3C1B9EAB-A65A-46D1-87D3-FD0007D5F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436562</xdr:colOff>
      <xdr:row>20</xdr:row>
      <xdr:rowOff>134056</xdr:rowOff>
    </xdr:from>
    <xdr:to>
      <xdr:col>22</xdr:col>
      <xdr:colOff>22687</xdr:colOff>
      <xdr:row>34</xdr:row>
      <xdr:rowOff>119062</xdr:rowOff>
    </xdr:to>
    <xdr:graphicFrame macro="">
      <xdr:nvGraphicFramePr>
        <xdr:cNvPr id="9" name="Chart 8">
          <a:extLst>
            <a:ext uri="{FF2B5EF4-FFF2-40B4-BE49-F238E27FC236}">
              <a16:creationId xmlns:a16="http://schemas.microsoft.com/office/drawing/2014/main" id="{02AD5197-58F0-4829-8C3B-39E9A2DB4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484188</xdr:colOff>
      <xdr:row>35</xdr:row>
      <xdr:rowOff>15875</xdr:rowOff>
    </xdr:from>
    <xdr:to>
      <xdr:col>8</xdr:col>
      <xdr:colOff>14750</xdr:colOff>
      <xdr:row>50</xdr:row>
      <xdr:rowOff>10625</xdr:rowOff>
    </xdr:to>
    <xdr:graphicFrame macro="">
      <xdr:nvGraphicFramePr>
        <xdr:cNvPr id="10" name="Chart 9">
          <a:extLst>
            <a:ext uri="{FF2B5EF4-FFF2-40B4-BE49-F238E27FC236}">
              <a16:creationId xmlns:a16="http://schemas.microsoft.com/office/drawing/2014/main" id="{5DD63DF3-7C5F-4FBE-9A45-3C546A7F6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71437</xdr:colOff>
      <xdr:row>35</xdr:row>
      <xdr:rowOff>15875</xdr:rowOff>
    </xdr:from>
    <xdr:to>
      <xdr:col>13</xdr:col>
      <xdr:colOff>356062</xdr:colOff>
      <xdr:row>50</xdr:row>
      <xdr:rowOff>10625</xdr:rowOff>
    </xdr:to>
    <xdr:graphicFrame macro="">
      <xdr:nvGraphicFramePr>
        <xdr:cNvPr id="11" name="Chart 10">
          <a:extLst>
            <a:ext uri="{FF2B5EF4-FFF2-40B4-BE49-F238E27FC236}">
              <a16:creationId xmlns:a16="http://schemas.microsoft.com/office/drawing/2014/main" id="{00DC8D07-096F-4954-B155-297A6667B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412750</xdr:colOff>
      <xdr:row>53</xdr:row>
      <xdr:rowOff>55562</xdr:rowOff>
    </xdr:from>
    <xdr:to>
      <xdr:col>7</xdr:col>
      <xdr:colOff>166688</xdr:colOff>
      <xdr:row>72</xdr:row>
      <xdr:rowOff>71437</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ABB1D0F2-4F78-4609-8F04-AF02846646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12750" y="8412162"/>
              <a:ext cx="3836988" cy="3032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142875</xdr:colOff>
      <xdr:row>13</xdr:row>
      <xdr:rowOff>7932</xdr:rowOff>
    </xdr:from>
    <xdr:to>
      <xdr:col>21</xdr:col>
      <xdr:colOff>603251</xdr:colOff>
      <xdr:row>20</xdr:row>
      <xdr:rowOff>63494</xdr:rowOff>
    </xdr:to>
    <mc:AlternateContent xmlns:mc="http://schemas.openxmlformats.org/markup-compatibility/2006" xmlns:tsle="http://schemas.microsoft.com/office/drawing/2012/timeslicer">
      <mc:Choice Requires="tsle">
        <xdr:graphicFrame macro="">
          <xdr:nvGraphicFramePr>
            <xdr:cNvPr id="14" name="Date 2">
              <a:extLst>
                <a:ext uri="{FF2B5EF4-FFF2-40B4-BE49-F238E27FC236}">
                  <a16:creationId xmlns:a16="http://schemas.microsoft.com/office/drawing/2014/main" id="{E7EC5A6E-1110-4595-92F5-61D03DE80763}"/>
                </a:ext>
              </a:extLst>
            </xdr:cNvPr>
            <xdr:cNvGraphicFramePr>
              <a:graphicFrameLocks/>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0715625" y="2016120"/>
              <a:ext cx="2968626" cy="11668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xdr:colOff>
      <xdr:row>5</xdr:row>
      <xdr:rowOff>71438</xdr:rowOff>
    </xdr:from>
    <xdr:to>
      <xdr:col>12</xdr:col>
      <xdr:colOff>198438</xdr:colOff>
      <xdr:row>11</xdr:row>
      <xdr:rowOff>111125</xdr:rowOff>
    </xdr:to>
    <xdr:graphicFrame macro="">
      <xdr:nvGraphicFramePr>
        <xdr:cNvPr id="15" name="Diagram 14">
          <a:extLst>
            <a:ext uri="{FF2B5EF4-FFF2-40B4-BE49-F238E27FC236}">
              <a16:creationId xmlns:a16="http://schemas.microsoft.com/office/drawing/2014/main" id="{6EE41D2C-F61B-C6AE-6C84-FFB161D4789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7" r:lo="rId8" r:qs="rId9" r:cs="rId10"/>
        </a:graphicData>
      </a:graphic>
    </xdr:graphicFrame>
    <xdr:clientData/>
  </xdr:twoCellAnchor>
  <xdr:twoCellAnchor>
    <xdr:from>
      <xdr:col>12</xdr:col>
      <xdr:colOff>277812</xdr:colOff>
      <xdr:row>5</xdr:row>
      <xdr:rowOff>79373</xdr:rowOff>
    </xdr:from>
    <xdr:to>
      <xdr:col>21</xdr:col>
      <xdr:colOff>603249</xdr:colOff>
      <xdr:row>11</xdr:row>
      <xdr:rowOff>79375</xdr:rowOff>
    </xdr:to>
    <xdr:graphicFrame macro="">
      <xdr:nvGraphicFramePr>
        <xdr:cNvPr id="17" name="Diagram 16">
          <a:extLst>
            <a:ext uri="{FF2B5EF4-FFF2-40B4-BE49-F238E27FC236}">
              <a16:creationId xmlns:a16="http://schemas.microsoft.com/office/drawing/2014/main" id="{1CFE4786-C386-AF39-131B-4B23569BAA6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2" r:lo="rId13" r:qs="rId14" r:cs="rId15"/>
        </a:graphicData>
      </a:graphic>
    </xdr:graphicFrame>
    <xdr:clientData/>
  </xdr:twoCellAnchor>
  <xdr:twoCellAnchor>
    <xdr:from>
      <xdr:col>13</xdr:col>
      <xdr:colOff>420687</xdr:colOff>
      <xdr:row>35</xdr:row>
      <xdr:rowOff>7937</xdr:rowOff>
    </xdr:from>
    <xdr:to>
      <xdr:col>22</xdr:col>
      <xdr:colOff>6812</xdr:colOff>
      <xdr:row>50</xdr:row>
      <xdr:rowOff>0</xdr:rowOff>
    </xdr:to>
    <xdr:graphicFrame macro="">
      <xdr:nvGraphicFramePr>
        <xdr:cNvPr id="18" name="Chart 17">
          <a:extLst>
            <a:ext uri="{FF2B5EF4-FFF2-40B4-BE49-F238E27FC236}">
              <a16:creationId xmlns:a16="http://schemas.microsoft.com/office/drawing/2014/main" id="{B3FA1BE9-7F77-4905-8732-F0E914D2D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246063</xdr:colOff>
      <xdr:row>53</xdr:row>
      <xdr:rowOff>55565</xdr:rowOff>
    </xdr:from>
    <xdr:to>
      <xdr:col>14</xdr:col>
      <xdr:colOff>111125</xdr:colOff>
      <xdr:row>72</xdr:row>
      <xdr:rowOff>87313</xdr:rowOff>
    </xdr:to>
    <xdr:graphicFrame macro="">
      <xdr:nvGraphicFramePr>
        <xdr:cNvPr id="20" name="Chart 19">
          <a:extLst>
            <a:ext uri="{FF2B5EF4-FFF2-40B4-BE49-F238E27FC236}">
              <a16:creationId xmlns:a16="http://schemas.microsoft.com/office/drawing/2014/main" id="{3A648CF5-6E8B-4FC3-AB66-5FED028F7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174625</xdr:colOff>
      <xdr:row>53</xdr:row>
      <xdr:rowOff>63500</xdr:rowOff>
    </xdr:from>
    <xdr:to>
      <xdr:col>22</xdr:col>
      <xdr:colOff>23812</xdr:colOff>
      <xdr:row>72</xdr:row>
      <xdr:rowOff>79375</xdr:rowOff>
    </xdr:to>
    <xdr:graphicFrame macro="">
      <xdr:nvGraphicFramePr>
        <xdr:cNvPr id="21" name="Chart 20">
          <a:extLst>
            <a:ext uri="{FF2B5EF4-FFF2-40B4-BE49-F238E27FC236}">
              <a16:creationId xmlns:a16="http://schemas.microsoft.com/office/drawing/2014/main" id="{B26DA5DC-9504-4CDB-B0B9-5E5CA0E82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0</xdr:rowOff>
    </xdr:from>
    <xdr:to>
      <xdr:col>1</xdr:col>
      <xdr:colOff>1828800</xdr:colOff>
      <xdr:row>25</xdr:row>
      <xdr:rowOff>44450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9D687D5-B1DE-4C59-8D29-BD58E30373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270000"/>
              <a:ext cx="4445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9</xdr:col>
      <xdr:colOff>190500</xdr:colOff>
      <xdr:row>7</xdr:row>
      <xdr:rowOff>38100</xdr:rowOff>
    </xdr:from>
    <xdr:ext cx="184731" cy="254557"/>
    <xdr:sp macro="" textlink="">
      <xdr:nvSpPr>
        <xdr:cNvPr id="3" name="TextBox 2">
          <a:extLst>
            <a:ext uri="{FF2B5EF4-FFF2-40B4-BE49-F238E27FC236}">
              <a16:creationId xmlns:a16="http://schemas.microsoft.com/office/drawing/2014/main" id="{7353828A-4DB6-74D6-7278-A00E989A9999}"/>
            </a:ext>
          </a:extLst>
        </xdr:cNvPr>
        <xdr:cNvSpPr txBox="1"/>
      </xdr:nvSpPr>
      <xdr:spPr>
        <a:xfrm>
          <a:off x="9055100" y="11493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22225</xdr:colOff>
      <xdr:row>5</xdr:row>
      <xdr:rowOff>136525</xdr:rowOff>
    </xdr:from>
    <xdr:to>
      <xdr:col>9</xdr:col>
      <xdr:colOff>276225</xdr:colOff>
      <xdr:row>23</xdr:row>
      <xdr:rowOff>22225</xdr:rowOff>
    </xdr:to>
    <xdr:graphicFrame macro="">
      <xdr:nvGraphicFramePr>
        <xdr:cNvPr id="4" name="Chart 3">
          <a:extLst>
            <a:ext uri="{FF2B5EF4-FFF2-40B4-BE49-F238E27FC236}">
              <a16:creationId xmlns:a16="http://schemas.microsoft.com/office/drawing/2014/main" id="{1BA9AFAC-1934-C538-C60F-DF47A094C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23814</xdr:colOff>
      <xdr:row>27</xdr:row>
      <xdr:rowOff>0</xdr:rowOff>
    </xdr:from>
    <xdr:to>
      <xdr:col>4</xdr:col>
      <xdr:colOff>236539</xdr:colOff>
      <xdr:row>41</xdr:row>
      <xdr:rowOff>101600</xdr:rowOff>
    </xdr:to>
    <xdr:graphicFrame macro="">
      <xdr:nvGraphicFramePr>
        <xdr:cNvPr id="5" name="Chart 4">
          <a:extLst>
            <a:ext uri="{FF2B5EF4-FFF2-40B4-BE49-F238E27FC236}">
              <a16:creationId xmlns:a16="http://schemas.microsoft.com/office/drawing/2014/main" id="{AB8AD18A-E50A-4FDB-8E8C-7FB3C5DF0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1929598</xdr:colOff>
      <xdr:row>8</xdr:row>
      <xdr:rowOff>29832</xdr:rowOff>
    </xdr:from>
    <xdr:to>
      <xdr:col>17</xdr:col>
      <xdr:colOff>801687</xdr:colOff>
      <xdr:row>25</xdr:row>
      <xdr:rowOff>103188</xdr:rowOff>
    </xdr:to>
    <xdr:graphicFrame macro="">
      <xdr:nvGraphicFramePr>
        <xdr:cNvPr id="9" name="Chart 8">
          <a:extLst>
            <a:ext uri="{FF2B5EF4-FFF2-40B4-BE49-F238E27FC236}">
              <a16:creationId xmlns:a16="http://schemas.microsoft.com/office/drawing/2014/main" id="{D76700EA-0BA4-4F58-8767-80B79305C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349251</xdr:colOff>
      <xdr:row>28</xdr:row>
      <xdr:rowOff>120650</xdr:rowOff>
    </xdr:from>
    <xdr:to>
      <xdr:col>12</xdr:col>
      <xdr:colOff>1000125</xdr:colOff>
      <xdr:row>46</xdr:row>
      <xdr:rowOff>6350</xdr:rowOff>
    </xdr:to>
    <xdr:graphicFrame macro="">
      <xdr:nvGraphicFramePr>
        <xdr:cNvPr id="11" name="Chart 10">
          <a:extLst>
            <a:ext uri="{FF2B5EF4-FFF2-40B4-BE49-F238E27FC236}">
              <a16:creationId xmlns:a16="http://schemas.microsoft.com/office/drawing/2014/main" id="{23E6903D-CA33-DD50-6DF7-AFE8866F1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34925</xdr:colOff>
      <xdr:row>25</xdr:row>
      <xdr:rowOff>79378</xdr:rowOff>
    </xdr:from>
    <xdr:to>
      <xdr:col>7</xdr:col>
      <xdr:colOff>1114425</xdr:colOff>
      <xdr:row>34</xdr:row>
      <xdr:rowOff>22228</xdr:rowOff>
    </xdr:to>
    <mc:AlternateContent xmlns:mc="http://schemas.openxmlformats.org/markup-compatibility/2006" xmlns:tsle="http://schemas.microsoft.com/office/drawing/2012/timeslicer">
      <mc:Choice Requires="tsle">
        <xdr:graphicFrame macro="">
          <xdr:nvGraphicFramePr>
            <xdr:cNvPr id="20" name="Date 1">
              <a:extLst>
                <a:ext uri="{FF2B5EF4-FFF2-40B4-BE49-F238E27FC236}">
                  <a16:creationId xmlns:a16="http://schemas.microsoft.com/office/drawing/2014/main" id="{8E1A3FC1-55BD-CE02-AE58-8A69A7634FB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6527800" y="4048128"/>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51594</xdr:colOff>
      <xdr:row>28</xdr:row>
      <xdr:rowOff>132556</xdr:rowOff>
    </xdr:from>
    <xdr:to>
      <xdr:col>17</xdr:col>
      <xdr:colOff>123031</xdr:colOff>
      <xdr:row>46</xdr:row>
      <xdr:rowOff>18256</xdr:rowOff>
    </xdr:to>
    <xdr:graphicFrame macro="">
      <xdr:nvGraphicFramePr>
        <xdr:cNvPr id="2" name="Chart 1">
          <a:extLst>
            <a:ext uri="{FF2B5EF4-FFF2-40B4-BE49-F238E27FC236}">
              <a16:creationId xmlns:a16="http://schemas.microsoft.com/office/drawing/2014/main" id="{CAE70665-9E3C-7638-5534-E54EE37F6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91281</xdr:colOff>
      <xdr:row>23</xdr:row>
      <xdr:rowOff>108744</xdr:rowOff>
    </xdr:from>
    <xdr:to>
      <xdr:col>21</xdr:col>
      <xdr:colOff>265906</xdr:colOff>
      <xdr:row>40</xdr:row>
      <xdr:rowOff>153194</xdr:rowOff>
    </xdr:to>
    <xdr:graphicFrame macro="">
      <xdr:nvGraphicFramePr>
        <xdr:cNvPr id="6" name="Chart 5">
          <a:extLst>
            <a:ext uri="{FF2B5EF4-FFF2-40B4-BE49-F238E27FC236}">
              <a16:creationId xmlns:a16="http://schemas.microsoft.com/office/drawing/2014/main" id="{3CEDF4FD-D21F-E51B-E629-8EE6EC128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ri Thakur" refreshedDate="46295.865757754633" createdVersion="8" refreshedVersion="8" minRefreshableVersion="3" recordCount="1000" xr:uid="{3B85AF28-4F71-458D-A912-212A2DBCFD6F}">
  <cacheSource type="worksheet">
    <worksheetSource name="Append1"/>
  </cacheSource>
  <cacheFields count="16">
    <cacheField name="S.No."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5"/>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 of Day" numFmtId="0">
      <sharedItems count="4">
        <s v="Night"/>
        <s v="Morning"/>
        <s v="Afternoon"/>
        <s v="Evening"/>
      </sharedItems>
    </cacheField>
    <cacheField name="Holiday" numFmtId="0">
      <sharedItems count="2">
        <b v="0"/>
        <b v="1"/>
      </sharedItems>
    </cacheField>
    <cacheField name="Weekday" numFmtId="0">
      <sharedItems count="7">
        <s v="Saturday"/>
        <s v="Sunday"/>
        <s v="Monday"/>
        <s v="Tuesday"/>
        <s v="Wednesday"/>
        <s v="Thursday"/>
        <s v="Friday"/>
      </sharedItems>
    </cacheField>
    <cacheField name="Weathersit" numFmtId="0">
      <sharedItems count="4">
        <s v="Clear Weather"/>
        <s v="Light Rain"/>
        <s v="Heavy Rain"/>
        <s v="Thunderstorm"/>
      </sharedItems>
    </cacheField>
    <cacheField name="Assumed_temp" numFmtId="0">
      <sharedItems containsSemiMixedTypes="0" containsString="0" containsNumber="1" minValue="0" maxValue="0.45" count="30">
        <n v="0.28999999999999998"/>
        <n v="0.27"/>
        <n v="0.26"/>
        <n v="0.2"/>
        <n v="0.35"/>
        <n v="0.39"/>
        <n v="0.33"/>
        <n v="0.42"/>
        <n v="0.45"/>
        <n v="0.44"/>
        <n v="0.41"/>
        <n v="0.23"/>
        <n v="0.21"/>
        <n v="0.14000000000000001"/>
        <n v="0.11"/>
        <n v="0.12"/>
        <n v="0.17"/>
        <n v="0.18"/>
        <n v="0.24"/>
        <n v="0.15"/>
        <n v="0.32"/>
        <n v="0.06"/>
        <n v="0.08"/>
        <n v="0.09"/>
        <n v="0.3"/>
        <n v="0.03"/>
        <n v="0.05"/>
        <n v="0"/>
        <n v="0.02"/>
        <n v="0.36"/>
      </sharedItems>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Humidity" numFmtId="0">
      <sharedItems containsSemiMixedTypes="0" containsString="0" containsNumber="1" minValue="0.21" maxValue="1"/>
    </cacheField>
    <cacheField name="Windspeed" numFmtId="0">
      <sharedItems containsSemiMixedTypes="0" containsString="0" containsNumber="1" minValue="0" maxValue="0.57999999999999996"/>
    </cacheField>
    <cacheField name="Casual_customers"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_customers" numFmtId="0">
      <sharedItems containsSemiMixedTypes="0" containsString="0" containsNumber="1" containsInteger="1" minValue="0" maxValue="247"/>
    </cacheField>
    <cacheField name="Total_cou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8770725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ri Thakur" refreshedDate="46296.033996064813" createdVersion="8" refreshedVersion="8" minRefreshableVersion="3" recordCount="1000" xr:uid="{694500DE-30E0-4FA1-8A27-C776BEAD1DE0}">
  <cacheSource type="worksheet">
    <worksheetSource name="Append1[[Hour]:[Total_count]]"/>
  </cacheSource>
  <cacheFields count="12">
    <cacheField name="Hour" numFmtId="0">
      <sharedItems containsSemiMixedTypes="0" containsString="0" containsNumber="1" containsInteger="1" minValue="0" maxValue="23"/>
    </cacheField>
    <cacheField name="Time of Day" numFmtId="0">
      <sharedItems/>
    </cacheField>
    <cacheField name="Holiday" numFmtId="0">
      <sharedItems/>
    </cacheField>
    <cacheField name="Weekday" numFmtId="0">
      <sharedItems/>
    </cacheField>
    <cacheField name="Weathersit" numFmtId="0">
      <sharedItems/>
    </cacheField>
    <cacheField name="Assumed_temp" numFmtId="0">
      <sharedItems containsSemiMixedTypes="0" containsString="0" containsNumber="1" minValue="0" maxValue="0.45"/>
    </cacheField>
    <cacheField name="Temperature" numFmtId="0">
      <sharedItems containsSemiMixedTypes="0" containsString="0" containsNumber="1" minValue="0.02" maxValue="0.46"/>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7999999999999996" count="20">
        <n v="0"/>
        <n v="0.09"/>
        <n v="0.25"/>
        <n v="0.28000000000000003"/>
        <n v="0.3"/>
        <n v="0.19"/>
        <n v="0.22"/>
        <n v="0.13"/>
        <n v="0.16"/>
        <n v="0.33"/>
        <n v="0.45"/>
        <n v="0.36"/>
        <n v="0.42"/>
        <n v="0.39"/>
        <n v="0.1"/>
        <n v="0.49"/>
        <n v="0.55000000000000004"/>
        <n v="0.46"/>
        <n v="0.52"/>
        <n v="0.57999999999999996"/>
      </sharedItems>
    </cacheField>
    <cacheField name="Casual_customers"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_customers"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Total_cou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x v="0"/>
    <x v="0"/>
    <n v="0.81"/>
    <n v="0"/>
    <x v="0"/>
    <n v="13"/>
    <x v="0"/>
  </r>
  <r>
    <n v="2"/>
    <x v="0"/>
    <x v="1"/>
    <x v="0"/>
    <x v="0"/>
    <x v="0"/>
    <x v="0"/>
    <x v="1"/>
    <x v="1"/>
    <n v="0.8"/>
    <n v="0"/>
    <x v="1"/>
    <n v="32"/>
    <x v="1"/>
  </r>
  <r>
    <n v="3"/>
    <x v="0"/>
    <x v="2"/>
    <x v="0"/>
    <x v="0"/>
    <x v="0"/>
    <x v="0"/>
    <x v="1"/>
    <x v="1"/>
    <n v="0.8"/>
    <n v="0"/>
    <x v="2"/>
    <n v="27"/>
    <x v="2"/>
  </r>
  <r>
    <n v="4"/>
    <x v="0"/>
    <x v="3"/>
    <x v="0"/>
    <x v="0"/>
    <x v="0"/>
    <x v="0"/>
    <x v="0"/>
    <x v="0"/>
    <n v="0.75"/>
    <n v="0"/>
    <x v="0"/>
    <n v="10"/>
    <x v="3"/>
  </r>
  <r>
    <n v="5"/>
    <x v="0"/>
    <x v="4"/>
    <x v="0"/>
    <x v="0"/>
    <x v="0"/>
    <x v="0"/>
    <x v="0"/>
    <x v="0"/>
    <n v="0.75"/>
    <n v="0"/>
    <x v="3"/>
    <n v="1"/>
    <x v="4"/>
  </r>
  <r>
    <n v="6"/>
    <x v="0"/>
    <x v="5"/>
    <x v="0"/>
    <x v="0"/>
    <x v="0"/>
    <x v="1"/>
    <x v="2"/>
    <x v="0"/>
    <n v="0.75"/>
    <n v="0.09"/>
    <x v="3"/>
    <n v="1"/>
    <x v="4"/>
  </r>
  <r>
    <n v="7"/>
    <x v="0"/>
    <x v="6"/>
    <x v="1"/>
    <x v="0"/>
    <x v="0"/>
    <x v="0"/>
    <x v="1"/>
    <x v="1"/>
    <n v="0.8"/>
    <n v="0"/>
    <x v="4"/>
    <n v="0"/>
    <x v="5"/>
  </r>
  <r>
    <n v="8"/>
    <x v="0"/>
    <x v="7"/>
    <x v="1"/>
    <x v="0"/>
    <x v="0"/>
    <x v="0"/>
    <x v="2"/>
    <x v="2"/>
    <n v="0.86"/>
    <n v="0"/>
    <x v="5"/>
    <n v="2"/>
    <x v="6"/>
  </r>
  <r>
    <n v="9"/>
    <x v="0"/>
    <x v="8"/>
    <x v="1"/>
    <x v="0"/>
    <x v="0"/>
    <x v="0"/>
    <x v="3"/>
    <x v="0"/>
    <n v="0.75"/>
    <n v="0"/>
    <x v="5"/>
    <n v="7"/>
    <x v="7"/>
  </r>
  <r>
    <n v="10"/>
    <x v="0"/>
    <x v="9"/>
    <x v="1"/>
    <x v="0"/>
    <x v="0"/>
    <x v="0"/>
    <x v="4"/>
    <x v="3"/>
    <n v="0.76"/>
    <n v="0"/>
    <x v="1"/>
    <n v="6"/>
    <x v="8"/>
  </r>
  <r>
    <n v="11"/>
    <x v="0"/>
    <x v="10"/>
    <x v="1"/>
    <x v="0"/>
    <x v="0"/>
    <x v="0"/>
    <x v="5"/>
    <x v="4"/>
    <n v="0.76"/>
    <n v="0.25"/>
    <x v="6"/>
    <n v="24"/>
    <x v="9"/>
  </r>
  <r>
    <n v="12"/>
    <x v="0"/>
    <x v="11"/>
    <x v="1"/>
    <x v="0"/>
    <x v="0"/>
    <x v="0"/>
    <x v="6"/>
    <x v="5"/>
    <n v="0.81"/>
    <n v="0.28000000000000003"/>
    <x v="7"/>
    <n v="30"/>
    <x v="10"/>
  </r>
  <r>
    <n v="13"/>
    <x v="0"/>
    <x v="12"/>
    <x v="2"/>
    <x v="0"/>
    <x v="0"/>
    <x v="0"/>
    <x v="7"/>
    <x v="6"/>
    <n v="0.77"/>
    <n v="0.28000000000000003"/>
    <x v="8"/>
    <n v="55"/>
    <x v="11"/>
  </r>
  <r>
    <n v="14"/>
    <x v="0"/>
    <x v="13"/>
    <x v="2"/>
    <x v="0"/>
    <x v="0"/>
    <x v="1"/>
    <x v="8"/>
    <x v="7"/>
    <n v="0.72"/>
    <n v="0.3"/>
    <x v="9"/>
    <n v="47"/>
    <x v="12"/>
  </r>
  <r>
    <n v="15"/>
    <x v="0"/>
    <x v="14"/>
    <x v="2"/>
    <x v="0"/>
    <x v="0"/>
    <x v="1"/>
    <x v="8"/>
    <x v="7"/>
    <n v="0.72"/>
    <n v="0.28000000000000003"/>
    <x v="10"/>
    <n v="71"/>
    <x v="13"/>
  </r>
  <r>
    <n v="16"/>
    <x v="0"/>
    <x v="15"/>
    <x v="2"/>
    <x v="0"/>
    <x v="0"/>
    <x v="1"/>
    <x v="9"/>
    <x v="8"/>
    <n v="0.77"/>
    <n v="0.3"/>
    <x v="11"/>
    <n v="70"/>
    <x v="14"/>
  </r>
  <r>
    <n v="17"/>
    <x v="0"/>
    <x v="16"/>
    <x v="2"/>
    <x v="0"/>
    <x v="0"/>
    <x v="1"/>
    <x v="7"/>
    <x v="6"/>
    <n v="0.82"/>
    <n v="0.3"/>
    <x v="12"/>
    <n v="52"/>
    <x v="15"/>
  </r>
  <r>
    <n v="18"/>
    <x v="0"/>
    <x v="17"/>
    <x v="2"/>
    <x v="0"/>
    <x v="0"/>
    <x v="1"/>
    <x v="3"/>
    <x v="8"/>
    <n v="0.82"/>
    <n v="0.28000000000000003"/>
    <x v="13"/>
    <n v="52"/>
    <x v="16"/>
  </r>
  <r>
    <n v="19"/>
    <x v="0"/>
    <x v="18"/>
    <x v="3"/>
    <x v="0"/>
    <x v="0"/>
    <x v="2"/>
    <x v="7"/>
    <x v="6"/>
    <n v="0.88"/>
    <n v="0.25"/>
    <x v="14"/>
    <n v="26"/>
    <x v="17"/>
  </r>
  <r>
    <n v="20"/>
    <x v="0"/>
    <x v="19"/>
    <x v="3"/>
    <x v="0"/>
    <x v="0"/>
    <x v="2"/>
    <x v="7"/>
    <x v="6"/>
    <n v="0.88"/>
    <n v="0.25"/>
    <x v="15"/>
    <n v="31"/>
    <x v="18"/>
  </r>
  <r>
    <n v="21"/>
    <x v="0"/>
    <x v="20"/>
    <x v="3"/>
    <x v="0"/>
    <x v="0"/>
    <x v="1"/>
    <x v="10"/>
    <x v="9"/>
    <n v="0.87"/>
    <n v="0.25"/>
    <x v="16"/>
    <n v="25"/>
    <x v="9"/>
  </r>
  <r>
    <n v="22"/>
    <x v="0"/>
    <x v="21"/>
    <x v="3"/>
    <x v="0"/>
    <x v="0"/>
    <x v="1"/>
    <x v="10"/>
    <x v="9"/>
    <n v="0.87"/>
    <n v="0.19"/>
    <x v="0"/>
    <n v="31"/>
    <x v="19"/>
  </r>
  <r>
    <n v="23"/>
    <x v="0"/>
    <x v="22"/>
    <x v="3"/>
    <x v="0"/>
    <x v="0"/>
    <x v="1"/>
    <x v="10"/>
    <x v="9"/>
    <n v="0.94"/>
    <n v="0.22"/>
    <x v="16"/>
    <n v="17"/>
    <x v="20"/>
  </r>
  <r>
    <n v="24"/>
    <x v="0"/>
    <x v="23"/>
    <x v="3"/>
    <x v="0"/>
    <x v="0"/>
    <x v="1"/>
    <x v="3"/>
    <x v="7"/>
    <n v="0.88"/>
    <n v="0.3"/>
    <x v="13"/>
    <n v="24"/>
    <x v="21"/>
  </r>
  <r>
    <n v="25"/>
    <x v="1"/>
    <x v="0"/>
    <x v="0"/>
    <x v="0"/>
    <x v="1"/>
    <x v="1"/>
    <x v="8"/>
    <x v="7"/>
    <n v="0.88"/>
    <n v="0.3"/>
    <x v="17"/>
    <n v="13"/>
    <x v="22"/>
  </r>
  <r>
    <n v="26"/>
    <x v="1"/>
    <x v="1"/>
    <x v="0"/>
    <x v="0"/>
    <x v="1"/>
    <x v="1"/>
    <x v="9"/>
    <x v="8"/>
    <n v="0.94"/>
    <n v="0.25"/>
    <x v="5"/>
    <n v="16"/>
    <x v="22"/>
  </r>
  <r>
    <n v="27"/>
    <x v="1"/>
    <x v="2"/>
    <x v="0"/>
    <x v="0"/>
    <x v="1"/>
    <x v="1"/>
    <x v="7"/>
    <x v="6"/>
    <n v="1"/>
    <n v="0.28000000000000003"/>
    <x v="5"/>
    <n v="8"/>
    <x v="23"/>
  </r>
  <r>
    <n v="28"/>
    <x v="1"/>
    <x v="3"/>
    <x v="0"/>
    <x v="0"/>
    <x v="1"/>
    <x v="1"/>
    <x v="8"/>
    <x v="7"/>
    <n v="0.94"/>
    <n v="0.19"/>
    <x v="4"/>
    <n v="4"/>
    <x v="24"/>
  </r>
  <r>
    <n v="29"/>
    <x v="1"/>
    <x v="4"/>
    <x v="0"/>
    <x v="0"/>
    <x v="1"/>
    <x v="1"/>
    <x v="3"/>
    <x v="7"/>
    <n v="0.94"/>
    <n v="0.19"/>
    <x v="4"/>
    <n v="1"/>
    <x v="6"/>
  </r>
  <r>
    <n v="30"/>
    <x v="1"/>
    <x v="6"/>
    <x v="1"/>
    <x v="0"/>
    <x v="1"/>
    <x v="2"/>
    <x v="7"/>
    <x v="6"/>
    <n v="0.77"/>
    <n v="0.3"/>
    <x v="3"/>
    <n v="2"/>
    <x v="5"/>
  </r>
  <r>
    <n v="31"/>
    <x v="1"/>
    <x v="7"/>
    <x v="1"/>
    <x v="0"/>
    <x v="1"/>
    <x v="1"/>
    <x v="10"/>
    <x v="9"/>
    <n v="0.76"/>
    <n v="0.19"/>
    <x v="3"/>
    <n v="1"/>
    <x v="4"/>
  </r>
  <r>
    <n v="32"/>
    <x v="1"/>
    <x v="8"/>
    <x v="1"/>
    <x v="0"/>
    <x v="1"/>
    <x v="2"/>
    <x v="10"/>
    <x v="9"/>
    <n v="0.71"/>
    <n v="0.22"/>
    <x v="3"/>
    <n v="8"/>
    <x v="7"/>
  </r>
  <r>
    <n v="33"/>
    <x v="1"/>
    <x v="9"/>
    <x v="1"/>
    <x v="0"/>
    <x v="1"/>
    <x v="1"/>
    <x v="3"/>
    <x v="4"/>
    <n v="0.76"/>
    <n v="0.22"/>
    <x v="5"/>
    <n v="19"/>
    <x v="25"/>
  </r>
  <r>
    <n v="34"/>
    <x v="1"/>
    <x v="10"/>
    <x v="1"/>
    <x v="0"/>
    <x v="1"/>
    <x v="1"/>
    <x v="4"/>
    <x v="5"/>
    <n v="0.81"/>
    <n v="0.22"/>
    <x v="18"/>
    <n v="46"/>
    <x v="26"/>
  </r>
  <r>
    <n v="35"/>
    <x v="1"/>
    <x v="11"/>
    <x v="1"/>
    <x v="0"/>
    <x v="1"/>
    <x v="1"/>
    <x v="6"/>
    <x v="5"/>
    <n v="0.71"/>
    <n v="0.25"/>
    <x v="19"/>
    <n v="54"/>
    <x v="27"/>
  </r>
  <r>
    <n v="36"/>
    <x v="1"/>
    <x v="12"/>
    <x v="2"/>
    <x v="0"/>
    <x v="1"/>
    <x v="1"/>
    <x v="6"/>
    <x v="5"/>
    <n v="0.66"/>
    <n v="0.3"/>
    <x v="20"/>
    <n v="73"/>
    <x v="15"/>
  </r>
  <r>
    <n v="37"/>
    <x v="1"/>
    <x v="13"/>
    <x v="2"/>
    <x v="0"/>
    <x v="1"/>
    <x v="1"/>
    <x v="4"/>
    <x v="5"/>
    <n v="0.66"/>
    <n v="0.13"/>
    <x v="16"/>
    <n v="64"/>
    <x v="28"/>
  </r>
  <r>
    <n v="38"/>
    <x v="1"/>
    <x v="14"/>
    <x v="2"/>
    <x v="0"/>
    <x v="1"/>
    <x v="2"/>
    <x v="3"/>
    <x v="5"/>
    <n v="0.76"/>
    <n v="0.19"/>
    <x v="17"/>
    <n v="55"/>
    <x v="29"/>
  </r>
  <r>
    <n v="39"/>
    <x v="1"/>
    <x v="15"/>
    <x v="2"/>
    <x v="0"/>
    <x v="1"/>
    <x v="2"/>
    <x v="6"/>
    <x v="10"/>
    <n v="0.81"/>
    <n v="0.16"/>
    <x v="21"/>
    <n v="55"/>
    <x v="30"/>
  </r>
  <r>
    <n v="40"/>
    <x v="1"/>
    <x v="16"/>
    <x v="2"/>
    <x v="0"/>
    <x v="1"/>
    <x v="2"/>
    <x v="6"/>
    <x v="10"/>
    <n v="0.71"/>
    <n v="0.16"/>
    <x v="14"/>
    <n v="67"/>
    <x v="31"/>
  </r>
  <r>
    <n v="41"/>
    <x v="1"/>
    <x v="17"/>
    <x v="2"/>
    <x v="0"/>
    <x v="1"/>
    <x v="0"/>
    <x v="6"/>
    <x v="10"/>
    <n v="0.56999999999999995"/>
    <n v="0.19"/>
    <x v="18"/>
    <n v="58"/>
    <x v="32"/>
  </r>
  <r>
    <n v="42"/>
    <x v="1"/>
    <x v="18"/>
    <x v="3"/>
    <x v="0"/>
    <x v="1"/>
    <x v="1"/>
    <x v="6"/>
    <x v="5"/>
    <n v="0.46"/>
    <n v="0.33"/>
    <x v="22"/>
    <n v="43"/>
    <x v="26"/>
  </r>
  <r>
    <n v="43"/>
    <x v="1"/>
    <x v="19"/>
    <x v="3"/>
    <x v="0"/>
    <x v="1"/>
    <x v="0"/>
    <x v="0"/>
    <x v="3"/>
    <n v="0.42"/>
    <n v="0.45"/>
    <x v="5"/>
    <n v="29"/>
    <x v="33"/>
  </r>
  <r>
    <n v="44"/>
    <x v="1"/>
    <x v="20"/>
    <x v="3"/>
    <x v="0"/>
    <x v="1"/>
    <x v="0"/>
    <x v="3"/>
    <x v="11"/>
    <n v="0.39"/>
    <n v="0.36"/>
    <x v="2"/>
    <n v="17"/>
    <x v="34"/>
  </r>
  <r>
    <n v="45"/>
    <x v="1"/>
    <x v="21"/>
    <x v="3"/>
    <x v="0"/>
    <x v="1"/>
    <x v="0"/>
    <x v="11"/>
    <x v="12"/>
    <n v="0.44"/>
    <n v="0.33"/>
    <x v="16"/>
    <n v="20"/>
    <x v="35"/>
  </r>
  <r>
    <n v="46"/>
    <x v="1"/>
    <x v="22"/>
    <x v="3"/>
    <x v="0"/>
    <x v="1"/>
    <x v="0"/>
    <x v="12"/>
    <x v="0"/>
    <n v="0.44"/>
    <n v="0.3"/>
    <x v="3"/>
    <n v="9"/>
    <x v="23"/>
  </r>
  <r>
    <n v="47"/>
    <x v="1"/>
    <x v="23"/>
    <x v="3"/>
    <x v="0"/>
    <x v="1"/>
    <x v="0"/>
    <x v="11"/>
    <x v="1"/>
    <n v="0.47"/>
    <n v="0.16"/>
    <x v="3"/>
    <n v="8"/>
    <x v="7"/>
  </r>
  <r>
    <n v="48"/>
    <x v="2"/>
    <x v="0"/>
    <x v="0"/>
    <x v="0"/>
    <x v="2"/>
    <x v="0"/>
    <x v="3"/>
    <x v="1"/>
    <n v="0.44"/>
    <n v="0.36"/>
    <x v="3"/>
    <n v="5"/>
    <x v="36"/>
  </r>
  <r>
    <n v="49"/>
    <x v="2"/>
    <x v="1"/>
    <x v="0"/>
    <x v="0"/>
    <x v="2"/>
    <x v="0"/>
    <x v="3"/>
    <x v="2"/>
    <n v="0.44"/>
    <n v="0.42"/>
    <x v="3"/>
    <n v="2"/>
    <x v="5"/>
  </r>
  <r>
    <n v="50"/>
    <x v="2"/>
    <x v="4"/>
    <x v="0"/>
    <x v="0"/>
    <x v="2"/>
    <x v="0"/>
    <x v="13"/>
    <x v="13"/>
    <n v="0.47"/>
    <n v="0.39"/>
    <x v="3"/>
    <n v="1"/>
    <x v="4"/>
  </r>
  <r>
    <n v="51"/>
    <x v="2"/>
    <x v="5"/>
    <x v="0"/>
    <x v="0"/>
    <x v="2"/>
    <x v="0"/>
    <x v="13"/>
    <x v="13"/>
    <n v="0.47"/>
    <n v="0.28000000000000003"/>
    <x v="3"/>
    <n v="3"/>
    <x v="6"/>
  </r>
  <r>
    <n v="52"/>
    <x v="2"/>
    <x v="6"/>
    <x v="1"/>
    <x v="0"/>
    <x v="2"/>
    <x v="0"/>
    <x v="14"/>
    <x v="14"/>
    <n v="0.5"/>
    <n v="0.39"/>
    <x v="3"/>
    <n v="30"/>
    <x v="33"/>
  </r>
  <r>
    <n v="53"/>
    <x v="2"/>
    <x v="7"/>
    <x v="1"/>
    <x v="0"/>
    <x v="2"/>
    <x v="0"/>
    <x v="13"/>
    <x v="14"/>
    <n v="0.5"/>
    <n v="0.19"/>
    <x v="5"/>
    <n v="63"/>
    <x v="37"/>
  </r>
  <r>
    <n v="54"/>
    <x v="2"/>
    <x v="8"/>
    <x v="1"/>
    <x v="0"/>
    <x v="2"/>
    <x v="0"/>
    <x v="15"/>
    <x v="14"/>
    <n v="0.5"/>
    <n v="0.28000000000000003"/>
    <x v="5"/>
    <n v="153"/>
    <x v="38"/>
  </r>
  <r>
    <n v="55"/>
    <x v="2"/>
    <x v="9"/>
    <x v="1"/>
    <x v="0"/>
    <x v="2"/>
    <x v="0"/>
    <x v="13"/>
    <x v="13"/>
    <n v="0.43"/>
    <n v="0.39"/>
    <x v="18"/>
    <n v="81"/>
    <x v="39"/>
  </r>
  <r>
    <n v="56"/>
    <x v="2"/>
    <x v="10"/>
    <x v="1"/>
    <x v="0"/>
    <x v="2"/>
    <x v="0"/>
    <x v="16"/>
    <x v="15"/>
    <n v="0.43"/>
    <n v="0.25"/>
    <x v="16"/>
    <n v="33"/>
    <x v="40"/>
  </r>
  <r>
    <n v="57"/>
    <x v="2"/>
    <x v="11"/>
    <x v="1"/>
    <x v="0"/>
    <x v="2"/>
    <x v="0"/>
    <x v="17"/>
    <x v="2"/>
    <n v="0.4"/>
    <n v="0.33"/>
    <x v="22"/>
    <n v="41"/>
    <x v="41"/>
  </r>
  <r>
    <n v="58"/>
    <x v="2"/>
    <x v="12"/>
    <x v="2"/>
    <x v="0"/>
    <x v="2"/>
    <x v="0"/>
    <x v="12"/>
    <x v="1"/>
    <n v="0.35"/>
    <n v="0.3"/>
    <x v="23"/>
    <n v="48"/>
    <x v="42"/>
  </r>
  <r>
    <n v="59"/>
    <x v="2"/>
    <x v="13"/>
    <x v="2"/>
    <x v="0"/>
    <x v="2"/>
    <x v="0"/>
    <x v="3"/>
    <x v="0"/>
    <n v="0.35"/>
    <n v="0.28000000000000003"/>
    <x v="1"/>
    <n v="53"/>
    <x v="42"/>
  </r>
  <r>
    <n v="60"/>
    <x v="2"/>
    <x v="14"/>
    <x v="2"/>
    <x v="0"/>
    <x v="2"/>
    <x v="0"/>
    <x v="18"/>
    <x v="12"/>
    <n v="0.3"/>
    <n v="0.28000000000000003"/>
    <x v="16"/>
    <n v="66"/>
    <x v="43"/>
  </r>
  <r>
    <n v="61"/>
    <x v="2"/>
    <x v="15"/>
    <x v="2"/>
    <x v="0"/>
    <x v="2"/>
    <x v="0"/>
    <x v="18"/>
    <x v="12"/>
    <n v="0.3"/>
    <n v="0.25"/>
    <x v="24"/>
    <n v="58"/>
    <x v="44"/>
  </r>
  <r>
    <n v="62"/>
    <x v="2"/>
    <x v="16"/>
    <x v="2"/>
    <x v="0"/>
    <x v="2"/>
    <x v="0"/>
    <x v="18"/>
    <x v="12"/>
    <n v="0.3"/>
    <n v="0.25"/>
    <x v="14"/>
    <n v="67"/>
    <x v="31"/>
  </r>
  <r>
    <n v="63"/>
    <x v="2"/>
    <x v="17"/>
    <x v="2"/>
    <x v="0"/>
    <x v="2"/>
    <x v="0"/>
    <x v="11"/>
    <x v="0"/>
    <n v="0.3"/>
    <n v="0.22"/>
    <x v="16"/>
    <n v="146"/>
    <x v="45"/>
  </r>
  <r>
    <n v="64"/>
    <x v="2"/>
    <x v="18"/>
    <x v="3"/>
    <x v="0"/>
    <x v="2"/>
    <x v="0"/>
    <x v="2"/>
    <x v="0"/>
    <n v="0.32"/>
    <n v="0.1"/>
    <x v="14"/>
    <n v="148"/>
    <x v="45"/>
  </r>
  <r>
    <n v="65"/>
    <x v="2"/>
    <x v="19"/>
    <x v="3"/>
    <x v="0"/>
    <x v="2"/>
    <x v="0"/>
    <x v="2"/>
    <x v="2"/>
    <n v="0.47"/>
    <n v="0"/>
    <x v="1"/>
    <n v="102"/>
    <x v="14"/>
  </r>
  <r>
    <n v="66"/>
    <x v="2"/>
    <x v="20"/>
    <x v="3"/>
    <x v="0"/>
    <x v="2"/>
    <x v="0"/>
    <x v="3"/>
    <x v="2"/>
    <n v="0.47"/>
    <n v="0.1"/>
    <x v="0"/>
    <n v="49"/>
    <x v="46"/>
  </r>
  <r>
    <n v="67"/>
    <x v="2"/>
    <x v="21"/>
    <x v="3"/>
    <x v="0"/>
    <x v="2"/>
    <x v="0"/>
    <x v="3"/>
    <x v="15"/>
    <n v="0.64"/>
    <n v="0.13"/>
    <x v="0"/>
    <n v="49"/>
    <x v="46"/>
  </r>
  <r>
    <n v="68"/>
    <x v="2"/>
    <x v="22"/>
    <x v="3"/>
    <x v="0"/>
    <x v="2"/>
    <x v="0"/>
    <x v="19"/>
    <x v="14"/>
    <n v="0.69"/>
    <n v="0.13"/>
    <x v="3"/>
    <n v="20"/>
    <x v="25"/>
  </r>
  <r>
    <n v="69"/>
    <x v="2"/>
    <x v="23"/>
    <x v="3"/>
    <x v="0"/>
    <x v="2"/>
    <x v="0"/>
    <x v="12"/>
    <x v="15"/>
    <n v="0.55000000000000004"/>
    <n v="0.1"/>
    <x v="5"/>
    <n v="11"/>
    <x v="47"/>
  </r>
  <r>
    <n v="70"/>
    <x v="3"/>
    <x v="0"/>
    <x v="0"/>
    <x v="0"/>
    <x v="3"/>
    <x v="0"/>
    <x v="3"/>
    <x v="13"/>
    <n v="0.55000000000000004"/>
    <n v="0.1"/>
    <x v="3"/>
    <n v="5"/>
    <x v="36"/>
  </r>
  <r>
    <n v="71"/>
    <x v="3"/>
    <x v="1"/>
    <x v="0"/>
    <x v="0"/>
    <x v="3"/>
    <x v="0"/>
    <x v="17"/>
    <x v="13"/>
    <n v="0.59"/>
    <n v="0.1"/>
    <x v="3"/>
    <n v="2"/>
    <x v="5"/>
  </r>
  <r>
    <n v="72"/>
    <x v="3"/>
    <x v="2"/>
    <x v="0"/>
    <x v="0"/>
    <x v="3"/>
    <x v="0"/>
    <x v="19"/>
    <x v="14"/>
    <n v="0.63"/>
    <n v="0.13"/>
    <x v="3"/>
    <n v="1"/>
    <x v="4"/>
  </r>
  <r>
    <n v="73"/>
    <x v="3"/>
    <x v="4"/>
    <x v="0"/>
    <x v="0"/>
    <x v="3"/>
    <x v="0"/>
    <x v="17"/>
    <x v="14"/>
    <n v="0.63"/>
    <n v="0.09"/>
    <x v="3"/>
    <n v="2"/>
    <x v="5"/>
  </r>
  <r>
    <n v="74"/>
    <x v="3"/>
    <x v="5"/>
    <x v="0"/>
    <x v="0"/>
    <x v="3"/>
    <x v="0"/>
    <x v="19"/>
    <x v="16"/>
    <n v="0.68"/>
    <n v="0.1"/>
    <x v="3"/>
    <n v="4"/>
    <x v="48"/>
  </r>
  <r>
    <n v="75"/>
    <x v="3"/>
    <x v="6"/>
    <x v="1"/>
    <x v="0"/>
    <x v="3"/>
    <x v="0"/>
    <x v="19"/>
    <x v="16"/>
    <n v="0.74"/>
    <n v="0.1"/>
    <x v="3"/>
    <n v="36"/>
    <x v="9"/>
  </r>
  <r>
    <n v="76"/>
    <x v="3"/>
    <x v="7"/>
    <x v="1"/>
    <x v="0"/>
    <x v="3"/>
    <x v="0"/>
    <x v="19"/>
    <x v="16"/>
    <n v="0.74"/>
    <n v="0.13"/>
    <x v="4"/>
    <n v="92"/>
    <x v="12"/>
  </r>
  <r>
    <n v="77"/>
    <x v="3"/>
    <x v="8"/>
    <x v="1"/>
    <x v="0"/>
    <x v="3"/>
    <x v="0"/>
    <x v="19"/>
    <x v="14"/>
    <n v="0.69"/>
    <n v="0.16"/>
    <x v="4"/>
    <n v="177"/>
    <x v="49"/>
  </r>
  <r>
    <n v="78"/>
    <x v="3"/>
    <x v="9"/>
    <x v="1"/>
    <x v="0"/>
    <x v="3"/>
    <x v="0"/>
    <x v="19"/>
    <x v="13"/>
    <n v="0.64"/>
    <n v="0.22"/>
    <x v="4"/>
    <n v="98"/>
    <x v="50"/>
  </r>
  <r>
    <n v="79"/>
    <x v="3"/>
    <x v="10"/>
    <x v="1"/>
    <x v="0"/>
    <x v="3"/>
    <x v="1"/>
    <x v="13"/>
    <x v="13"/>
    <n v="0.69"/>
    <n v="0.33"/>
    <x v="2"/>
    <n v="37"/>
    <x v="51"/>
  </r>
  <r>
    <n v="80"/>
    <x v="3"/>
    <x v="11"/>
    <x v="1"/>
    <x v="0"/>
    <x v="3"/>
    <x v="0"/>
    <x v="12"/>
    <x v="1"/>
    <n v="0.51"/>
    <n v="0.3"/>
    <x v="18"/>
    <n v="50"/>
    <x v="52"/>
  </r>
  <r>
    <n v="81"/>
    <x v="3"/>
    <x v="12"/>
    <x v="2"/>
    <x v="0"/>
    <x v="3"/>
    <x v="0"/>
    <x v="11"/>
    <x v="1"/>
    <n v="0.51"/>
    <n v="0.16"/>
    <x v="6"/>
    <n v="66"/>
    <x v="53"/>
  </r>
  <r>
    <n v="82"/>
    <x v="3"/>
    <x v="13"/>
    <x v="2"/>
    <x v="0"/>
    <x v="3"/>
    <x v="0"/>
    <x v="11"/>
    <x v="0"/>
    <n v="0.56000000000000005"/>
    <n v="0.19"/>
    <x v="25"/>
    <n v="79"/>
    <x v="54"/>
  </r>
  <r>
    <n v="83"/>
    <x v="3"/>
    <x v="14"/>
    <x v="2"/>
    <x v="0"/>
    <x v="3"/>
    <x v="0"/>
    <x v="2"/>
    <x v="12"/>
    <n v="0.52"/>
    <n v="0.22"/>
    <x v="14"/>
    <n v="54"/>
    <x v="55"/>
  </r>
  <r>
    <n v="84"/>
    <x v="3"/>
    <x v="15"/>
    <x v="2"/>
    <x v="0"/>
    <x v="3"/>
    <x v="0"/>
    <x v="1"/>
    <x v="17"/>
    <n v="0.52"/>
    <n v="0.25"/>
    <x v="26"/>
    <n v="48"/>
    <x v="32"/>
  </r>
  <r>
    <n v="85"/>
    <x v="3"/>
    <x v="16"/>
    <x v="2"/>
    <x v="0"/>
    <x v="3"/>
    <x v="0"/>
    <x v="0"/>
    <x v="11"/>
    <n v="0.49"/>
    <n v="0.25"/>
    <x v="13"/>
    <n v="68"/>
    <x v="56"/>
  </r>
  <r>
    <n v="86"/>
    <x v="3"/>
    <x v="17"/>
    <x v="2"/>
    <x v="0"/>
    <x v="3"/>
    <x v="0"/>
    <x v="1"/>
    <x v="17"/>
    <n v="0.48"/>
    <n v="0.22"/>
    <x v="22"/>
    <n v="202"/>
    <x v="57"/>
  </r>
  <r>
    <n v="87"/>
    <x v="3"/>
    <x v="18"/>
    <x v="3"/>
    <x v="0"/>
    <x v="3"/>
    <x v="0"/>
    <x v="2"/>
    <x v="12"/>
    <n v="0.48"/>
    <n v="0.19"/>
    <x v="0"/>
    <n v="179"/>
    <x v="58"/>
  </r>
  <r>
    <n v="88"/>
    <x v="3"/>
    <x v="19"/>
    <x v="3"/>
    <x v="0"/>
    <x v="3"/>
    <x v="0"/>
    <x v="2"/>
    <x v="0"/>
    <n v="0.48"/>
    <n v="0.1"/>
    <x v="4"/>
    <n v="110"/>
    <x v="59"/>
  </r>
  <r>
    <n v="89"/>
    <x v="3"/>
    <x v="20"/>
    <x v="3"/>
    <x v="0"/>
    <x v="3"/>
    <x v="0"/>
    <x v="2"/>
    <x v="0"/>
    <n v="0.48"/>
    <n v="0.1"/>
    <x v="5"/>
    <n v="53"/>
    <x v="60"/>
  </r>
  <r>
    <n v="90"/>
    <x v="3"/>
    <x v="21"/>
    <x v="3"/>
    <x v="0"/>
    <x v="3"/>
    <x v="0"/>
    <x v="1"/>
    <x v="1"/>
    <n v="0.64"/>
    <n v="0"/>
    <x v="3"/>
    <n v="48"/>
    <x v="61"/>
  </r>
  <r>
    <n v="91"/>
    <x v="3"/>
    <x v="22"/>
    <x v="3"/>
    <x v="0"/>
    <x v="3"/>
    <x v="0"/>
    <x v="2"/>
    <x v="1"/>
    <n v="0.64"/>
    <n v="0.09"/>
    <x v="5"/>
    <n v="34"/>
    <x v="17"/>
  </r>
  <r>
    <n v="92"/>
    <x v="3"/>
    <x v="23"/>
    <x v="3"/>
    <x v="0"/>
    <x v="3"/>
    <x v="0"/>
    <x v="11"/>
    <x v="2"/>
    <n v="0.69"/>
    <n v="0.09"/>
    <x v="4"/>
    <n v="9"/>
    <x v="62"/>
  </r>
  <r>
    <n v="93"/>
    <x v="4"/>
    <x v="0"/>
    <x v="0"/>
    <x v="0"/>
    <x v="4"/>
    <x v="0"/>
    <x v="2"/>
    <x v="2"/>
    <n v="0.64"/>
    <n v="0"/>
    <x v="3"/>
    <n v="6"/>
    <x v="24"/>
  </r>
  <r>
    <n v="94"/>
    <x v="4"/>
    <x v="1"/>
    <x v="0"/>
    <x v="0"/>
    <x v="4"/>
    <x v="0"/>
    <x v="3"/>
    <x v="13"/>
    <n v="0.74"/>
    <n v="0.09"/>
    <x v="3"/>
    <n v="6"/>
    <x v="24"/>
  </r>
  <r>
    <n v="95"/>
    <x v="4"/>
    <x v="2"/>
    <x v="0"/>
    <x v="0"/>
    <x v="4"/>
    <x v="0"/>
    <x v="3"/>
    <x v="13"/>
    <n v="0.74"/>
    <n v="0.09"/>
    <x v="3"/>
    <n v="2"/>
    <x v="5"/>
  </r>
  <r>
    <n v="96"/>
    <x v="4"/>
    <x v="4"/>
    <x v="0"/>
    <x v="0"/>
    <x v="4"/>
    <x v="0"/>
    <x v="11"/>
    <x v="0"/>
    <n v="0.48"/>
    <n v="0.22"/>
    <x v="3"/>
    <n v="2"/>
    <x v="5"/>
  </r>
  <r>
    <n v="97"/>
    <x v="4"/>
    <x v="5"/>
    <x v="0"/>
    <x v="0"/>
    <x v="4"/>
    <x v="0"/>
    <x v="11"/>
    <x v="1"/>
    <n v="0.47"/>
    <n v="0.16"/>
    <x v="3"/>
    <n v="3"/>
    <x v="6"/>
  </r>
  <r>
    <n v="98"/>
    <x v="4"/>
    <x v="6"/>
    <x v="1"/>
    <x v="0"/>
    <x v="4"/>
    <x v="0"/>
    <x v="3"/>
    <x v="2"/>
    <n v="0.47"/>
    <n v="0.22"/>
    <x v="3"/>
    <n v="33"/>
    <x v="63"/>
  </r>
  <r>
    <n v="99"/>
    <x v="4"/>
    <x v="7"/>
    <x v="1"/>
    <x v="0"/>
    <x v="4"/>
    <x v="0"/>
    <x v="17"/>
    <x v="15"/>
    <n v="0.43"/>
    <n v="0.19"/>
    <x v="5"/>
    <n v="87"/>
    <x v="39"/>
  </r>
  <r>
    <n v="100"/>
    <x v="4"/>
    <x v="8"/>
    <x v="1"/>
    <x v="0"/>
    <x v="4"/>
    <x v="0"/>
    <x v="17"/>
    <x v="2"/>
    <n v="0.4"/>
    <n v="0.3"/>
    <x v="0"/>
    <n v="192"/>
    <x v="64"/>
  </r>
  <r>
    <n v="101"/>
    <x v="4"/>
    <x v="9"/>
    <x v="1"/>
    <x v="0"/>
    <x v="4"/>
    <x v="0"/>
    <x v="3"/>
    <x v="1"/>
    <n v="0.37"/>
    <n v="0.33"/>
    <x v="15"/>
    <n v="109"/>
    <x v="65"/>
  </r>
  <r>
    <n v="102"/>
    <x v="4"/>
    <x v="10"/>
    <x v="1"/>
    <x v="0"/>
    <x v="4"/>
    <x v="0"/>
    <x v="3"/>
    <x v="1"/>
    <n v="0.37"/>
    <n v="0.33"/>
    <x v="17"/>
    <n v="53"/>
    <x v="52"/>
  </r>
  <r>
    <n v="103"/>
    <x v="4"/>
    <x v="11"/>
    <x v="1"/>
    <x v="0"/>
    <x v="4"/>
    <x v="0"/>
    <x v="11"/>
    <x v="12"/>
    <n v="0.33"/>
    <n v="0.33"/>
    <x v="6"/>
    <n v="34"/>
    <x v="66"/>
  </r>
  <r>
    <n v="104"/>
    <x v="4"/>
    <x v="12"/>
    <x v="2"/>
    <x v="0"/>
    <x v="4"/>
    <x v="0"/>
    <x v="11"/>
    <x v="12"/>
    <n v="0.33"/>
    <n v="0.33"/>
    <x v="2"/>
    <n v="74"/>
    <x v="67"/>
  </r>
  <r>
    <n v="105"/>
    <x v="4"/>
    <x v="13"/>
    <x v="2"/>
    <x v="0"/>
    <x v="4"/>
    <x v="0"/>
    <x v="2"/>
    <x v="17"/>
    <n v="0.3"/>
    <n v="0.3"/>
    <x v="15"/>
    <n v="65"/>
    <x v="68"/>
  </r>
  <r>
    <n v="106"/>
    <x v="4"/>
    <x v="14"/>
    <x v="2"/>
    <x v="0"/>
    <x v="4"/>
    <x v="0"/>
    <x v="0"/>
    <x v="11"/>
    <n v="0.28000000000000003"/>
    <n v="0.19"/>
    <x v="22"/>
    <n v="52"/>
    <x v="69"/>
  </r>
  <r>
    <n v="107"/>
    <x v="4"/>
    <x v="15"/>
    <x v="2"/>
    <x v="0"/>
    <x v="4"/>
    <x v="0"/>
    <x v="0"/>
    <x v="11"/>
    <n v="0.28000000000000003"/>
    <n v="0.19"/>
    <x v="18"/>
    <n v="55"/>
    <x v="69"/>
  </r>
  <r>
    <n v="108"/>
    <x v="4"/>
    <x v="16"/>
    <x v="2"/>
    <x v="0"/>
    <x v="4"/>
    <x v="0"/>
    <x v="20"/>
    <x v="11"/>
    <n v="0.28000000000000003"/>
    <n v="0.09"/>
    <x v="17"/>
    <n v="85"/>
    <x v="70"/>
  </r>
  <r>
    <n v="109"/>
    <x v="4"/>
    <x v="17"/>
    <x v="2"/>
    <x v="0"/>
    <x v="4"/>
    <x v="0"/>
    <x v="11"/>
    <x v="0"/>
    <n v="0.38"/>
    <n v="0.19"/>
    <x v="17"/>
    <n v="186"/>
    <x v="71"/>
  </r>
  <r>
    <n v="110"/>
    <x v="4"/>
    <x v="18"/>
    <x v="3"/>
    <x v="0"/>
    <x v="4"/>
    <x v="0"/>
    <x v="18"/>
    <x v="0"/>
    <n v="0.38"/>
    <n v="0.13"/>
    <x v="0"/>
    <n v="166"/>
    <x v="72"/>
  </r>
  <r>
    <n v="111"/>
    <x v="4"/>
    <x v="19"/>
    <x v="3"/>
    <x v="0"/>
    <x v="4"/>
    <x v="0"/>
    <x v="2"/>
    <x v="0"/>
    <n v="0.38"/>
    <n v="0.1"/>
    <x v="2"/>
    <n v="127"/>
    <x v="73"/>
  </r>
  <r>
    <n v="112"/>
    <x v="4"/>
    <x v="20"/>
    <x v="3"/>
    <x v="0"/>
    <x v="4"/>
    <x v="0"/>
    <x v="11"/>
    <x v="1"/>
    <n v="0.47"/>
    <n v="0.16"/>
    <x v="18"/>
    <n v="82"/>
    <x v="70"/>
  </r>
  <r>
    <n v="113"/>
    <x v="4"/>
    <x v="21"/>
    <x v="3"/>
    <x v="0"/>
    <x v="4"/>
    <x v="0"/>
    <x v="3"/>
    <x v="2"/>
    <n v="0.51"/>
    <n v="0.19"/>
    <x v="0"/>
    <n v="40"/>
    <x v="74"/>
  </r>
  <r>
    <n v="114"/>
    <x v="4"/>
    <x v="22"/>
    <x v="3"/>
    <x v="0"/>
    <x v="4"/>
    <x v="0"/>
    <x v="3"/>
    <x v="15"/>
    <n v="0.55000000000000004"/>
    <n v="0.13"/>
    <x v="5"/>
    <n v="41"/>
    <x v="51"/>
  </r>
  <r>
    <n v="115"/>
    <x v="4"/>
    <x v="23"/>
    <x v="3"/>
    <x v="0"/>
    <x v="4"/>
    <x v="0"/>
    <x v="2"/>
    <x v="2"/>
    <n v="0.47"/>
    <n v="0"/>
    <x v="5"/>
    <n v="18"/>
    <x v="75"/>
  </r>
  <r>
    <n v="116"/>
    <x v="5"/>
    <x v="0"/>
    <x v="0"/>
    <x v="0"/>
    <x v="5"/>
    <x v="0"/>
    <x v="18"/>
    <x v="15"/>
    <n v="0.55000000000000004"/>
    <n v="0"/>
    <x v="3"/>
    <n v="11"/>
    <x v="62"/>
  </r>
  <r>
    <n v="117"/>
    <x v="5"/>
    <x v="1"/>
    <x v="0"/>
    <x v="0"/>
    <x v="5"/>
    <x v="0"/>
    <x v="11"/>
    <x v="13"/>
    <n v="0.64"/>
    <n v="0"/>
    <x v="3"/>
    <n v="4"/>
    <x v="48"/>
  </r>
  <r>
    <n v="118"/>
    <x v="5"/>
    <x v="2"/>
    <x v="0"/>
    <x v="0"/>
    <x v="5"/>
    <x v="0"/>
    <x v="11"/>
    <x v="13"/>
    <n v="0.64"/>
    <n v="0"/>
    <x v="3"/>
    <n v="2"/>
    <x v="5"/>
  </r>
  <r>
    <n v="119"/>
    <x v="5"/>
    <x v="4"/>
    <x v="0"/>
    <x v="0"/>
    <x v="5"/>
    <x v="1"/>
    <x v="3"/>
    <x v="13"/>
    <n v="0.64"/>
    <n v="0.09"/>
    <x v="3"/>
    <n v="1"/>
    <x v="4"/>
  </r>
  <r>
    <n v="120"/>
    <x v="5"/>
    <x v="5"/>
    <x v="0"/>
    <x v="0"/>
    <x v="5"/>
    <x v="1"/>
    <x v="17"/>
    <x v="14"/>
    <n v="0.69"/>
    <n v="0.09"/>
    <x v="3"/>
    <n v="4"/>
    <x v="48"/>
  </r>
  <r>
    <n v="121"/>
    <x v="5"/>
    <x v="6"/>
    <x v="1"/>
    <x v="0"/>
    <x v="5"/>
    <x v="1"/>
    <x v="16"/>
    <x v="14"/>
    <n v="0.63"/>
    <n v="0.1"/>
    <x v="3"/>
    <n v="36"/>
    <x v="9"/>
  </r>
  <r>
    <n v="122"/>
    <x v="5"/>
    <x v="7"/>
    <x v="1"/>
    <x v="0"/>
    <x v="5"/>
    <x v="1"/>
    <x v="11"/>
    <x v="13"/>
    <n v="0.59"/>
    <n v="0"/>
    <x v="3"/>
    <n v="95"/>
    <x v="76"/>
  </r>
  <r>
    <n v="123"/>
    <x v="5"/>
    <x v="8"/>
    <x v="1"/>
    <x v="0"/>
    <x v="5"/>
    <x v="0"/>
    <x v="11"/>
    <x v="13"/>
    <n v="0.59"/>
    <n v="0"/>
    <x v="0"/>
    <n v="216"/>
    <x v="77"/>
  </r>
  <r>
    <n v="124"/>
    <x v="5"/>
    <x v="9"/>
    <x v="1"/>
    <x v="0"/>
    <x v="5"/>
    <x v="1"/>
    <x v="18"/>
    <x v="15"/>
    <n v="0.51"/>
    <n v="0"/>
    <x v="15"/>
    <n v="116"/>
    <x v="78"/>
  </r>
  <r>
    <n v="125"/>
    <x v="5"/>
    <x v="10"/>
    <x v="1"/>
    <x v="0"/>
    <x v="5"/>
    <x v="0"/>
    <x v="2"/>
    <x v="2"/>
    <n v="0.47"/>
    <n v="0"/>
    <x v="0"/>
    <n v="42"/>
    <x v="79"/>
  </r>
  <r>
    <n v="126"/>
    <x v="5"/>
    <x v="11"/>
    <x v="1"/>
    <x v="0"/>
    <x v="5"/>
    <x v="0"/>
    <x v="2"/>
    <x v="1"/>
    <n v="0.44"/>
    <n v="0.09"/>
    <x v="4"/>
    <n v="57"/>
    <x v="29"/>
  </r>
  <r>
    <n v="127"/>
    <x v="5"/>
    <x v="12"/>
    <x v="2"/>
    <x v="0"/>
    <x v="5"/>
    <x v="0"/>
    <x v="0"/>
    <x v="12"/>
    <n v="0.35"/>
    <n v="0"/>
    <x v="15"/>
    <n v="78"/>
    <x v="11"/>
  </r>
  <r>
    <n v="128"/>
    <x v="5"/>
    <x v="13"/>
    <x v="2"/>
    <x v="0"/>
    <x v="5"/>
    <x v="0"/>
    <x v="1"/>
    <x v="12"/>
    <n v="0.35"/>
    <n v="0.1"/>
    <x v="6"/>
    <n v="55"/>
    <x v="16"/>
  </r>
  <r>
    <n v="129"/>
    <x v="5"/>
    <x v="14"/>
    <x v="2"/>
    <x v="0"/>
    <x v="5"/>
    <x v="0"/>
    <x v="1"/>
    <x v="17"/>
    <n v="0.36"/>
    <n v="0.16"/>
    <x v="16"/>
    <n v="59"/>
    <x v="27"/>
  </r>
  <r>
    <n v="130"/>
    <x v="5"/>
    <x v="15"/>
    <x v="2"/>
    <x v="0"/>
    <x v="5"/>
    <x v="0"/>
    <x v="1"/>
    <x v="17"/>
    <n v="0.36"/>
    <n v="0"/>
    <x v="1"/>
    <n v="54"/>
    <x v="69"/>
  </r>
  <r>
    <n v="131"/>
    <x v="5"/>
    <x v="16"/>
    <x v="2"/>
    <x v="0"/>
    <x v="5"/>
    <x v="0"/>
    <x v="2"/>
    <x v="12"/>
    <n v="0.38"/>
    <n v="0.16"/>
    <x v="6"/>
    <n v="74"/>
    <x v="80"/>
  </r>
  <r>
    <n v="132"/>
    <x v="5"/>
    <x v="17"/>
    <x v="2"/>
    <x v="0"/>
    <x v="5"/>
    <x v="0"/>
    <x v="11"/>
    <x v="1"/>
    <n v="0.51"/>
    <n v="0.16"/>
    <x v="14"/>
    <n v="163"/>
    <x v="81"/>
  </r>
  <r>
    <n v="133"/>
    <x v="5"/>
    <x v="18"/>
    <x v="3"/>
    <x v="0"/>
    <x v="5"/>
    <x v="0"/>
    <x v="11"/>
    <x v="1"/>
    <n v="0.51"/>
    <n v="0.13"/>
    <x v="2"/>
    <n v="158"/>
    <x v="82"/>
  </r>
  <r>
    <n v="134"/>
    <x v="5"/>
    <x v="19"/>
    <x v="3"/>
    <x v="0"/>
    <x v="5"/>
    <x v="0"/>
    <x v="2"/>
    <x v="1"/>
    <n v="0.55000000000000004"/>
    <n v="0.09"/>
    <x v="0"/>
    <n v="109"/>
    <x v="59"/>
  </r>
  <r>
    <n v="135"/>
    <x v="5"/>
    <x v="20"/>
    <x v="3"/>
    <x v="0"/>
    <x v="5"/>
    <x v="0"/>
    <x v="12"/>
    <x v="2"/>
    <n v="0.51"/>
    <n v="0.16"/>
    <x v="0"/>
    <n v="66"/>
    <x v="83"/>
  </r>
  <r>
    <n v="136"/>
    <x v="5"/>
    <x v="21"/>
    <x v="3"/>
    <x v="0"/>
    <x v="5"/>
    <x v="1"/>
    <x v="12"/>
    <x v="1"/>
    <n v="0.55000000000000004"/>
    <n v="0.22"/>
    <x v="3"/>
    <n v="48"/>
    <x v="61"/>
  </r>
  <r>
    <n v="137"/>
    <x v="5"/>
    <x v="22"/>
    <x v="3"/>
    <x v="0"/>
    <x v="5"/>
    <x v="1"/>
    <x v="12"/>
    <x v="1"/>
    <n v="0.51"/>
    <n v="0.28000000000000003"/>
    <x v="5"/>
    <n v="51"/>
    <x v="46"/>
  </r>
  <r>
    <n v="138"/>
    <x v="5"/>
    <x v="23"/>
    <x v="3"/>
    <x v="0"/>
    <x v="5"/>
    <x v="1"/>
    <x v="3"/>
    <x v="2"/>
    <n v="0.59"/>
    <n v="0.19"/>
    <x v="17"/>
    <n v="19"/>
    <x v="84"/>
  </r>
  <r>
    <n v="139"/>
    <x v="6"/>
    <x v="0"/>
    <x v="0"/>
    <x v="0"/>
    <x v="6"/>
    <x v="1"/>
    <x v="3"/>
    <x v="2"/>
    <n v="0.64"/>
    <n v="0.19"/>
    <x v="17"/>
    <n v="13"/>
    <x v="22"/>
  </r>
  <r>
    <n v="140"/>
    <x v="6"/>
    <x v="1"/>
    <x v="0"/>
    <x v="0"/>
    <x v="6"/>
    <x v="1"/>
    <x v="3"/>
    <x v="2"/>
    <n v="0.69"/>
    <n v="0.22"/>
    <x v="4"/>
    <n v="5"/>
    <x v="85"/>
  </r>
  <r>
    <n v="141"/>
    <x v="6"/>
    <x v="2"/>
    <x v="0"/>
    <x v="0"/>
    <x v="6"/>
    <x v="1"/>
    <x v="3"/>
    <x v="2"/>
    <n v="0.69"/>
    <n v="0.22"/>
    <x v="3"/>
    <n v="1"/>
    <x v="4"/>
  </r>
  <r>
    <n v="142"/>
    <x v="6"/>
    <x v="4"/>
    <x v="0"/>
    <x v="0"/>
    <x v="6"/>
    <x v="1"/>
    <x v="12"/>
    <x v="2"/>
    <n v="0.69"/>
    <n v="0.13"/>
    <x v="3"/>
    <n v="1"/>
    <x v="4"/>
  </r>
  <r>
    <n v="143"/>
    <x v="6"/>
    <x v="5"/>
    <x v="0"/>
    <x v="0"/>
    <x v="6"/>
    <x v="2"/>
    <x v="1"/>
    <x v="1"/>
    <n v="0.55000000000000004"/>
    <n v="0"/>
    <x v="3"/>
    <n v="5"/>
    <x v="36"/>
  </r>
  <r>
    <n v="144"/>
    <x v="6"/>
    <x v="6"/>
    <x v="1"/>
    <x v="0"/>
    <x v="6"/>
    <x v="1"/>
    <x v="2"/>
    <x v="2"/>
    <n v="0.69"/>
    <n v="0"/>
    <x v="1"/>
    <n v="26"/>
    <x v="19"/>
  </r>
  <r>
    <n v="145"/>
    <x v="6"/>
    <x v="7"/>
    <x v="1"/>
    <x v="0"/>
    <x v="6"/>
    <x v="0"/>
    <x v="12"/>
    <x v="2"/>
    <n v="0.69"/>
    <n v="0.13"/>
    <x v="1"/>
    <n v="76"/>
    <x v="11"/>
  </r>
  <r>
    <n v="146"/>
    <x v="6"/>
    <x v="8"/>
    <x v="1"/>
    <x v="0"/>
    <x v="6"/>
    <x v="0"/>
    <x v="3"/>
    <x v="2"/>
    <n v="0.51"/>
    <n v="0.25"/>
    <x v="20"/>
    <n v="190"/>
    <x v="86"/>
  </r>
  <r>
    <n v="147"/>
    <x v="6"/>
    <x v="9"/>
    <x v="1"/>
    <x v="0"/>
    <x v="6"/>
    <x v="0"/>
    <x v="17"/>
    <x v="2"/>
    <n v="0.47"/>
    <n v="0.3"/>
    <x v="14"/>
    <n v="125"/>
    <x v="87"/>
  </r>
  <r>
    <n v="148"/>
    <x v="6"/>
    <x v="10"/>
    <x v="1"/>
    <x v="0"/>
    <x v="6"/>
    <x v="0"/>
    <x v="3"/>
    <x v="1"/>
    <n v="0.37"/>
    <n v="0.33"/>
    <x v="19"/>
    <n v="47"/>
    <x v="55"/>
  </r>
  <r>
    <n v="149"/>
    <x v="6"/>
    <x v="11"/>
    <x v="1"/>
    <x v="0"/>
    <x v="6"/>
    <x v="1"/>
    <x v="3"/>
    <x v="2"/>
    <n v="0.4"/>
    <n v="0.22"/>
    <x v="21"/>
    <n v="48"/>
    <x v="16"/>
  </r>
  <r>
    <n v="150"/>
    <x v="6"/>
    <x v="12"/>
    <x v="2"/>
    <x v="0"/>
    <x v="6"/>
    <x v="1"/>
    <x v="3"/>
    <x v="2"/>
    <n v="0.37"/>
    <n v="0.25"/>
    <x v="14"/>
    <n v="50"/>
    <x v="29"/>
  </r>
  <r>
    <n v="151"/>
    <x v="6"/>
    <x v="13"/>
    <x v="2"/>
    <x v="0"/>
    <x v="6"/>
    <x v="1"/>
    <x v="17"/>
    <x v="2"/>
    <n v="0.37"/>
    <n v="0.28000000000000003"/>
    <x v="14"/>
    <n v="64"/>
    <x v="88"/>
  </r>
  <r>
    <n v="152"/>
    <x v="6"/>
    <x v="14"/>
    <x v="2"/>
    <x v="0"/>
    <x v="6"/>
    <x v="1"/>
    <x v="3"/>
    <x v="2"/>
    <n v="0.4"/>
    <n v="0.25"/>
    <x v="18"/>
    <n v="43"/>
    <x v="89"/>
  </r>
  <r>
    <n v="153"/>
    <x v="6"/>
    <x v="15"/>
    <x v="2"/>
    <x v="0"/>
    <x v="6"/>
    <x v="1"/>
    <x v="12"/>
    <x v="2"/>
    <n v="0.37"/>
    <n v="0.16"/>
    <x v="14"/>
    <n v="63"/>
    <x v="44"/>
  </r>
  <r>
    <n v="154"/>
    <x v="6"/>
    <x v="16"/>
    <x v="2"/>
    <x v="0"/>
    <x v="6"/>
    <x v="1"/>
    <x v="12"/>
    <x v="2"/>
    <n v="0.37"/>
    <n v="0.16"/>
    <x v="2"/>
    <n v="82"/>
    <x v="90"/>
  </r>
  <r>
    <n v="155"/>
    <x v="6"/>
    <x v="17"/>
    <x v="2"/>
    <x v="0"/>
    <x v="6"/>
    <x v="1"/>
    <x v="2"/>
    <x v="2"/>
    <n v="0.37"/>
    <n v="0"/>
    <x v="14"/>
    <n v="178"/>
    <x v="91"/>
  </r>
  <r>
    <n v="156"/>
    <x v="6"/>
    <x v="18"/>
    <x v="3"/>
    <x v="0"/>
    <x v="6"/>
    <x v="0"/>
    <x v="11"/>
    <x v="2"/>
    <n v="0.4"/>
    <n v="0.09"/>
    <x v="18"/>
    <n v="116"/>
    <x v="92"/>
  </r>
  <r>
    <n v="157"/>
    <x v="6"/>
    <x v="19"/>
    <x v="3"/>
    <x v="0"/>
    <x v="6"/>
    <x v="0"/>
    <x v="3"/>
    <x v="13"/>
    <n v="0.55000000000000004"/>
    <n v="0.09"/>
    <x v="0"/>
    <n v="92"/>
    <x v="76"/>
  </r>
  <r>
    <n v="158"/>
    <x v="6"/>
    <x v="20"/>
    <x v="3"/>
    <x v="0"/>
    <x v="6"/>
    <x v="0"/>
    <x v="12"/>
    <x v="15"/>
    <n v="0.47"/>
    <n v="0.1"/>
    <x v="5"/>
    <n v="50"/>
    <x v="41"/>
  </r>
  <r>
    <n v="159"/>
    <x v="6"/>
    <x v="21"/>
    <x v="3"/>
    <x v="0"/>
    <x v="6"/>
    <x v="0"/>
    <x v="3"/>
    <x v="15"/>
    <n v="0.47"/>
    <n v="0.13"/>
    <x v="3"/>
    <n v="39"/>
    <x v="21"/>
  </r>
  <r>
    <n v="160"/>
    <x v="6"/>
    <x v="22"/>
    <x v="3"/>
    <x v="0"/>
    <x v="6"/>
    <x v="1"/>
    <x v="3"/>
    <x v="15"/>
    <n v="0.43"/>
    <n v="0.16"/>
    <x v="4"/>
    <n v="34"/>
    <x v="9"/>
  </r>
  <r>
    <n v="161"/>
    <x v="6"/>
    <x v="23"/>
    <x v="3"/>
    <x v="0"/>
    <x v="6"/>
    <x v="1"/>
    <x v="3"/>
    <x v="15"/>
    <n v="0.51"/>
    <n v="0.16"/>
    <x v="5"/>
    <n v="14"/>
    <x v="93"/>
  </r>
  <r>
    <n v="162"/>
    <x v="7"/>
    <x v="0"/>
    <x v="0"/>
    <x v="0"/>
    <x v="0"/>
    <x v="1"/>
    <x v="3"/>
    <x v="15"/>
    <n v="0.51"/>
    <n v="0.16"/>
    <x v="5"/>
    <n v="24"/>
    <x v="94"/>
  </r>
  <r>
    <n v="163"/>
    <x v="7"/>
    <x v="1"/>
    <x v="0"/>
    <x v="0"/>
    <x v="0"/>
    <x v="1"/>
    <x v="12"/>
    <x v="15"/>
    <n v="0.55000000000000004"/>
    <n v="0.09"/>
    <x v="5"/>
    <n v="15"/>
    <x v="0"/>
  </r>
  <r>
    <n v="164"/>
    <x v="7"/>
    <x v="2"/>
    <x v="0"/>
    <x v="0"/>
    <x v="0"/>
    <x v="1"/>
    <x v="18"/>
    <x v="15"/>
    <n v="0.55000000000000004"/>
    <n v="0"/>
    <x v="0"/>
    <n v="13"/>
    <x v="0"/>
  </r>
  <r>
    <n v="165"/>
    <x v="7"/>
    <x v="3"/>
    <x v="0"/>
    <x v="0"/>
    <x v="0"/>
    <x v="2"/>
    <x v="3"/>
    <x v="15"/>
    <n v="0.55000000000000004"/>
    <n v="0.16"/>
    <x v="3"/>
    <n v="7"/>
    <x v="85"/>
  </r>
  <r>
    <n v="166"/>
    <x v="7"/>
    <x v="4"/>
    <x v="0"/>
    <x v="0"/>
    <x v="0"/>
    <x v="2"/>
    <x v="3"/>
    <x v="15"/>
    <n v="0.55000000000000004"/>
    <n v="0.16"/>
    <x v="3"/>
    <n v="1"/>
    <x v="4"/>
  </r>
  <r>
    <n v="167"/>
    <x v="7"/>
    <x v="5"/>
    <x v="0"/>
    <x v="0"/>
    <x v="0"/>
    <x v="1"/>
    <x v="16"/>
    <x v="13"/>
    <n v="0.74"/>
    <n v="0.16"/>
    <x v="3"/>
    <n v="5"/>
    <x v="36"/>
  </r>
  <r>
    <n v="168"/>
    <x v="7"/>
    <x v="6"/>
    <x v="1"/>
    <x v="0"/>
    <x v="0"/>
    <x v="1"/>
    <x v="16"/>
    <x v="13"/>
    <n v="0.74"/>
    <n v="0.16"/>
    <x v="3"/>
    <n v="2"/>
    <x v="5"/>
  </r>
  <r>
    <n v="169"/>
    <x v="7"/>
    <x v="7"/>
    <x v="1"/>
    <x v="0"/>
    <x v="0"/>
    <x v="1"/>
    <x v="17"/>
    <x v="13"/>
    <n v="0.74"/>
    <n v="0.1"/>
    <x v="5"/>
    <n v="8"/>
    <x v="23"/>
  </r>
  <r>
    <n v="170"/>
    <x v="7"/>
    <x v="8"/>
    <x v="1"/>
    <x v="0"/>
    <x v="0"/>
    <x v="2"/>
    <x v="17"/>
    <x v="13"/>
    <n v="0.93"/>
    <n v="0.1"/>
    <x v="3"/>
    <n v="15"/>
    <x v="93"/>
  </r>
  <r>
    <n v="171"/>
    <x v="7"/>
    <x v="9"/>
    <x v="1"/>
    <x v="0"/>
    <x v="0"/>
    <x v="2"/>
    <x v="17"/>
    <x v="13"/>
    <n v="0.93"/>
    <n v="0.1"/>
    <x v="3"/>
    <n v="20"/>
    <x v="25"/>
  </r>
  <r>
    <n v="172"/>
    <x v="7"/>
    <x v="10"/>
    <x v="1"/>
    <x v="0"/>
    <x v="0"/>
    <x v="1"/>
    <x v="3"/>
    <x v="15"/>
    <n v="0.8"/>
    <n v="0.16"/>
    <x v="2"/>
    <n v="56"/>
    <x v="42"/>
  </r>
  <r>
    <n v="173"/>
    <x v="7"/>
    <x v="11"/>
    <x v="1"/>
    <x v="0"/>
    <x v="0"/>
    <x v="1"/>
    <x v="17"/>
    <x v="2"/>
    <n v="0.69"/>
    <n v="0.39"/>
    <x v="4"/>
    <n v="60"/>
    <x v="69"/>
  </r>
  <r>
    <n v="174"/>
    <x v="7"/>
    <x v="12"/>
    <x v="2"/>
    <x v="0"/>
    <x v="0"/>
    <x v="1"/>
    <x v="17"/>
    <x v="2"/>
    <n v="0.59"/>
    <n v="0.36"/>
    <x v="1"/>
    <n v="90"/>
    <x v="95"/>
  </r>
  <r>
    <n v="175"/>
    <x v="7"/>
    <x v="13"/>
    <x v="2"/>
    <x v="0"/>
    <x v="0"/>
    <x v="0"/>
    <x v="17"/>
    <x v="2"/>
    <n v="0.44"/>
    <n v="0.33"/>
    <x v="18"/>
    <n v="95"/>
    <x v="96"/>
  </r>
  <r>
    <n v="176"/>
    <x v="7"/>
    <x v="14"/>
    <x v="2"/>
    <x v="0"/>
    <x v="0"/>
    <x v="0"/>
    <x v="16"/>
    <x v="2"/>
    <n v="0.32"/>
    <n v="0.49"/>
    <x v="6"/>
    <n v="83"/>
    <x v="76"/>
  </r>
  <r>
    <n v="177"/>
    <x v="7"/>
    <x v="15"/>
    <x v="2"/>
    <x v="0"/>
    <x v="0"/>
    <x v="0"/>
    <x v="16"/>
    <x v="2"/>
    <n v="0.32"/>
    <n v="0.45"/>
    <x v="2"/>
    <n v="69"/>
    <x v="30"/>
  </r>
  <r>
    <n v="178"/>
    <x v="7"/>
    <x v="16"/>
    <x v="2"/>
    <x v="0"/>
    <x v="0"/>
    <x v="0"/>
    <x v="13"/>
    <x v="15"/>
    <n v="0.28999999999999998"/>
    <n v="0.45"/>
    <x v="1"/>
    <n v="68"/>
    <x v="31"/>
  </r>
  <r>
    <n v="179"/>
    <x v="7"/>
    <x v="17"/>
    <x v="2"/>
    <x v="0"/>
    <x v="0"/>
    <x v="0"/>
    <x v="15"/>
    <x v="13"/>
    <n v="0.37"/>
    <n v="0.55000000000000004"/>
    <x v="2"/>
    <n v="64"/>
    <x v="83"/>
  </r>
  <r>
    <n v="180"/>
    <x v="7"/>
    <x v="18"/>
    <x v="3"/>
    <x v="0"/>
    <x v="0"/>
    <x v="0"/>
    <x v="15"/>
    <x v="14"/>
    <n v="0.39"/>
    <n v="0.3"/>
    <x v="0"/>
    <n v="52"/>
    <x v="97"/>
  </r>
  <r>
    <n v="181"/>
    <x v="7"/>
    <x v="19"/>
    <x v="3"/>
    <x v="0"/>
    <x v="0"/>
    <x v="0"/>
    <x v="15"/>
    <x v="14"/>
    <n v="0.36"/>
    <n v="0.25"/>
    <x v="17"/>
    <n v="26"/>
    <x v="33"/>
  </r>
  <r>
    <n v="182"/>
    <x v="7"/>
    <x v="20"/>
    <x v="3"/>
    <x v="0"/>
    <x v="0"/>
    <x v="0"/>
    <x v="15"/>
    <x v="16"/>
    <n v="0.36"/>
    <n v="0.25"/>
    <x v="3"/>
    <n v="28"/>
    <x v="20"/>
  </r>
  <r>
    <n v="183"/>
    <x v="7"/>
    <x v="21"/>
    <x v="3"/>
    <x v="0"/>
    <x v="0"/>
    <x v="0"/>
    <x v="14"/>
    <x v="16"/>
    <n v="0.39"/>
    <n v="0.36"/>
    <x v="4"/>
    <n v="35"/>
    <x v="18"/>
  </r>
  <r>
    <n v="184"/>
    <x v="7"/>
    <x v="22"/>
    <x v="3"/>
    <x v="0"/>
    <x v="0"/>
    <x v="0"/>
    <x v="14"/>
    <x v="16"/>
    <n v="0.36"/>
    <n v="0.39"/>
    <x v="5"/>
    <n v="33"/>
    <x v="19"/>
  </r>
  <r>
    <n v="185"/>
    <x v="7"/>
    <x v="23"/>
    <x v="3"/>
    <x v="0"/>
    <x v="0"/>
    <x v="0"/>
    <x v="21"/>
    <x v="18"/>
    <n v="0.39"/>
    <n v="0.45"/>
    <x v="3"/>
    <n v="22"/>
    <x v="34"/>
  </r>
  <r>
    <n v="186"/>
    <x v="8"/>
    <x v="0"/>
    <x v="0"/>
    <x v="0"/>
    <x v="1"/>
    <x v="0"/>
    <x v="22"/>
    <x v="18"/>
    <n v="0.42"/>
    <n v="0.39"/>
    <x v="5"/>
    <n v="24"/>
    <x v="94"/>
  </r>
  <r>
    <n v="187"/>
    <x v="8"/>
    <x v="1"/>
    <x v="0"/>
    <x v="0"/>
    <x v="1"/>
    <x v="0"/>
    <x v="21"/>
    <x v="18"/>
    <n v="0.42"/>
    <n v="0.46"/>
    <x v="3"/>
    <n v="12"/>
    <x v="47"/>
  </r>
  <r>
    <n v="188"/>
    <x v="8"/>
    <x v="2"/>
    <x v="0"/>
    <x v="0"/>
    <x v="1"/>
    <x v="0"/>
    <x v="21"/>
    <x v="18"/>
    <n v="0.46"/>
    <n v="0.46"/>
    <x v="3"/>
    <n v="11"/>
    <x v="62"/>
  </r>
  <r>
    <n v="189"/>
    <x v="8"/>
    <x v="3"/>
    <x v="0"/>
    <x v="0"/>
    <x v="1"/>
    <x v="0"/>
    <x v="22"/>
    <x v="18"/>
    <n v="0.46"/>
    <n v="0.42"/>
    <x v="3"/>
    <n v="4"/>
    <x v="48"/>
  </r>
  <r>
    <n v="190"/>
    <x v="8"/>
    <x v="4"/>
    <x v="0"/>
    <x v="0"/>
    <x v="1"/>
    <x v="0"/>
    <x v="23"/>
    <x v="19"/>
    <n v="0.53"/>
    <n v="0.19"/>
    <x v="3"/>
    <n v="1"/>
    <x v="4"/>
  </r>
  <r>
    <n v="191"/>
    <x v="8"/>
    <x v="5"/>
    <x v="0"/>
    <x v="0"/>
    <x v="1"/>
    <x v="0"/>
    <x v="23"/>
    <x v="19"/>
    <n v="0.53"/>
    <n v="0.19"/>
    <x v="3"/>
    <n v="1"/>
    <x v="4"/>
  </r>
  <r>
    <n v="192"/>
    <x v="8"/>
    <x v="6"/>
    <x v="1"/>
    <x v="0"/>
    <x v="1"/>
    <x v="0"/>
    <x v="23"/>
    <x v="18"/>
    <n v="0.49"/>
    <n v="0.28000000000000003"/>
    <x v="3"/>
    <n v="1"/>
    <x v="4"/>
  </r>
  <r>
    <n v="193"/>
    <x v="8"/>
    <x v="7"/>
    <x v="1"/>
    <x v="0"/>
    <x v="1"/>
    <x v="0"/>
    <x v="23"/>
    <x v="19"/>
    <n v="0.53"/>
    <n v="0.19"/>
    <x v="5"/>
    <n v="5"/>
    <x v="24"/>
  </r>
  <r>
    <n v="194"/>
    <x v="8"/>
    <x v="8"/>
    <x v="1"/>
    <x v="0"/>
    <x v="1"/>
    <x v="0"/>
    <x v="23"/>
    <x v="18"/>
    <n v="0.49"/>
    <n v="0.28000000000000003"/>
    <x v="3"/>
    <n v="10"/>
    <x v="98"/>
  </r>
  <r>
    <n v="195"/>
    <x v="8"/>
    <x v="9"/>
    <x v="1"/>
    <x v="0"/>
    <x v="1"/>
    <x v="0"/>
    <x v="22"/>
    <x v="16"/>
    <n v="0.46"/>
    <n v="0.52"/>
    <x v="3"/>
    <n v="19"/>
    <x v="75"/>
  </r>
  <r>
    <n v="196"/>
    <x v="8"/>
    <x v="10"/>
    <x v="1"/>
    <x v="0"/>
    <x v="1"/>
    <x v="0"/>
    <x v="14"/>
    <x v="14"/>
    <n v="0.43"/>
    <n v="0.39"/>
    <x v="3"/>
    <n v="49"/>
    <x v="99"/>
  </r>
  <r>
    <n v="197"/>
    <x v="8"/>
    <x v="11"/>
    <x v="1"/>
    <x v="0"/>
    <x v="1"/>
    <x v="0"/>
    <x v="15"/>
    <x v="13"/>
    <n v="0.4"/>
    <n v="0.52"/>
    <x v="4"/>
    <n v="47"/>
    <x v="99"/>
  </r>
  <r>
    <n v="198"/>
    <x v="8"/>
    <x v="12"/>
    <x v="2"/>
    <x v="0"/>
    <x v="1"/>
    <x v="0"/>
    <x v="13"/>
    <x v="15"/>
    <n v="0.37"/>
    <n v="0.45"/>
    <x v="17"/>
    <n v="79"/>
    <x v="56"/>
  </r>
  <r>
    <n v="199"/>
    <x v="8"/>
    <x v="13"/>
    <x v="2"/>
    <x v="0"/>
    <x v="1"/>
    <x v="0"/>
    <x v="16"/>
    <x v="2"/>
    <n v="0.34"/>
    <n v="0.45"/>
    <x v="15"/>
    <n v="69"/>
    <x v="28"/>
  </r>
  <r>
    <n v="200"/>
    <x v="8"/>
    <x v="14"/>
    <x v="2"/>
    <x v="0"/>
    <x v="1"/>
    <x v="0"/>
    <x v="17"/>
    <x v="1"/>
    <n v="0.32"/>
    <n v="0.46"/>
    <x v="1"/>
    <n v="64"/>
    <x v="44"/>
  </r>
  <r>
    <n v="201"/>
    <x v="8"/>
    <x v="15"/>
    <x v="2"/>
    <x v="0"/>
    <x v="1"/>
    <x v="0"/>
    <x v="3"/>
    <x v="1"/>
    <n v="0.35"/>
    <n v="0.36"/>
    <x v="2"/>
    <n v="77"/>
    <x v="100"/>
  </r>
  <r>
    <n v="202"/>
    <x v="8"/>
    <x v="16"/>
    <x v="2"/>
    <x v="0"/>
    <x v="1"/>
    <x v="0"/>
    <x v="16"/>
    <x v="2"/>
    <n v="0.34"/>
    <n v="0.45"/>
    <x v="23"/>
    <n v="79"/>
    <x v="101"/>
  </r>
  <r>
    <n v="203"/>
    <x v="8"/>
    <x v="17"/>
    <x v="2"/>
    <x v="0"/>
    <x v="1"/>
    <x v="0"/>
    <x v="19"/>
    <x v="15"/>
    <n v="0.37"/>
    <n v="0.39"/>
    <x v="0"/>
    <n v="59"/>
    <x v="69"/>
  </r>
  <r>
    <n v="204"/>
    <x v="8"/>
    <x v="18"/>
    <x v="3"/>
    <x v="0"/>
    <x v="1"/>
    <x v="0"/>
    <x v="13"/>
    <x v="13"/>
    <n v="0.4"/>
    <n v="0.33"/>
    <x v="17"/>
    <n v="44"/>
    <x v="61"/>
  </r>
  <r>
    <n v="205"/>
    <x v="8"/>
    <x v="19"/>
    <x v="3"/>
    <x v="0"/>
    <x v="1"/>
    <x v="0"/>
    <x v="13"/>
    <x v="13"/>
    <n v="0.43"/>
    <n v="0.33"/>
    <x v="5"/>
    <n v="40"/>
    <x v="102"/>
  </r>
  <r>
    <n v="206"/>
    <x v="8"/>
    <x v="20"/>
    <x v="3"/>
    <x v="0"/>
    <x v="1"/>
    <x v="0"/>
    <x v="15"/>
    <x v="14"/>
    <n v="0.46"/>
    <n v="0.25"/>
    <x v="3"/>
    <n v="38"/>
    <x v="103"/>
  </r>
  <r>
    <n v="207"/>
    <x v="8"/>
    <x v="21"/>
    <x v="3"/>
    <x v="0"/>
    <x v="1"/>
    <x v="0"/>
    <x v="14"/>
    <x v="14"/>
    <n v="0.46"/>
    <n v="0.42"/>
    <x v="5"/>
    <n v="19"/>
    <x v="25"/>
  </r>
  <r>
    <n v="208"/>
    <x v="8"/>
    <x v="22"/>
    <x v="3"/>
    <x v="0"/>
    <x v="1"/>
    <x v="0"/>
    <x v="15"/>
    <x v="14"/>
    <n v="0.46"/>
    <n v="0.3"/>
    <x v="2"/>
    <n v="10"/>
    <x v="93"/>
  </r>
  <r>
    <n v="209"/>
    <x v="8"/>
    <x v="23"/>
    <x v="3"/>
    <x v="0"/>
    <x v="1"/>
    <x v="0"/>
    <x v="13"/>
    <x v="16"/>
    <n v="0.5"/>
    <n v="0.19"/>
    <x v="3"/>
    <n v="6"/>
    <x v="24"/>
  </r>
  <r>
    <n v="210"/>
    <x v="9"/>
    <x v="0"/>
    <x v="0"/>
    <x v="0"/>
    <x v="2"/>
    <x v="0"/>
    <x v="15"/>
    <x v="16"/>
    <n v="0.5"/>
    <n v="0.28000000000000003"/>
    <x v="4"/>
    <n v="3"/>
    <x v="36"/>
  </r>
  <r>
    <n v="211"/>
    <x v="9"/>
    <x v="1"/>
    <x v="0"/>
    <x v="0"/>
    <x v="2"/>
    <x v="0"/>
    <x v="15"/>
    <x v="16"/>
    <n v="0.5"/>
    <n v="0.28000000000000003"/>
    <x v="5"/>
    <n v="0"/>
    <x v="4"/>
  </r>
  <r>
    <n v="212"/>
    <x v="9"/>
    <x v="2"/>
    <x v="0"/>
    <x v="0"/>
    <x v="2"/>
    <x v="0"/>
    <x v="15"/>
    <x v="16"/>
    <n v="0.5"/>
    <n v="0.22"/>
    <x v="3"/>
    <n v="3"/>
    <x v="6"/>
  </r>
  <r>
    <n v="213"/>
    <x v="9"/>
    <x v="3"/>
    <x v="0"/>
    <x v="0"/>
    <x v="2"/>
    <x v="0"/>
    <x v="15"/>
    <x v="16"/>
    <n v="0.5"/>
    <n v="0.22"/>
    <x v="3"/>
    <n v="1"/>
    <x v="4"/>
  </r>
  <r>
    <n v="214"/>
    <x v="9"/>
    <x v="4"/>
    <x v="0"/>
    <x v="0"/>
    <x v="2"/>
    <x v="0"/>
    <x v="15"/>
    <x v="18"/>
    <n v="0.54"/>
    <n v="0.13"/>
    <x v="5"/>
    <n v="2"/>
    <x v="6"/>
  </r>
  <r>
    <n v="215"/>
    <x v="9"/>
    <x v="5"/>
    <x v="0"/>
    <x v="0"/>
    <x v="2"/>
    <x v="0"/>
    <x v="14"/>
    <x v="18"/>
    <n v="0.54"/>
    <n v="0.25"/>
    <x v="3"/>
    <n v="3"/>
    <x v="6"/>
  </r>
  <r>
    <n v="216"/>
    <x v="9"/>
    <x v="6"/>
    <x v="1"/>
    <x v="0"/>
    <x v="2"/>
    <x v="0"/>
    <x v="15"/>
    <x v="16"/>
    <n v="0.5"/>
    <n v="0.28000000000000003"/>
    <x v="3"/>
    <n v="31"/>
    <x v="35"/>
  </r>
  <r>
    <n v="217"/>
    <x v="9"/>
    <x v="7"/>
    <x v="1"/>
    <x v="0"/>
    <x v="2"/>
    <x v="0"/>
    <x v="15"/>
    <x v="16"/>
    <n v="0.5"/>
    <n v="0.22"/>
    <x v="4"/>
    <n v="75"/>
    <x v="43"/>
  </r>
  <r>
    <n v="218"/>
    <x v="9"/>
    <x v="8"/>
    <x v="1"/>
    <x v="0"/>
    <x v="2"/>
    <x v="1"/>
    <x v="15"/>
    <x v="16"/>
    <n v="0.5"/>
    <n v="0.28000000000000003"/>
    <x v="17"/>
    <n v="184"/>
    <x v="104"/>
  </r>
  <r>
    <n v="219"/>
    <x v="9"/>
    <x v="9"/>
    <x v="1"/>
    <x v="0"/>
    <x v="2"/>
    <x v="1"/>
    <x v="15"/>
    <x v="14"/>
    <n v="0.5"/>
    <n v="0.25"/>
    <x v="4"/>
    <n v="92"/>
    <x v="12"/>
  </r>
  <r>
    <n v="220"/>
    <x v="9"/>
    <x v="10"/>
    <x v="1"/>
    <x v="0"/>
    <x v="2"/>
    <x v="1"/>
    <x v="15"/>
    <x v="14"/>
    <n v="0.5"/>
    <n v="0.3"/>
    <x v="3"/>
    <n v="31"/>
    <x v="35"/>
  </r>
  <r>
    <n v="221"/>
    <x v="9"/>
    <x v="11"/>
    <x v="1"/>
    <x v="0"/>
    <x v="2"/>
    <x v="1"/>
    <x v="13"/>
    <x v="13"/>
    <n v="0.47"/>
    <n v="0.28000000000000003"/>
    <x v="4"/>
    <n v="28"/>
    <x v="33"/>
  </r>
  <r>
    <n v="222"/>
    <x v="9"/>
    <x v="12"/>
    <x v="2"/>
    <x v="0"/>
    <x v="2"/>
    <x v="1"/>
    <x v="17"/>
    <x v="2"/>
    <n v="0.4"/>
    <n v="0.28000000000000003"/>
    <x v="2"/>
    <n v="47"/>
    <x v="46"/>
  </r>
  <r>
    <n v="223"/>
    <x v="9"/>
    <x v="13"/>
    <x v="2"/>
    <x v="0"/>
    <x v="2"/>
    <x v="1"/>
    <x v="17"/>
    <x v="2"/>
    <n v="0.4"/>
    <n v="0.28000000000000003"/>
    <x v="17"/>
    <n v="50"/>
    <x v="60"/>
  </r>
  <r>
    <n v="224"/>
    <x v="9"/>
    <x v="14"/>
    <x v="2"/>
    <x v="0"/>
    <x v="2"/>
    <x v="1"/>
    <x v="3"/>
    <x v="2"/>
    <n v="0.4"/>
    <n v="0.22"/>
    <x v="3"/>
    <n v="47"/>
    <x v="105"/>
  </r>
  <r>
    <n v="225"/>
    <x v="9"/>
    <x v="15"/>
    <x v="2"/>
    <x v="0"/>
    <x v="2"/>
    <x v="1"/>
    <x v="3"/>
    <x v="2"/>
    <n v="0.4"/>
    <n v="0.22"/>
    <x v="4"/>
    <n v="43"/>
    <x v="79"/>
  </r>
  <r>
    <n v="226"/>
    <x v="9"/>
    <x v="16"/>
    <x v="2"/>
    <x v="0"/>
    <x v="2"/>
    <x v="0"/>
    <x v="12"/>
    <x v="2"/>
    <n v="0.4"/>
    <n v="0.13"/>
    <x v="17"/>
    <n v="70"/>
    <x v="30"/>
  </r>
  <r>
    <n v="227"/>
    <x v="9"/>
    <x v="17"/>
    <x v="2"/>
    <x v="0"/>
    <x v="2"/>
    <x v="0"/>
    <x v="11"/>
    <x v="2"/>
    <n v="0.4"/>
    <n v="0.1"/>
    <x v="17"/>
    <n v="174"/>
    <x v="106"/>
  </r>
  <r>
    <n v="228"/>
    <x v="9"/>
    <x v="18"/>
    <x v="3"/>
    <x v="0"/>
    <x v="2"/>
    <x v="0"/>
    <x v="3"/>
    <x v="2"/>
    <n v="0.4"/>
    <n v="0.22"/>
    <x v="5"/>
    <n v="154"/>
    <x v="107"/>
  </r>
  <r>
    <n v="229"/>
    <x v="9"/>
    <x v="19"/>
    <x v="3"/>
    <x v="0"/>
    <x v="2"/>
    <x v="0"/>
    <x v="16"/>
    <x v="13"/>
    <n v="0.47"/>
    <n v="0.16"/>
    <x v="0"/>
    <n v="92"/>
    <x v="76"/>
  </r>
  <r>
    <n v="230"/>
    <x v="9"/>
    <x v="20"/>
    <x v="3"/>
    <x v="0"/>
    <x v="2"/>
    <x v="0"/>
    <x v="16"/>
    <x v="13"/>
    <n v="0.5"/>
    <n v="0.16"/>
    <x v="5"/>
    <n v="73"/>
    <x v="30"/>
  </r>
  <r>
    <n v="231"/>
    <x v="9"/>
    <x v="21"/>
    <x v="3"/>
    <x v="0"/>
    <x v="2"/>
    <x v="0"/>
    <x v="13"/>
    <x v="14"/>
    <n v="0.59"/>
    <n v="0.19"/>
    <x v="5"/>
    <n v="37"/>
    <x v="103"/>
  </r>
  <r>
    <n v="232"/>
    <x v="9"/>
    <x v="22"/>
    <x v="3"/>
    <x v="0"/>
    <x v="2"/>
    <x v="0"/>
    <x v="19"/>
    <x v="14"/>
    <n v="0.59"/>
    <n v="0.16"/>
    <x v="4"/>
    <n v="22"/>
    <x v="108"/>
  </r>
  <r>
    <n v="233"/>
    <x v="9"/>
    <x v="23"/>
    <x v="3"/>
    <x v="0"/>
    <x v="2"/>
    <x v="0"/>
    <x v="19"/>
    <x v="14"/>
    <n v="0.59"/>
    <n v="0.16"/>
    <x v="3"/>
    <n v="18"/>
    <x v="109"/>
  </r>
  <r>
    <n v="234"/>
    <x v="10"/>
    <x v="0"/>
    <x v="0"/>
    <x v="0"/>
    <x v="3"/>
    <x v="0"/>
    <x v="16"/>
    <x v="14"/>
    <n v="0.59"/>
    <n v="0.1"/>
    <x v="4"/>
    <n v="10"/>
    <x v="47"/>
  </r>
  <r>
    <n v="235"/>
    <x v="10"/>
    <x v="1"/>
    <x v="0"/>
    <x v="0"/>
    <x v="3"/>
    <x v="0"/>
    <x v="19"/>
    <x v="14"/>
    <n v="0.59"/>
    <n v="0.16"/>
    <x v="3"/>
    <n v="3"/>
    <x v="6"/>
  </r>
  <r>
    <n v="236"/>
    <x v="10"/>
    <x v="2"/>
    <x v="0"/>
    <x v="0"/>
    <x v="3"/>
    <x v="1"/>
    <x v="19"/>
    <x v="13"/>
    <n v="0.55000000000000004"/>
    <n v="0.19"/>
    <x v="3"/>
    <n v="3"/>
    <x v="6"/>
  </r>
  <r>
    <n v="237"/>
    <x v="10"/>
    <x v="5"/>
    <x v="0"/>
    <x v="0"/>
    <x v="3"/>
    <x v="1"/>
    <x v="17"/>
    <x v="13"/>
    <n v="0.55000000000000004"/>
    <n v="0.13"/>
    <x v="3"/>
    <n v="6"/>
    <x v="24"/>
  </r>
  <r>
    <n v="238"/>
    <x v="10"/>
    <x v="6"/>
    <x v="1"/>
    <x v="0"/>
    <x v="3"/>
    <x v="1"/>
    <x v="17"/>
    <x v="13"/>
    <n v="0.55000000000000004"/>
    <n v="0.13"/>
    <x v="3"/>
    <n v="27"/>
    <x v="110"/>
  </r>
  <r>
    <n v="239"/>
    <x v="10"/>
    <x v="7"/>
    <x v="1"/>
    <x v="0"/>
    <x v="3"/>
    <x v="1"/>
    <x v="11"/>
    <x v="13"/>
    <n v="0.55000000000000004"/>
    <n v="0"/>
    <x v="4"/>
    <n v="97"/>
    <x v="111"/>
  </r>
  <r>
    <n v="240"/>
    <x v="10"/>
    <x v="8"/>
    <x v="1"/>
    <x v="0"/>
    <x v="3"/>
    <x v="1"/>
    <x v="12"/>
    <x v="15"/>
    <n v="0.51"/>
    <n v="0.09"/>
    <x v="0"/>
    <n v="214"/>
    <x v="112"/>
  </r>
  <r>
    <n v="241"/>
    <x v="10"/>
    <x v="9"/>
    <x v="1"/>
    <x v="0"/>
    <x v="3"/>
    <x v="1"/>
    <x v="3"/>
    <x v="15"/>
    <n v="0.51"/>
    <n v="0.16"/>
    <x v="0"/>
    <n v="127"/>
    <x v="113"/>
  </r>
  <r>
    <n v="242"/>
    <x v="10"/>
    <x v="10"/>
    <x v="1"/>
    <x v="0"/>
    <x v="3"/>
    <x v="1"/>
    <x v="12"/>
    <x v="2"/>
    <n v="0.51"/>
    <n v="0.16"/>
    <x v="0"/>
    <n v="51"/>
    <x v="60"/>
  </r>
  <r>
    <n v="243"/>
    <x v="10"/>
    <x v="11"/>
    <x v="1"/>
    <x v="0"/>
    <x v="3"/>
    <x v="1"/>
    <x v="12"/>
    <x v="2"/>
    <n v="0.47"/>
    <n v="0.13"/>
    <x v="17"/>
    <n v="31"/>
    <x v="17"/>
  </r>
  <r>
    <n v="244"/>
    <x v="10"/>
    <x v="12"/>
    <x v="2"/>
    <x v="0"/>
    <x v="3"/>
    <x v="1"/>
    <x v="11"/>
    <x v="2"/>
    <n v="0.51"/>
    <n v="0.1"/>
    <x v="4"/>
    <n v="55"/>
    <x v="52"/>
  </r>
  <r>
    <n v="245"/>
    <x v="10"/>
    <x v="13"/>
    <x v="2"/>
    <x v="0"/>
    <x v="3"/>
    <x v="1"/>
    <x v="11"/>
    <x v="2"/>
    <n v="0.59"/>
    <n v="0.09"/>
    <x v="15"/>
    <n v="46"/>
    <x v="46"/>
  </r>
  <r>
    <n v="246"/>
    <x v="10"/>
    <x v="14"/>
    <x v="2"/>
    <x v="0"/>
    <x v="3"/>
    <x v="1"/>
    <x v="11"/>
    <x v="2"/>
    <n v="0.59"/>
    <n v="0.09"/>
    <x v="0"/>
    <n v="60"/>
    <x v="55"/>
  </r>
  <r>
    <n v="247"/>
    <x v="10"/>
    <x v="15"/>
    <x v="2"/>
    <x v="0"/>
    <x v="3"/>
    <x v="1"/>
    <x v="3"/>
    <x v="13"/>
    <n v="0.8"/>
    <n v="0.09"/>
    <x v="4"/>
    <n v="45"/>
    <x v="105"/>
  </r>
  <r>
    <n v="248"/>
    <x v="10"/>
    <x v="16"/>
    <x v="2"/>
    <x v="0"/>
    <x v="3"/>
    <x v="1"/>
    <x v="19"/>
    <x v="13"/>
    <n v="0.86"/>
    <n v="0.22"/>
    <x v="17"/>
    <n v="72"/>
    <x v="31"/>
  </r>
  <r>
    <n v="249"/>
    <x v="10"/>
    <x v="17"/>
    <x v="2"/>
    <x v="0"/>
    <x v="3"/>
    <x v="1"/>
    <x v="19"/>
    <x v="13"/>
    <n v="0.86"/>
    <n v="0.22"/>
    <x v="15"/>
    <n v="130"/>
    <x v="114"/>
  </r>
  <r>
    <n v="250"/>
    <x v="10"/>
    <x v="18"/>
    <x v="3"/>
    <x v="0"/>
    <x v="3"/>
    <x v="2"/>
    <x v="17"/>
    <x v="13"/>
    <n v="0.93"/>
    <n v="0.1"/>
    <x v="5"/>
    <n v="94"/>
    <x v="76"/>
  </r>
  <r>
    <n v="251"/>
    <x v="10"/>
    <x v="19"/>
    <x v="3"/>
    <x v="0"/>
    <x v="3"/>
    <x v="2"/>
    <x v="11"/>
    <x v="13"/>
    <n v="0.93"/>
    <n v="0"/>
    <x v="3"/>
    <n v="51"/>
    <x v="41"/>
  </r>
  <r>
    <n v="252"/>
    <x v="10"/>
    <x v="20"/>
    <x v="3"/>
    <x v="0"/>
    <x v="3"/>
    <x v="2"/>
    <x v="19"/>
    <x v="13"/>
    <n v="0.93"/>
    <n v="0.19"/>
    <x v="3"/>
    <n v="32"/>
    <x v="2"/>
  </r>
  <r>
    <n v="253"/>
    <x v="10"/>
    <x v="21"/>
    <x v="3"/>
    <x v="0"/>
    <x v="3"/>
    <x v="2"/>
    <x v="3"/>
    <x v="13"/>
    <n v="0.86"/>
    <n v="0.09"/>
    <x v="3"/>
    <n v="20"/>
    <x v="25"/>
  </r>
  <r>
    <n v="254"/>
    <x v="10"/>
    <x v="22"/>
    <x v="3"/>
    <x v="0"/>
    <x v="3"/>
    <x v="2"/>
    <x v="17"/>
    <x v="13"/>
    <n v="0.93"/>
    <n v="0.1"/>
    <x v="5"/>
    <n v="28"/>
    <x v="115"/>
  </r>
  <r>
    <n v="255"/>
    <x v="10"/>
    <x v="23"/>
    <x v="3"/>
    <x v="0"/>
    <x v="3"/>
    <x v="2"/>
    <x v="3"/>
    <x v="13"/>
    <n v="0.93"/>
    <n v="0.09"/>
    <x v="5"/>
    <n v="18"/>
    <x v="75"/>
  </r>
  <r>
    <n v="256"/>
    <x v="11"/>
    <x v="0"/>
    <x v="0"/>
    <x v="0"/>
    <x v="4"/>
    <x v="1"/>
    <x v="3"/>
    <x v="13"/>
    <n v="0.86"/>
    <n v="0.09"/>
    <x v="3"/>
    <n v="7"/>
    <x v="85"/>
  </r>
  <r>
    <n v="257"/>
    <x v="11"/>
    <x v="1"/>
    <x v="0"/>
    <x v="0"/>
    <x v="4"/>
    <x v="1"/>
    <x v="17"/>
    <x v="13"/>
    <n v="0.86"/>
    <n v="0.1"/>
    <x v="3"/>
    <n v="6"/>
    <x v="24"/>
  </r>
  <r>
    <n v="258"/>
    <x v="11"/>
    <x v="2"/>
    <x v="0"/>
    <x v="0"/>
    <x v="4"/>
    <x v="0"/>
    <x v="19"/>
    <x v="14"/>
    <n v="0.86"/>
    <n v="0.13"/>
    <x v="3"/>
    <n v="1"/>
    <x v="4"/>
  </r>
  <r>
    <n v="259"/>
    <x v="11"/>
    <x v="5"/>
    <x v="0"/>
    <x v="0"/>
    <x v="4"/>
    <x v="0"/>
    <x v="19"/>
    <x v="14"/>
    <n v="0.86"/>
    <n v="0.16"/>
    <x v="3"/>
    <n v="5"/>
    <x v="36"/>
  </r>
  <r>
    <n v="260"/>
    <x v="11"/>
    <x v="6"/>
    <x v="1"/>
    <x v="0"/>
    <x v="4"/>
    <x v="0"/>
    <x v="19"/>
    <x v="16"/>
    <n v="0.93"/>
    <n v="0.13"/>
    <x v="3"/>
    <n v="16"/>
    <x v="0"/>
  </r>
  <r>
    <n v="261"/>
    <x v="11"/>
    <x v="7"/>
    <x v="1"/>
    <x v="0"/>
    <x v="4"/>
    <x v="0"/>
    <x v="19"/>
    <x v="14"/>
    <n v="0.69"/>
    <n v="0.13"/>
    <x v="3"/>
    <n v="54"/>
    <x v="60"/>
  </r>
  <r>
    <n v="262"/>
    <x v="11"/>
    <x v="8"/>
    <x v="1"/>
    <x v="0"/>
    <x v="4"/>
    <x v="0"/>
    <x v="16"/>
    <x v="13"/>
    <n v="0.59"/>
    <n v="0.16"/>
    <x v="0"/>
    <n v="125"/>
    <x v="116"/>
  </r>
  <r>
    <n v="263"/>
    <x v="11"/>
    <x v="9"/>
    <x v="1"/>
    <x v="0"/>
    <x v="4"/>
    <x v="0"/>
    <x v="13"/>
    <x v="13"/>
    <n v="0.59"/>
    <n v="0.33"/>
    <x v="0"/>
    <n v="78"/>
    <x v="117"/>
  </r>
  <r>
    <n v="264"/>
    <x v="11"/>
    <x v="10"/>
    <x v="1"/>
    <x v="0"/>
    <x v="4"/>
    <x v="0"/>
    <x v="17"/>
    <x v="15"/>
    <n v="0.55000000000000004"/>
    <n v="0.22"/>
    <x v="3"/>
    <n v="39"/>
    <x v="21"/>
  </r>
  <r>
    <n v="265"/>
    <x v="11"/>
    <x v="11"/>
    <x v="1"/>
    <x v="0"/>
    <x v="4"/>
    <x v="0"/>
    <x v="17"/>
    <x v="2"/>
    <n v="0.51"/>
    <n v="0.39"/>
    <x v="0"/>
    <n v="32"/>
    <x v="17"/>
  </r>
  <r>
    <n v="266"/>
    <x v="11"/>
    <x v="12"/>
    <x v="2"/>
    <x v="0"/>
    <x v="4"/>
    <x v="0"/>
    <x v="19"/>
    <x v="2"/>
    <n v="0.47"/>
    <n v="0.57999999999999996"/>
    <x v="0"/>
    <n v="52"/>
    <x v="97"/>
  </r>
  <r>
    <n v="267"/>
    <x v="11"/>
    <x v="13"/>
    <x v="2"/>
    <x v="0"/>
    <x v="4"/>
    <x v="0"/>
    <x v="3"/>
    <x v="1"/>
    <n v="0.44"/>
    <n v="0.36"/>
    <x v="3"/>
    <n v="49"/>
    <x v="99"/>
  </r>
  <r>
    <n v="268"/>
    <x v="11"/>
    <x v="14"/>
    <x v="2"/>
    <x v="0"/>
    <x v="4"/>
    <x v="0"/>
    <x v="17"/>
    <x v="2"/>
    <n v="0.47"/>
    <n v="0.33"/>
    <x v="3"/>
    <n v="44"/>
    <x v="40"/>
  </r>
  <r>
    <n v="269"/>
    <x v="11"/>
    <x v="15"/>
    <x v="2"/>
    <x v="0"/>
    <x v="4"/>
    <x v="0"/>
    <x v="16"/>
    <x v="2"/>
    <n v="0.47"/>
    <n v="0.42"/>
    <x v="5"/>
    <n v="48"/>
    <x v="99"/>
  </r>
  <r>
    <n v="270"/>
    <x v="11"/>
    <x v="16"/>
    <x v="2"/>
    <x v="0"/>
    <x v="4"/>
    <x v="0"/>
    <x v="3"/>
    <x v="1"/>
    <n v="0.44"/>
    <n v="0.33"/>
    <x v="2"/>
    <n v="63"/>
    <x v="118"/>
  </r>
  <r>
    <n v="271"/>
    <x v="11"/>
    <x v="17"/>
    <x v="2"/>
    <x v="0"/>
    <x v="4"/>
    <x v="0"/>
    <x v="17"/>
    <x v="2"/>
    <n v="0.47"/>
    <n v="0.36"/>
    <x v="3"/>
    <n v="139"/>
    <x v="119"/>
  </r>
  <r>
    <n v="272"/>
    <x v="11"/>
    <x v="18"/>
    <x v="3"/>
    <x v="0"/>
    <x v="4"/>
    <x v="0"/>
    <x v="19"/>
    <x v="2"/>
    <n v="0.47"/>
    <n v="0.52"/>
    <x v="4"/>
    <n v="135"/>
    <x v="120"/>
  </r>
  <r>
    <n v="273"/>
    <x v="11"/>
    <x v="19"/>
    <x v="3"/>
    <x v="0"/>
    <x v="4"/>
    <x v="0"/>
    <x v="19"/>
    <x v="15"/>
    <n v="0.47"/>
    <n v="0.42"/>
    <x v="5"/>
    <n v="82"/>
    <x v="56"/>
  </r>
  <r>
    <n v="274"/>
    <x v="11"/>
    <x v="20"/>
    <x v="3"/>
    <x v="0"/>
    <x v="4"/>
    <x v="0"/>
    <x v="13"/>
    <x v="13"/>
    <n v="0.5"/>
    <n v="0.33"/>
    <x v="4"/>
    <n v="54"/>
    <x v="10"/>
  </r>
  <r>
    <n v="275"/>
    <x v="11"/>
    <x v="21"/>
    <x v="3"/>
    <x v="0"/>
    <x v="4"/>
    <x v="0"/>
    <x v="13"/>
    <x v="13"/>
    <n v="0.55000000000000004"/>
    <n v="0.33"/>
    <x v="3"/>
    <n v="57"/>
    <x v="52"/>
  </r>
  <r>
    <n v="276"/>
    <x v="11"/>
    <x v="22"/>
    <x v="3"/>
    <x v="0"/>
    <x v="4"/>
    <x v="0"/>
    <x v="15"/>
    <x v="13"/>
    <n v="0.55000000000000004"/>
    <n v="0.45"/>
    <x v="5"/>
    <n v="32"/>
    <x v="63"/>
  </r>
  <r>
    <n v="277"/>
    <x v="11"/>
    <x v="23"/>
    <x v="3"/>
    <x v="0"/>
    <x v="4"/>
    <x v="0"/>
    <x v="14"/>
    <x v="14"/>
    <n v="0.59"/>
    <n v="0.42"/>
    <x v="5"/>
    <n v="19"/>
    <x v="25"/>
  </r>
  <r>
    <n v="278"/>
    <x v="12"/>
    <x v="0"/>
    <x v="0"/>
    <x v="0"/>
    <x v="5"/>
    <x v="0"/>
    <x v="15"/>
    <x v="14"/>
    <n v="0.59"/>
    <n v="0.28000000000000003"/>
    <x v="5"/>
    <n v="6"/>
    <x v="85"/>
  </r>
  <r>
    <n v="279"/>
    <x v="12"/>
    <x v="1"/>
    <x v="0"/>
    <x v="0"/>
    <x v="5"/>
    <x v="0"/>
    <x v="15"/>
    <x v="14"/>
    <n v="0.5"/>
    <n v="0.28000000000000003"/>
    <x v="3"/>
    <n v="2"/>
    <x v="5"/>
  </r>
  <r>
    <n v="280"/>
    <x v="12"/>
    <x v="2"/>
    <x v="0"/>
    <x v="0"/>
    <x v="5"/>
    <x v="0"/>
    <x v="15"/>
    <x v="14"/>
    <n v="0.5"/>
    <n v="0.36"/>
    <x v="3"/>
    <n v="2"/>
    <x v="5"/>
  </r>
  <r>
    <n v="281"/>
    <x v="12"/>
    <x v="3"/>
    <x v="0"/>
    <x v="0"/>
    <x v="5"/>
    <x v="0"/>
    <x v="15"/>
    <x v="14"/>
    <n v="0.5"/>
    <n v="0.33"/>
    <x v="3"/>
    <n v="3"/>
    <x v="6"/>
  </r>
  <r>
    <n v="282"/>
    <x v="12"/>
    <x v="4"/>
    <x v="0"/>
    <x v="0"/>
    <x v="5"/>
    <x v="0"/>
    <x v="15"/>
    <x v="14"/>
    <n v="0.5"/>
    <n v="0.25"/>
    <x v="3"/>
    <n v="4"/>
    <x v="48"/>
  </r>
  <r>
    <n v="283"/>
    <x v="12"/>
    <x v="5"/>
    <x v="0"/>
    <x v="0"/>
    <x v="5"/>
    <x v="0"/>
    <x v="15"/>
    <x v="14"/>
    <n v="0.5"/>
    <n v="0.3"/>
    <x v="3"/>
    <n v="3"/>
    <x v="6"/>
  </r>
  <r>
    <n v="284"/>
    <x v="12"/>
    <x v="6"/>
    <x v="1"/>
    <x v="0"/>
    <x v="5"/>
    <x v="0"/>
    <x v="19"/>
    <x v="16"/>
    <n v="0.54"/>
    <n v="0.13"/>
    <x v="3"/>
    <n v="28"/>
    <x v="20"/>
  </r>
  <r>
    <n v="285"/>
    <x v="12"/>
    <x v="7"/>
    <x v="1"/>
    <x v="0"/>
    <x v="5"/>
    <x v="0"/>
    <x v="19"/>
    <x v="16"/>
    <n v="0.54"/>
    <n v="0.13"/>
    <x v="3"/>
    <n v="72"/>
    <x v="44"/>
  </r>
  <r>
    <n v="286"/>
    <x v="12"/>
    <x v="8"/>
    <x v="1"/>
    <x v="0"/>
    <x v="5"/>
    <x v="0"/>
    <x v="13"/>
    <x v="14"/>
    <n v="0.5"/>
    <n v="0.19"/>
    <x v="2"/>
    <n v="197"/>
    <x v="121"/>
  </r>
  <r>
    <n v="287"/>
    <x v="12"/>
    <x v="9"/>
    <x v="1"/>
    <x v="0"/>
    <x v="5"/>
    <x v="0"/>
    <x v="15"/>
    <x v="14"/>
    <n v="0.5"/>
    <n v="0.33"/>
    <x v="4"/>
    <n v="137"/>
    <x v="119"/>
  </r>
  <r>
    <n v="288"/>
    <x v="12"/>
    <x v="10"/>
    <x v="1"/>
    <x v="0"/>
    <x v="5"/>
    <x v="1"/>
    <x v="13"/>
    <x v="13"/>
    <n v="0.5"/>
    <n v="0.36"/>
    <x v="4"/>
    <n v="36"/>
    <x v="103"/>
  </r>
  <r>
    <n v="289"/>
    <x v="12"/>
    <x v="11"/>
    <x v="1"/>
    <x v="0"/>
    <x v="5"/>
    <x v="1"/>
    <x v="16"/>
    <x v="2"/>
    <n v="0.44"/>
    <n v="0.45"/>
    <x v="17"/>
    <n v="33"/>
    <x v="18"/>
  </r>
  <r>
    <n v="290"/>
    <x v="12"/>
    <x v="12"/>
    <x v="2"/>
    <x v="0"/>
    <x v="5"/>
    <x v="0"/>
    <x v="16"/>
    <x v="2"/>
    <n v="0.44"/>
    <n v="0.42"/>
    <x v="0"/>
    <n v="49"/>
    <x v="46"/>
  </r>
  <r>
    <n v="291"/>
    <x v="12"/>
    <x v="13"/>
    <x v="2"/>
    <x v="0"/>
    <x v="5"/>
    <x v="0"/>
    <x v="3"/>
    <x v="1"/>
    <n v="0.41"/>
    <n v="0.45"/>
    <x v="4"/>
    <n v="81"/>
    <x v="56"/>
  </r>
  <r>
    <n v="292"/>
    <x v="12"/>
    <x v="14"/>
    <x v="2"/>
    <x v="0"/>
    <x v="5"/>
    <x v="0"/>
    <x v="3"/>
    <x v="1"/>
    <n v="0.41"/>
    <n v="0.39"/>
    <x v="0"/>
    <n v="39"/>
    <x v="51"/>
  </r>
  <r>
    <n v="293"/>
    <x v="12"/>
    <x v="15"/>
    <x v="2"/>
    <x v="0"/>
    <x v="5"/>
    <x v="0"/>
    <x v="12"/>
    <x v="0"/>
    <n v="0.38"/>
    <n v="0.3"/>
    <x v="2"/>
    <n v="55"/>
    <x v="122"/>
  </r>
  <r>
    <n v="294"/>
    <x v="12"/>
    <x v="16"/>
    <x v="2"/>
    <x v="0"/>
    <x v="5"/>
    <x v="0"/>
    <x v="12"/>
    <x v="0"/>
    <n v="0.38"/>
    <n v="0.36"/>
    <x v="4"/>
    <n v="76"/>
    <x v="53"/>
  </r>
  <r>
    <n v="295"/>
    <x v="12"/>
    <x v="17"/>
    <x v="2"/>
    <x v="0"/>
    <x v="5"/>
    <x v="0"/>
    <x v="17"/>
    <x v="2"/>
    <n v="0.4"/>
    <n v="0.28000000000000003"/>
    <x v="17"/>
    <n v="158"/>
    <x v="123"/>
  </r>
  <r>
    <n v="296"/>
    <x v="12"/>
    <x v="18"/>
    <x v="3"/>
    <x v="0"/>
    <x v="5"/>
    <x v="0"/>
    <x v="17"/>
    <x v="2"/>
    <n v="0.4"/>
    <n v="0.33"/>
    <x v="0"/>
    <n v="141"/>
    <x v="124"/>
  </r>
  <r>
    <n v="297"/>
    <x v="12"/>
    <x v="19"/>
    <x v="3"/>
    <x v="0"/>
    <x v="5"/>
    <x v="0"/>
    <x v="19"/>
    <x v="13"/>
    <n v="0.47"/>
    <n v="0.25"/>
    <x v="5"/>
    <n v="98"/>
    <x v="111"/>
  </r>
  <r>
    <n v="298"/>
    <x v="12"/>
    <x v="20"/>
    <x v="3"/>
    <x v="0"/>
    <x v="5"/>
    <x v="0"/>
    <x v="19"/>
    <x v="13"/>
    <n v="0.47"/>
    <n v="0.22"/>
    <x v="3"/>
    <n v="64"/>
    <x v="37"/>
  </r>
  <r>
    <n v="299"/>
    <x v="12"/>
    <x v="21"/>
    <x v="3"/>
    <x v="0"/>
    <x v="5"/>
    <x v="0"/>
    <x v="15"/>
    <x v="14"/>
    <n v="0.46"/>
    <n v="0.3"/>
    <x v="3"/>
    <n v="40"/>
    <x v="1"/>
  </r>
  <r>
    <n v="300"/>
    <x v="12"/>
    <x v="22"/>
    <x v="3"/>
    <x v="0"/>
    <x v="5"/>
    <x v="0"/>
    <x v="15"/>
    <x v="14"/>
    <n v="0.46"/>
    <n v="0.33"/>
    <x v="3"/>
    <n v="30"/>
    <x v="33"/>
  </r>
  <r>
    <n v="301"/>
    <x v="12"/>
    <x v="23"/>
    <x v="3"/>
    <x v="0"/>
    <x v="5"/>
    <x v="0"/>
    <x v="13"/>
    <x v="16"/>
    <n v="0.5"/>
    <n v="0.19"/>
    <x v="5"/>
    <n v="14"/>
    <x v="93"/>
  </r>
  <r>
    <n v="302"/>
    <x v="13"/>
    <x v="0"/>
    <x v="0"/>
    <x v="0"/>
    <x v="6"/>
    <x v="0"/>
    <x v="13"/>
    <x v="16"/>
    <n v="0.5"/>
    <n v="0.19"/>
    <x v="3"/>
    <n v="14"/>
    <x v="8"/>
  </r>
  <r>
    <n v="303"/>
    <x v="13"/>
    <x v="1"/>
    <x v="0"/>
    <x v="0"/>
    <x v="6"/>
    <x v="0"/>
    <x v="15"/>
    <x v="18"/>
    <n v="0.54"/>
    <n v="0.16"/>
    <x v="3"/>
    <n v="5"/>
    <x v="36"/>
  </r>
  <r>
    <n v="304"/>
    <x v="13"/>
    <x v="2"/>
    <x v="0"/>
    <x v="0"/>
    <x v="6"/>
    <x v="0"/>
    <x v="15"/>
    <x v="18"/>
    <n v="0.54"/>
    <n v="0.13"/>
    <x v="3"/>
    <n v="1"/>
    <x v="4"/>
  </r>
  <r>
    <n v="305"/>
    <x v="13"/>
    <x v="3"/>
    <x v="0"/>
    <x v="0"/>
    <x v="6"/>
    <x v="0"/>
    <x v="13"/>
    <x v="18"/>
    <n v="0.54"/>
    <n v="0.1"/>
    <x v="3"/>
    <n v="1"/>
    <x v="4"/>
  </r>
  <r>
    <n v="306"/>
    <x v="13"/>
    <x v="5"/>
    <x v="0"/>
    <x v="0"/>
    <x v="6"/>
    <x v="0"/>
    <x v="13"/>
    <x v="18"/>
    <n v="0.54"/>
    <n v="0.09"/>
    <x v="3"/>
    <n v="8"/>
    <x v="7"/>
  </r>
  <r>
    <n v="307"/>
    <x v="13"/>
    <x v="6"/>
    <x v="1"/>
    <x v="0"/>
    <x v="6"/>
    <x v="0"/>
    <x v="17"/>
    <x v="18"/>
    <n v="0.54"/>
    <n v="0"/>
    <x v="3"/>
    <n v="17"/>
    <x v="22"/>
  </r>
  <r>
    <n v="308"/>
    <x v="13"/>
    <x v="7"/>
    <x v="1"/>
    <x v="0"/>
    <x v="6"/>
    <x v="0"/>
    <x v="15"/>
    <x v="18"/>
    <n v="0.74"/>
    <n v="0.16"/>
    <x v="3"/>
    <n v="70"/>
    <x v="27"/>
  </r>
  <r>
    <n v="309"/>
    <x v="13"/>
    <x v="8"/>
    <x v="1"/>
    <x v="0"/>
    <x v="6"/>
    <x v="0"/>
    <x v="16"/>
    <x v="16"/>
    <n v="0.68"/>
    <n v="0"/>
    <x v="4"/>
    <n v="156"/>
    <x v="125"/>
  </r>
  <r>
    <n v="310"/>
    <x v="13"/>
    <x v="9"/>
    <x v="1"/>
    <x v="0"/>
    <x v="6"/>
    <x v="0"/>
    <x v="19"/>
    <x v="14"/>
    <n v="0.69"/>
    <n v="0.13"/>
    <x v="3"/>
    <n v="117"/>
    <x v="126"/>
  </r>
  <r>
    <n v="311"/>
    <x v="13"/>
    <x v="10"/>
    <x v="1"/>
    <x v="0"/>
    <x v="6"/>
    <x v="0"/>
    <x v="17"/>
    <x v="15"/>
    <n v="0.55000000000000004"/>
    <n v="0.19"/>
    <x v="17"/>
    <n v="40"/>
    <x v="40"/>
  </r>
  <r>
    <n v="312"/>
    <x v="13"/>
    <x v="11"/>
    <x v="1"/>
    <x v="0"/>
    <x v="6"/>
    <x v="0"/>
    <x v="16"/>
    <x v="15"/>
    <n v="0.51"/>
    <n v="0.28000000000000003"/>
    <x v="15"/>
    <n v="47"/>
    <x v="26"/>
  </r>
  <r>
    <n v="313"/>
    <x v="13"/>
    <x v="12"/>
    <x v="2"/>
    <x v="0"/>
    <x v="6"/>
    <x v="0"/>
    <x v="3"/>
    <x v="2"/>
    <n v="0.44"/>
    <n v="0.25"/>
    <x v="4"/>
    <n v="59"/>
    <x v="42"/>
  </r>
  <r>
    <n v="314"/>
    <x v="13"/>
    <x v="13"/>
    <x v="2"/>
    <x v="0"/>
    <x v="6"/>
    <x v="0"/>
    <x v="3"/>
    <x v="1"/>
    <n v="0.37"/>
    <n v="0.39"/>
    <x v="17"/>
    <n v="73"/>
    <x v="43"/>
  </r>
  <r>
    <n v="315"/>
    <x v="13"/>
    <x v="14"/>
    <x v="2"/>
    <x v="0"/>
    <x v="6"/>
    <x v="0"/>
    <x v="12"/>
    <x v="1"/>
    <n v="0.41"/>
    <n v="0.28000000000000003"/>
    <x v="2"/>
    <n v="59"/>
    <x v="37"/>
  </r>
  <r>
    <n v="316"/>
    <x v="13"/>
    <x v="15"/>
    <x v="2"/>
    <x v="0"/>
    <x v="6"/>
    <x v="0"/>
    <x v="18"/>
    <x v="0"/>
    <n v="0.38"/>
    <n v="0.16"/>
    <x v="14"/>
    <n v="59"/>
    <x v="118"/>
  </r>
  <r>
    <n v="317"/>
    <x v="13"/>
    <x v="16"/>
    <x v="2"/>
    <x v="0"/>
    <x v="6"/>
    <x v="0"/>
    <x v="18"/>
    <x v="1"/>
    <n v="0.41"/>
    <n v="0.1"/>
    <x v="0"/>
    <n v="87"/>
    <x v="127"/>
  </r>
  <r>
    <n v="318"/>
    <x v="13"/>
    <x v="17"/>
    <x v="2"/>
    <x v="0"/>
    <x v="6"/>
    <x v="0"/>
    <x v="11"/>
    <x v="1"/>
    <n v="0.41"/>
    <n v="0.16"/>
    <x v="17"/>
    <n v="155"/>
    <x v="128"/>
  </r>
  <r>
    <n v="319"/>
    <x v="13"/>
    <x v="18"/>
    <x v="3"/>
    <x v="0"/>
    <x v="6"/>
    <x v="0"/>
    <x v="2"/>
    <x v="2"/>
    <n v="0.47"/>
    <n v="0"/>
    <x v="2"/>
    <n v="134"/>
    <x v="119"/>
  </r>
  <r>
    <n v="320"/>
    <x v="13"/>
    <x v="19"/>
    <x v="3"/>
    <x v="0"/>
    <x v="6"/>
    <x v="0"/>
    <x v="3"/>
    <x v="13"/>
    <n v="0.59"/>
    <n v="0.09"/>
    <x v="0"/>
    <n v="89"/>
    <x v="101"/>
  </r>
  <r>
    <n v="321"/>
    <x v="13"/>
    <x v="20"/>
    <x v="3"/>
    <x v="0"/>
    <x v="6"/>
    <x v="0"/>
    <x v="18"/>
    <x v="15"/>
    <n v="0.59"/>
    <n v="0"/>
    <x v="3"/>
    <n v="68"/>
    <x v="118"/>
  </r>
  <r>
    <n v="322"/>
    <x v="13"/>
    <x v="21"/>
    <x v="3"/>
    <x v="0"/>
    <x v="6"/>
    <x v="0"/>
    <x v="11"/>
    <x v="13"/>
    <n v="0.69"/>
    <n v="0"/>
    <x v="17"/>
    <n v="48"/>
    <x v="46"/>
  </r>
  <r>
    <n v="323"/>
    <x v="13"/>
    <x v="22"/>
    <x v="3"/>
    <x v="0"/>
    <x v="6"/>
    <x v="1"/>
    <x v="11"/>
    <x v="13"/>
    <n v="0.69"/>
    <n v="0"/>
    <x v="4"/>
    <n v="34"/>
    <x v="9"/>
  </r>
  <r>
    <n v="324"/>
    <x v="13"/>
    <x v="23"/>
    <x v="3"/>
    <x v="0"/>
    <x v="6"/>
    <x v="1"/>
    <x v="18"/>
    <x v="15"/>
    <n v="0.55000000000000004"/>
    <n v="0"/>
    <x v="5"/>
    <n v="26"/>
    <x v="110"/>
  </r>
  <r>
    <n v="325"/>
    <x v="14"/>
    <x v="0"/>
    <x v="0"/>
    <x v="0"/>
    <x v="0"/>
    <x v="0"/>
    <x v="18"/>
    <x v="15"/>
    <n v="0.55000000000000004"/>
    <n v="0"/>
    <x v="0"/>
    <n v="25"/>
    <x v="20"/>
  </r>
  <r>
    <n v="326"/>
    <x v="14"/>
    <x v="1"/>
    <x v="0"/>
    <x v="0"/>
    <x v="0"/>
    <x v="1"/>
    <x v="3"/>
    <x v="13"/>
    <n v="0.59"/>
    <n v="0.09"/>
    <x v="4"/>
    <n v="18"/>
    <x v="25"/>
  </r>
  <r>
    <n v="327"/>
    <x v="14"/>
    <x v="2"/>
    <x v="0"/>
    <x v="0"/>
    <x v="0"/>
    <x v="1"/>
    <x v="3"/>
    <x v="13"/>
    <n v="0.59"/>
    <n v="0.09"/>
    <x v="3"/>
    <n v="12"/>
    <x v="47"/>
  </r>
  <r>
    <n v="328"/>
    <x v="14"/>
    <x v="3"/>
    <x v="0"/>
    <x v="0"/>
    <x v="0"/>
    <x v="1"/>
    <x v="11"/>
    <x v="13"/>
    <n v="0.59"/>
    <n v="0"/>
    <x v="5"/>
    <n v="7"/>
    <x v="7"/>
  </r>
  <r>
    <n v="329"/>
    <x v="14"/>
    <x v="4"/>
    <x v="0"/>
    <x v="0"/>
    <x v="0"/>
    <x v="1"/>
    <x v="11"/>
    <x v="13"/>
    <n v="0.59"/>
    <n v="0"/>
    <x v="3"/>
    <n v="5"/>
    <x v="36"/>
  </r>
  <r>
    <n v="330"/>
    <x v="14"/>
    <x v="5"/>
    <x v="0"/>
    <x v="0"/>
    <x v="0"/>
    <x v="0"/>
    <x v="11"/>
    <x v="13"/>
    <n v="0.59"/>
    <n v="0"/>
    <x v="3"/>
    <n v="1"/>
    <x v="4"/>
  </r>
  <r>
    <n v="331"/>
    <x v="14"/>
    <x v="6"/>
    <x v="1"/>
    <x v="0"/>
    <x v="0"/>
    <x v="0"/>
    <x v="16"/>
    <x v="14"/>
    <n v="0.63"/>
    <n v="0.1"/>
    <x v="5"/>
    <n v="2"/>
    <x v="6"/>
  </r>
  <r>
    <n v="332"/>
    <x v="14"/>
    <x v="7"/>
    <x v="1"/>
    <x v="0"/>
    <x v="0"/>
    <x v="0"/>
    <x v="12"/>
    <x v="14"/>
    <n v="0.63"/>
    <n v="0"/>
    <x v="5"/>
    <n v="9"/>
    <x v="98"/>
  </r>
  <r>
    <n v="333"/>
    <x v="14"/>
    <x v="8"/>
    <x v="1"/>
    <x v="0"/>
    <x v="0"/>
    <x v="0"/>
    <x v="19"/>
    <x v="14"/>
    <n v="0.63"/>
    <n v="0.13"/>
    <x v="5"/>
    <n v="22"/>
    <x v="84"/>
  </r>
  <r>
    <n v="334"/>
    <x v="14"/>
    <x v="9"/>
    <x v="1"/>
    <x v="0"/>
    <x v="0"/>
    <x v="0"/>
    <x v="17"/>
    <x v="13"/>
    <n v="0.64"/>
    <n v="0.13"/>
    <x v="4"/>
    <n v="31"/>
    <x v="63"/>
  </r>
  <r>
    <n v="335"/>
    <x v="14"/>
    <x v="10"/>
    <x v="1"/>
    <x v="0"/>
    <x v="0"/>
    <x v="0"/>
    <x v="3"/>
    <x v="15"/>
    <n v="0.59"/>
    <n v="0.16"/>
    <x v="4"/>
    <n v="57"/>
    <x v="29"/>
  </r>
  <r>
    <n v="336"/>
    <x v="14"/>
    <x v="11"/>
    <x v="1"/>
    <x v="0"/>
    <x v="0"/>
    <x v="0"/>
    <x v="3"/>
    <x v="2"/>
    <n v="0.55000000000000004"/>
    <n v="0.22"/>
    <x v="25"/>
    <n v="54"/>
    <x v="44"/>
  </r>
  <r>
    <n v="337"/>
    <x v="14"/>
    <x v="12"/>
    <x v="2"/>
    <x v="0"/>
    <x v="0"/>
    <x v="0"/>
    <x v="11"/>
    <x v="0"/>
    <n v="0.48"/>
    <n v="0.22"/>
    <x v="13"/>
    <n v="74"/>
    <x v="70"/>
  </r>
  <r>
    <n v="338"/>
    <x v="14"/>
    <x v="13"/>
    <x v="2"/>
    <x v="0"/>
    <x v="0"/>
    <x v="0"/>
    <x v="2"/>
    <x v="17"/>
    <n v="0.38"/>
    <n v="0.3"/>
    <x v="27"/>
    <n v="80"/>
    <x v="129"/>
  </r>
  <r>
    <n v="339"/>
    <x v="14"/>
    <x v="14"/>
    <x v="2"/>
    <x v="0"/>
    <x v="0"/>
    <x v="0"/>
    <x v="0"/>
    <x v="11"/>
    <n v="0.39"/>
    <n v="0.28000000000000003"/>
    <x v="7"/>
    <n v="92"/>
    <x v="130"/>
  </r>
  <r>
    <n v="340"/>
    <x v="14"/>
    <x v="15"/>
    <x v="2"/>
    <x v="0"/>
    <x v="0"/>
    <x v="1"/>
    <x v="20"/>
    <x v="3"/>
    <n v="0.36"/>
    <n v="0.19"/>
    <x v="27"/>
    <n v="108"/>
    <x v="131"/>
  </r>
  <r>
    <n v="341"/>
    <x v="14"/>
    <x v="16"/>
    <x v="2"/>
    <x v="0"/>
    <x v="0"/>
    <x v="1"/>
    <x v="6"/>
    <x v="10"/>
    <n v="0.34"/>
    <n v="0.19"/>
    <x v="28"/>
    <n v="95"/>
    <x v="116"/>
  </r>
  <r>
    <n v="342"/>
    <x v="14"/>
    <x v="17"/>
    <x v="2"/>
    <x v="0"/>
    <x v="0"/>
    <x v="1"/>
    <x v="24"/>
    <x v="3"/>
    <n v="0.36"/>
    <n v="0.28000000000000003"/>
    <x v="8"/>
    <n v="54"/>
    <x v="56"/>
  </r>
  <r>
    <n v="343"/>
    <x v="14"/>
    <x v="18"/>
    <x v="3"/>
    <x v="0"/>
    <x v="0"/>
    <x v="1"/>
    <x v="0"/>
    <x v="11"/>
    <n v="0.45"/>
    <n v="0.25"/>
    <x v="13"/>
    <n v="69"/>
    <x v="11"/>
  </r>
  <r>
    <n v="344"/>
    <x v="14"/>
    <x v="19"/>
    <x v="3"/>
    <x v="0"/>
    <x v="0"/>
    <x v="1"/>
    <x v="24"/>
    <x v="3"/>
    <n v="0.39"/>
    <n v="0.25"/>
    <x v="24"/>
    <n v="60"/>
    <x v="30"/>
  </r>
  <r>
    <n v="345"/>
    <x v="14"/>
    <x v="20"/>
    <x v="3"/>
    <x v="0"/>
    <x v="0"/>
    <x v="1"/>
    <x v="24"/>
    <x v="3"/>
    <n v="0.39"/>
    <n v="0.25"/>
    <x v="15"/>
    <n v="35"/>
    <x v="102"/>
  </r>
  <r>
    <n v="346"/>
    <x v="14"/>
    <x v="21"/>
    <x v="3"/>
    <x v="0"/>
    <x v="0"/>
    <x v="1"/>
    <x v="24"/>
    <x v="3"/>
    <n v="0.39"/>
    <n v="0.22"/>
    <x v="15"/>
    <n v="51"/>
    <x v="52"/>
  </r>
  <r>
    <n v="347"/>
    <x v="14"/>
    <x v="22"/>
    <x v="3"/>
    <x v="0"/>
    <x v="0"/>
    <x v="1"/>
    <x v="20"/>
    <x v="11"/>
    <n v="0.42"/>
    <n v="0.1"/>
    <x v="3"/>
    <n v="26"/>
    <x v="132"/>
  </r>
  <r>
    <n v="348"/>
    <x v="14"/>
    <x v="23"/>
    <x v="3"/>
    <x v="0"/>
    <x v="0"/>
    <x v="0"/>
    <x v="0"/>
    <x v="11"/>
    <n v="0.45"/>
    <n v="0.28000000000000003"/>
    <x v="2"/>
    <n v="39"/>
    <x v="40"/>
  </r>
  <r>
    <n v="349"/>
    <x v="15"/>
    <x v="0"/>
    <x v="0"/>
    <x v="0"/>
    <x v="1"/>
    <x v="0"/>
    <x v="24"/>
    <x v="12"/>
    <n v="0.56000000000000005"/>
    <n v="0"/>
    <x v="15"/>
    <n v="33"/>
    <x v="21"/>
  </r>
  <r>
    <n v="350"/>
    <x v="15"/>
    <x v="1"/>
    <x v="0"/>
    <x v="0"/>
    <x v="1"/>
    <x v="0"/>
    <x v="1"/>
    <x v="12"/>
    <n v="0.56000000000000005"/>
    <n v="0.13"/>
    <x v="17"/>
    <n v="19"/>
    <x v="84"/>
  </r>
  <r>
    <n v="351"/>
    <x v="15"/>
    <x v="2"/>
    <x v="0"/>
    <x v="0"/>
    <x v="1"/>
    <x v="0"/>
    <x v="0"/>
    <x v="12"/>
    <n v="0.56000000000000005"/>
    <n v="0.09"/>
    <x v="0"/>
    <n v="13"/>
    <x v="0"/>
  </r>
  <r>
    <n v="352"/>
    <x v="15"/>
    <x v="3"/>
    <x v="0"/>
    <x v="0"/>
    <x v="1"/>
    <x v="0"/>
    <x v="1"/>
    <x v="1"/>
    <n v="0.69"/>
    <n v="0"/>
    <x v="14"/>
    <n v="6"/>
    <x v="93"/>
  </r>
  <r>
    <n v="353"/>
    <x v="15"/>
    <x v="4"/>
    <x v="0"/>
    <x v="0"/>
    <x v="1"/>
    <x v="0"/>
    <x v="2"/>
    <x v="12"/>
    <n v="0.56000000000000005"/>
    <n v="0.16"/>
    <x v="3"/>
    <n v="1"/>
    <x v="4"/>
  </r>
  <r>
    <n v="354"/>
    <x v="15"/>
    <x v="5"/>
    <x v="0"/>
    <x v="0"/>
    <x v="1"/>
    <x v="1"/>
    <x v="2"/>
    <x v="12"/>
    <n v="0.56000000000000005"/>
    <n v="0.16"/>
    <x v="5"/>
    <n v="1"/>
    <x v="5"/>
  </r>
  <r>
    <n v="355"/>
    <x v="15"/>
    <x v="6"/>
    <x v="1"/>
    <x v="0"/>
    <x v="1"/>
    <x v="1"/>
    <x v="2"/>
    <x v="12"/>
    <n v="0.56000000000000005"/>
    <n v="0.16"/>
    <x v="3"/>
    <n v="1"/>
    <x v="4"/>
  </r>
  <r>
    <n v="356"/>
    <x v="15"/>
    <x v="7"/>
    <x v="1"/>
    <x v="0"/>
    <x v="1"/>
    <x v="1"/>
    <x v="12"/>
    <x v="0"/>
    <n v="0.56000000000000005"/>
    <n v="0.3"/>
    <x v="3"/>
    <n v="3"/>
    <x v="6"/>
  </r>
  <r>
    <n v="357"/>
    <x v="15"/>
    <x v="8"/>
    <x v="1"/>
    <x v="0"/>
    <x v="1"/>
    <x v="0"/>
    <x v="12"/>
    <x v="1"/>
    <n v="0.55000000000000004"/>
    <n v="0.28000000000000003"/>
    <x v="3"/>
    <n v="18"/>
    <x v="109"/>
  </r>
  <r>
    <n v="358"/>
    <x v="15"/>
    <x v="9"/>
    <x v="1"/>
    <x v="0"/>
    <x v="1"/>
    <x v="0"/>
    <x v="12"/>
    <x v="1"/>
    <n v="0.51"/>
    <n v="0.25"/>
    <x v="0"/>
    <n v="29"/>
    <x v="2"/>
  </r>
  <r>
    <n v="359"/>
    <x v="15"/>
    <x v="10"/>
    <x v="1"/>
    <x v="0"/>
    <x v="1"/>
    <x v="0"/>
    <x v="12"/>
    <x v="1"/>
    <n v="0.51"/>
    <n v="0.28000000000000003"/>
    <x v="1"/>
    <n v="71"/>
    <x v="67"/>
  </r>
  <r>
    <n v="360"/>
    <x v="15"/>
    <x v="11"/>
    <x v="1"/>
    <x v="0"/>
    <x v="1"/>
    <x v="0"/>
    <x v="11"/>
    <x v="0"/>
    <n v="0.44"/>
    <n v="0.25"/>
    <x v="29"/>
    <n v="70"/>
    <x v="15"/>
  </r>
  <r>
    <n v="361"/>
    <x v="15"/>
    <x v="12"/>
    <x v="2"/>
    <x v="0"/>
    <x v="1"/>
    <x v="0"/>
    <x v="12"/>
    <x v="0"/>
    <n v="0.41"/>
    <n v="0.28000000000000003"/>
    <x v="8"/>
    <n v="75"/>
    <x v="133"/>
  </r>
  <r>
    <n v="362"/>
    <x v="15"/>
    <x v="13"/>
    <x v="2"/>
    <x v="0"/>
    <x v="1"/>
    <x v="0"/>
    <x v="11"/>
    <x v="12"/>
    <n v="0.35"/>
    <n v="0.3"/>
    <x v="29"/>
    <n v="95"/>
    <x v="130"/>
  </r>
  <r>
    <n v="363"/>
    <x v="15"/>
    <x v="14"/>
    <x v="2"/>
    <x v="0"/>
    <x v="1"/>
    <x v="0"/>
    <x v="1"/>
    <x v="17"/>
    <n v="0.36"/>
    <n v="0.25"/>
    <x v="30"/>
    <n v="69"/>
    <x v="134"/>
  </r>
  <r>
    <n v="364"/>
    <x v="15"/>
    <x v="15"/>
    <x v="2"/>
    <x v="0"/>
    <x v="1"/>
    <x v="0"/>
    <x v="18"/>
    <x v="12"/>
    <n v="0.38"/>
    <n v="0.25"/>
    <x v="10"/>
    <n v="78"/>
    <x v="135"/>
  </r>
  <r>
    <n v="365"/>
    <x v="15"/>
    <x v="16"/>
    <x v="2"/>
    <x v="0"/>
    <x v="1"/>
    <x v="0"/>
    <x v="11"/>
    <x v="0"/>
    <n v="0.38"/>
    <n v="0.22"/>
    <x v="30"/>
    <n v="77"/>
    <x v="111"/>
  </r>
  <r>
    <n v="366"/>
    <x v="15"/>
    <x v="17"/>
    <x v="2"/>
    <x v="0"/>
    <x v="1"/>
    <x v="0"/>
    <x v="12"/>
    <x v="1"/>
    <n v="0.37"/>
    <n v="0.25"/>
    <x v="29"/>
    <n v="82"/>
    <x v="136"/>
  </r>
  <r>
    <n v="367"/>
    <x v="15"/>
    <x v="18"/>
    <x v="3"/>
    <x v="0"/>
    <x v="1"/>
    <x v="0"/>
    <x v="12"/>
    <x v="2"/>
    <n v="0.4"/>
    <n v="0.16"/>
    <x v="16"/>
    <n v="56"/>
    <x v="16"/>
  </r>
  <r>
    <n v="368"/>
    <x v="15"/>
    <x v="19"/>
    <x v="3"/>
    <x v="0"/>
    <x v="1"/>
    <x v="0"/>
    <x v="3"/>
    <x v="15"/>
    <n v="0.47"/>
    <n v="0.13"/>
    <x v="24"/>
    <n v="47"/>
    <x v="42"/>
  </r>
  <r>
    <n v="369"/>
    <x v="15"/>
    <x v="20"/>
    <x v="3"/>
    <x v="0"/>
    <x v="1"/>
    <x v="0"/>
    <x v="3"/>
    <x v="15"/>
    <n v="0.47"/>
    <n v="0.16"/>
    <x v="18"/>
    <n v="50"/>
    <x v="52"/>
  </r>
  <r>
    <n v="370"/>
    <x v="15"/>
    <x v="21"/>
    <x v="3"/>
    <x v="0"/>
    <x v="1"/>
    <x v="0"/>
    <x v="3"/>
    <x v="15"/>
    <n v="0.51"/>
    <n v="0.16"/>
    <x v="15"/>
    <n v="22"/>
    <x v="20"/>
  </r>
  <r>
    <n v="371"/>
    <x v="15"/>
    <x v="22"/>
    <x v="3"/>
    <x v="0"/>
    <x v="1"/>
    <x v="1"/>
    <x v="12"/>
    <x v="2"/>
    <n v="0.49"/>
    <n v="0.13"/>
    <x v="4"/>
    <n v="19"/>
    <x v="137"/>
  </r>
  <r>
    <n v="372"/>
    <x v="15"/>
    <x v="23"/>
    <x v="3"/>
    <x v="0"/>
    <x v="1"/>
    <x v="1"/>
    <x v="11"/>
    <x v="2"/>
    <n v="0.4"/>
    <n v="0.1"/>
    <x v="3"/>
    <n v="18"/>
    <x v="109"/>
  </r>
  <r>
    <n v="373"/>
    <x v="16"/>
    <x v="0"/>
    <x v="0"/>
    <x v="1"/>
    <x v="2"/>
    <x v="1"/>
    <x v="3"/>
    <x v="2"/>
    <n v="0.47"/>
    <n v="0.22"/>
    <x v="5"/>
    <n v="16"/>
    <x v="22"/>
  </r>
  <r>
    <n v="374"/>
    <x v="16"/>
    <x v="1"/>
    <x v="0"/>
    <x v="1"/>
    <x v="2"/>
    <x v="1"/>
    <x v="3"/>
    <x v="2"/>
    <n v="0.44"/>
    <n v="0.19"/>
    <x v="5"/>
    <n v="15"/>
    <x v="0"/>
  </r>
  <r>
    <n v="375"/>
    <x v="16"/>
    <x v="2"/>
    <x v="0"/>
    <x v="1"/>
    <x v="2"/>
    <x v="1"/>
    <x v="16"/>
    <x v="15"/>
    <n v="0.43"/>
    <n v="0.25"/>
    <x v="3"/>
    <n v="8"/>
    <x v="7"/>
  </r>
  <r>
    <n v="376"/>
    <x v="16"/>
    <x v="3"/>
    <x v="0"/>
    <x v="1"/>
    <x v="2"/>
    <x v="1"/>
    <x v="17"/>
    <x v="15"/>
    <n v="0.43"/>
    <n v="0.19"/>
    <x v="3"/>
    <n v="2"/>
    <x v="5"/>
  </r>
  <r>
    <n v="377"/>
    <x v="16"/>
    <x v="4"/>
    <x v="0"/>
    <x v="1"/>
    <x v="2"/>
    <x v="1"/>
    <x v="3"/>
    <x v="15"/>
    <n v="0.43"/>
    <n v="0.13"/>
    <x v="5"/>
    <n v="2"/>
    <x v="6"/>
  </r>
  <r>
    <n v="378"/>
    <x v="16"/>
    <x v="5"/>
    <x v="0"/>
    <x v="1"/>
    <x v="2"/>
    <x v="1"/>
    <x v="3"/>
    <x v="15"/>
    <n v="0.43"/>
    <n v="0.16"/>
    <x v="3"/>
    <n v="1"/>
    <x v="4"/>
  </r>
  <r>
    <n v="379"/>
    <x v="16"/>
    <x v="6"/>
    <x v="1"/>
    <x v="1"/>
    <x v="2"/>
    <x v="1"/>
    <x v="17"/>
    <x v="15"/>
    <n v="0.43"/>
    <n v="0.19"/>
    <x v="3"/>
    <n v="5"/>
    <x v="36"/>
  </r>
  <r>
    <n v="380"/>
    <x v="16"/>
    <x v="7"/>
    <x v="1"/>
    <x v="1"/>
    <x v="2"/>
    <x v="1"/>
    <x v="17"/>
    <x v="13"/>
    <n v="0.5"/>
    <n v="0.13"/>
    <x v="17"/>
    <n v="9"/>
    <x v="3"/>
  </r>
  <r>
    <n v="381"/>
    <x v="16"/>
    <x v="8"/>
    <x v="1"/>
    <x v="1"/>
    <x v="2"/>
    <x v="1"/>
    <x v="19"/>
    <x v="13"/>
    <n v="0.47"/>
    <n v="0.22"/>
    <x v="0"/>
    <n v="30"/>
    <x v="63"/>
  </r>
  <r>
    <n v="382"/>
    <x v="16"/>
    <x v="9"/>
    <x v="1"/>
    <x v="1"/>
    <x v="2"/>
    <x v="1"/>
    <x v="19"/>
    <x v="13"/>
    <n v="0.47"/>
    <n v="0.22"/>
    <x v="1"/>
    <n v="39"/>
    <x v="105"/>
  </r>
  <r>
    <n v="383"/>
    <x v="16"/>
    <x v="10"/>
    <x v="1"/>
    <x v="1"/>
    <x v="2"/>
    <x v="1"/>
    <x v="19"/>
    <x v="13"/>
    <n v="0.5"/>
    <n v="0.25"/>
    <x v="18"/>
    <n v="50"/>
    <x v="52"/>
  </r>
  <r>
    <n v="384"/>
    <x v="16"/>
    <x v="11"/>
    <x v="1"/>
    <x v="1"/>
    <x v="2"/>
    <x v="1"/>
    <x v="19"/>
    <x v="13"/>
    <n v="0.55000000000000004"/>
    <n v="0.19"/>
    <x v="14"/>
    <n v="55"/>
    <x v="37"/>
  </r>
  <r>
    <n v="385"/>
    <x v="16"/>
    <x v="12"/>
    <x v="2"/>
    <x v="1"/>
    <x v="2"/>
    <x v="1"/>
    <x v="3"/>
    <x v="15"/>
    <n v="0.47"/>
    <n v="0.13"/>
    <x v="22"/>
    <n v="70"/>
    <x v="138"/>
  </r>
  <r>
    <n v="386"/>
    <x v="16"/>
    <x v="13"/>
    <x v="2"/>
    <x v="1"/>
    <x v="2"/>
    <x v="1"/>
    <x v="3"/>
    <x v="15"/>
    <n v="0.47"/>
    <n v="0.13"/>
    <x v="23"/>
    <n v="80"/>
    <x v="15"/>
  </r>
  <r>
    <n v="387"/>
    <x v="16"/>
    <x v="14"/>
    <x v="2"/>
    <x v="1"/>
    <x v="2"/>
    <x v="1"/>
    <x v="12"/>
    <x v="15"/>
    <n v="0.43"/>
    <n v="0.1"/>
    <x v="6"/>
    <n v="74"/>
    <x v="80"/>
  </r>
  <r>
    <n v="388"/>
    <x v="16"/>
    <x v="15"/>
    <x v="2"/>
    <x v="1"/>
    <x v="2"/>
    <x v="1"/>
    <x v="12"/>
    <x v="2"/>
    <n v="0.47"/>
    <n v="0.16"/>
    <x v="27"/>
    <n v="72"/>
    <x v="15"/>
  </r>
  <r>
    <n v="389"/>
    <x v="16"/>
    <x v="16"/>
    <x v="2"/>
    <x v="1"/>
    <x v="2"/>
    <x v="1"/>
    <x v="12"/>
    <x v="2"/>
    <n v="0.47"/>
    <n v="0.16"/>
    <x v="15"/>
    <n v="76"/>
    <x v="100"/>
  </r>
  <r>
    <n v="390"/>
    <x v="16"/>
    <x v="17"/>
    <x v="2"/>
    <x v="1"/>
    <x v="2"/>
    <x v="0"/>
    <x v="3"/>
    <x v="2"/>
    <n v="0.51"/>
    <n v="0.19"/>
    <x v="17"/>
    <n v="67"/>
    <x v="68"/>
  </r>
  <r>
    <n v="391"/>
    <x v="16"/>
    <x v="18"/>
    <x v="3"/>
    <x v="1"/>
    <x v="2"/>
    <x v="1"/>
    <x v="16"/>
    <x v="15"/>
    <n v="0.55000000000000004"/>
    <n v="0.25"/>
    <x v="18"/>
    <n v="85"/>
    <x v="101"/>
  </r>
  <r>
    <n v="392"/>
    <x v="16"/>
    <x v="19"/>
    <x v="3"/>
    <x v="1"/>
    <x v="2"/>
    <x v="2"/>
    <x v="17"/>
    <x v="15"/>
    <n v="0.59"/>
    <n v="0.19"/>
    <x v="4"/>
    <n v="58"/>
    <x v="122"/>
  </r>
  <r>
    <n v="393"/>
    <x v="16"/>
    <x v="20"/>
    <x v="3"/>
    <x v="1"/>
    <x v="2"/>
    <x v="2"/>
    <x v="19"/>
    <x v="13"/>
    <n v="0.8"/>
    <n v="0.19"/>
    <x v="17"/>
    <n v="29"/>
    <x v="63"/>
  </r>
  <r>
    <n v="394"/>
    <x v="16"/>
    <x v="21"/>
    <x v="3"/>
    <x v="1"/>
    <x v="2"/>
    <x v="2"/>
    <x v="19"/>
    <x v="13"/>
    <n v="0.8"/>
    <n v="0.19"/>
    <x v="0"/>
    <n v="24"/>
    <x v="110"/>
  </r>
  <r>
    <n v="395"/>
    <x v="16"/>
    <x v="22"/>
    <x v="3"/>
    <x v="1"/>
    <x v="2"/>
    <x v="2"/>
    <x v="15"/>
    <x v="14"/>
    <n v="0.93"/>
    <n v="0.25"/>
    <x v="3"/>
    <n v="13"/>
    <x v="3"/>
  </r>
  <r>
    <n v="396"/>
    <x v="16"/>
    <x v="23"/>
    <x v="3"/>
    <x v="1"/>
    <x v="2"/>
    <x v="2"/>
    <x v="13"/>
    <x v="13"/>
    <n v="0.86"/>
    <n v="0.28000000000000003"/>
    <x v="5"/>
    <n v="3"/>
    <x v="48"/>
  </r>
  <r>
    <n v="397"/>
    <x v="17"/>
    <x v="12"/>
    <x v="2"/>
    <x v="0"/>
    <x v="3"/>
    <x v="1"/>
    <x v="17"/>
    <x v="2"/>
    <n v="0.86"/>
    <n v="0.33"/>
    <x v="3"/>
    <n v="3"/>
    <x v="6"/>
  </r>
  <r>
    <n v="398"/>
    <x v="17"/>
    <x v="13"/>
    <x v="2"/>
    <x v="0"/>
    <x v="3"/>
    <x v="1"/>
    <x v="3"/>
    <x v="2"/>
    <n v="0.86"/>
    <n v="0.22"/>
    <x v="3"/>
    <n v="22"/>
    <x v="34"/>
  </r>
  <r>
    <n v="399"/>
    <x v="17"/>
    <x v="14"/>
    <x v="2"/>
    <x v="0"/>
    <x v="3"/>
    <x v="1"/>
    <x v="11"/>
    <x v="1"/>
    <n v="0.8"/>
    <n v="0.16"/>
    <x v="4"/>
    <n v="26"/>
    <x v="20"/>
  </r>
  <r>
    <n v="400"/>
    <x v="17"/>
    <x v="15"/>
    <x v="2"/>
    <x v="0"/>
    <x v="3"/>
    <x v="1"/>
    <x v="11"/>
    <x v="1"/>
    <n v="0.87"/>
    <n v="0.16"/>
    <x v="0"/>
    <n v="32"/>
    <x v="17"/>
  </r>
  <r>
    <n v="401"/>
    <x v="17"/>
    <x v="16"/>
    <x v="2"/>
    <x v="0"/>
    <x v="3"/>
    <x v="1"/>
    <x v="11"/>
    <x v="1"/>
    <n v="0.87"/>
    <n v="0.19"/>
    <x v="3"/>
    <n v="61"/>
    <x v="42"/>
  </r>
  <r>
    <n v="402"/>
    <x v="17"/>
    <x v="17"/>
    <x v="2"/>
    <x v="0"/>
    <x v="3"/>
    <x v="1"/>
    <x v="11"/>
    <x v="1"/>
    <n v="0.82"/>
    <n v="0.19"/>
    <x v="5"/>
    <n v="124"/>
    <x v="139"/>
  </r>
  <r>
    <n v="403"/>
    <x v="17"/>
    <x v="18"/>
    <x v="3"/>
    <x v="0"/>
    <x v="3"/>
    <x v="1"/>
    <x v="11"/>
    <x v="1"/>
    <n v="0.8"/>
    <n v="0.16"/>
    <x v="5"/>
    <n v="132"/>
    <x v="140"/>
  </r>
  <r>
    <n v="404"/>
    <x v="17"/>
    <x v="19"/>
    <x v="3"/>
    <x v="0"/>
    <x v="3"/>
    <x v="1"/>
    <x v="11"/>
    <x v="1"/>
    <n v="0.8"/>
    <n v="0.13"/>
    <x v="5"/>
    <n v="98"/>
    <x v="111"/>
  </r>
  <r>
    <n v="405"/>
    <x v="17"/>
    <x v="20"/>
    <x v="3"/>
    <x v="0"/>
    <x v="3"/>
    <x v="1"/>
    <x v="1"/>
    <x v="1"/>
    <n v="0.87"/>
    <n v="0"/>
    <x v="3"/>
    <n v="83"/>
    <x v="56"/>
  </r>
  <r>
    <n v="406"/>
    <x v="17"/>
    <x v="21"/>
    <x v="3"/>
    <x v="0"/>
    <x v="3"/>
    <x v="1"/>
    <x v="18"/>
    <x v="1"/>
    <n v="0.93"/>
    <n v="0.1"/>
    <x v="3"/>
    <n v="41"/>
    <x v="102"/>
  </r>
  <r>
    <n v="407"/>
    <x v="17"/>
    <x v="22"/>
    <x v="3"/>
    <x v="0"/>
    <x v="3"/>
    <x v="1"/>
    <x v="2"/>
    <x v="1"/>
    <n v="0.93"/>
    <n v="0.09"/>
    <x v="3"/>
    <n v="33"/>
    <x v="63"/>
  </r>
  <r>
    <n v="408"/>
    <x v="17"/>
    <x v="23"/>
    <x v="3"/>
    <x v="0"/>
    <x v="3"/>
    <x v="1"/>
    <x v="1"/>
    <x v="1"/>
    <n v="0.93"/>
    <n v="0"/>
    <x v="5"/>
    <n v="19"/>
    <x v="25"/>
  </r>
  <r>
    <n v="409"/>
    <x v="18"/>
    <x v="0"/>
    <x v="0"/>
    <x v="0"/>
    <x v="4"/>
    <x v="1"/>
    <x v="1"/>
    <x v="1"/>
    <n v="0.93"/>
    <n v="0"/>
    <x v="3"/>
    <n v="3"/>
    <x v="6"/>
  </r>
  <r>
    <n v="410"/>
    <x v="18"/>
    <x v="1"/>
    <x v="0"/>
    <x v="0"/>
    <x v="4"/>
    <x v="2"/>
    <x v="11"/>
    <x v="1"/>
    <n v="0.93"/>
    <n v="0.13"/>
    <x v="5"/>
    <n v="6"/>
    <x v="85"/>
  </r>
  <r>
    <n v="411"/>
    <x v="18"/>
    <x v="2"/>
    <x v="0"/>
    <x v="0"/>
    <x v="4"/>
    <x v="2"/>
    <x v="11"/>
    <x v="1"/>
    <n v="0.93"/>
    <n v="0.13"/>
    <x v="3"/>
    <n v="3"/>
    <x v="6"/>
  </r>
  <r>
    <n v="412"/>
    <x v="18"/>
    <x v="4"/>
    <x v="0"/>
    <x v="0"/>
    <x v="4"/>
    <x v="2"/>
    <x v="11"/>
    <x v="1"/>
    <n v="0.93"/>
    <n v="0.13"/>
    <x v="5"/>
    <n v="1"/>
    <x v="5"/>
  </r>
  <r>
    <n v="413"/>
    <x v="18"/>
    <x v="5"/>
    <x v="0"/>
    <x v="0"/>
    <x v="4"/>
    <x v="1"/>
    <x v="2"/>
    <x v="1"/>
    <n v="0.93"/>
    <n v="0.09"/>
    <x v="3"/>
    <n v="7"/>
    <x v="85"/>
  </r>
  <r>
    <n v="414"/>
    <x v="18"/>
    <x v="6"/>
    <x v="1"/>
    <x v="0"/>
    <x v="4"/>
    <x v="1"/>
    <x v="2"/>
    <x v="1"/>
    <n v="0.93"/>
    <n v="0.09"/>
    <x v="3"/>
    <n v="32"/>
    <x v="2"/>
  </r>
  <r>
    <n v="415"/>
    <x v="18"/>
    <x v="7"/>
    <x v="1"/>
    <x v="0"/>
    <x v="4"/>
    <x v="1"/>
    <x v="2"/>
    <x v="0"/>
    <n v="0.92"/>
    <n v="0.1"/>
    <x v="5"/>
    <n v="89"/>
    <x v="127"/>
  </r>
  <r>
    <n v="416"/>
    <x v="18"/>
    <x v="8"/>
    <x v="1"/>
    <x v="0"/>
    <x v="4"/>
    <x v="1"/>
    <x v="2"/>
    <x v="0"/>
    <n v="0.93"/>
    <n v="0.1"/>
    <x v="5"/>
    <n v="196"/>
    <x v="141"/>
  </r>
  <r>
    <n v="417"/>
    <x v="18"/>
    <x v="9"/>
    <x v="1"/>
    <x v="0"/>
    <x v="4"/>
    <x v="1"/>
    <x v="2"/>
    <x v="0"/>
    <n v="0.93"/>
    <n v="0.1"/>
    <x v="4"/>
    <n v="107"/>
    <x v="142"/>
  </r>
  <r>
    <n v="418"/>
    <x v="18"/>
    <x v="10"/>
    <x v="1"/>
    <x v="0"/>
    <x v="4"/>
    <x v="1"/>
    <x v="1"/>
    <x v="12"/>
    <n v="0.93"/>
    <n v="0.13"/>
    <x v="5"/>
    <n v="46"/>
    <x v="105"/>
  </r>
  <r>
    <n v="419"/>
    <x v="18"/>
    <x v="11"/>
    <x v="1"/>
    <x v="0"/>
    <x v="4"/>
    <x v="1"/>
    <x v="24"/>
    <x v="17"/>
    <n v="0.87"/>
    <n v="0.09"/>
    <x v="2"/>
    <n v="47"/>
    <x v="46"/>
  </r>
  <r>
    <n v="420"/>
    <x v="18"/>
    <x v="12"/>
    <x v="2"/>
    <x v="0"/>
    <x v="4"/>
    <x v="1"/>
    <x v="20"/>
    <x v="11"/>
    <n v="0.81"/>
    <n v="0.09"/>
    <x v="2"/>
    <n v="65"/>
    <x v="27"/>
  </r>
  <r>
    <n v="421"/>
    <x v="18"/>
    <x v="13"/>
    <x v="2"/>
    <x v="0"/>
    <x v="4"/>
    <x v="0"/>
    <x v="10"/>
    <x v="9"/>
    <n v="0.62"/>
    <n v="0.28000000000000003"/>
    <x v="16"/>
    <n v="67"/>
    <x v="53"/>
  </r>
  <r>
    <n v="422"/>
    <x v="18"/>
    <x v="14"/>
    <x v="2"/>
    <x v="0"/>
    <x v="4"/>
    <x v="0"/>
    <x v="10"/>
    <x v="9"/>
    <n v="0.57999999999999996"/>
    <n v="0.25"/>
    <x v="18"/>
    <n v="68"/>
    <x v="28"/>
  </r>
  <r>
    <n v="423"/>
    <x v="18"/>
    <x v="15"/>
    <x v="2"/>
    <x v="0"/>
    <x v="4"/>
    <x v="0"/>
    <x v="10"/>
    <x v="9"/>
    <n v="0.54"/>
    <n v="0.28000000000000003"/>
    <x v="17"/>
    <n v="78"/>
    <x v="100"/>
  </r>
  <r>
    <n v="424"/>
    <x v="18"/>
    <x v="16"/>
    <x v="2"/>
    <x v="0"/>
    <x v="4"/>
    <x v="0"/>
    <x v="5"/>
    <x v="4"/>
    <n v="0.57999999999999996"/>
    <n v="0.39"/>
    <x v="22"/>
    <n v="94"/>
    <x v="133"/>
  </r>
  <r>
    <n v="425"/>
    <x v="18"/>
    <x v="17"/>
    <x v="2"/>
    <x v="0"/>
    <x v="4"/>
    <x v="0"/>
    <x v="6"/>
    <x v="5"/>
    <n v="0.56999999999999995"/>
    <n v="0.33"/>
    <x v="18"/>
    <n v="190"/>
    <x v="141"/>
  </r>
  <r>
    <n v="426"/>
    <x v="18"/>
    <x v="18"/>
    <x v="3"/>
    <x v="0"/>
    <x v="4"/>
    <x v="0"/>
    <x v="20"/>
    <x v="10"/>
    <n v="0.61"/>
    <n v="0.28000000000000003"/>
    <x v="2"/>
    <n v="156"/>
    <x v="143"/>
  </r>
  <r>
    <n v="427"/>
    <x v="18"/>
    <x v="19"/>
    <x v="3"/>
    <x v="0"/>
    <x v="4"/>
    <x v="0"/>
    <x v="0"/>
    <x v="3"/>
    <n v="0.56999999999999995"/>
    <n v="0.42"/>
    <x v="17"/>
    <n v="108"/>
    <x v="59"/>
  </r>
  <r>
    <n v="428"/>
    <x v="18"/>
    <x v="20"/>
    <x v="3"/>
    <x v="0"/>
    <x v="4"/>
    <x v="0"/>
    <x v="24"/>
    <x v="3"/>
    <n v="0.49"/>
    <n v="0.3"/>
    <x v="4"/>
    <n v="74"/>
    <x v="31"/>
  </r>
  <r>
    <n v="429"/>
    <x v="18"/>
    <x v="21"/>
    <x v="3"/>
    <x v="0"/>
    <x v="4"/>
    <x v="0"/>
    <x v="0"/>
    <x v="3"/>
    <n v="0.49"/>
    <n v="0.42"/>
    <x v="17"/>
    <n v="55"/>
    <x v="29"/>
  </r>
  <r>
    <n v="430"/>
    <x v="18"/>
    <x v="22"/>
    <x v="3"/>
    <x v="0"/>
    <x v="4"/>
    <x v="0"/>
    <x v="24"/>
    <x v="11"/>
    <n v="0.52"/>
    <n v="0.16"/>
    <x v="15"/>
    <n v="53"/>
    <x v="29"/>
  </r>
  <r>
    <n v="431"/>
    <x v="18"/>
    <x v="23"/>
    <x v="3"/>
    <x v="0"/>
    <x v="4"/>
    <x v="0"/>
    <x v="1"/>
    <x v="11"/>
    <n v="0.52"/>
    <n v="0.46"/>
    <x v="5"/>
    <n v="27"/>
    <x v="20"/>
  </r>
  <r>
    <n v="432"/>
    <x v="19"/>
    <x v="0"/>
    <x v="0"/>
    <x v="0"/>
    <x v="5"/>
    <x v="0"/>
    <x v="11"/>
    <x v="12"/>
    <n v="0.56000000000000005"/>
    <n v="0.39"/>
    <x v="2"/>
    <n v="8"/>
    <x v="3"/>
  </r>
  <r>
    <n v="433"/>
    <x v="19"/>
    <x v="1"/>
    <x v="0"/>
    <x v="0"/>
    <x v="5"/>
    <x v="0"/>
    <x v="1"/>
    <x v="12"/>
    <n v="0.56000000000000005"/>
    <n v="0"/>
    <x v="4"/>
    <n v="3"/>
    <x v="36"/>
  </r>
  <r>
    <n v="434"/>
    <x v="19"/>
    <x v="2"/>
    <x v="0"/>
    <x v="0"/>
    <x v="5"/>
    <x v="0"/>
    <x v="1"/>
    <x v="12"/>
    <n v="0.56000000000000005"/>
    <n v="0"/>
    <x v="3"/>
    <n v="2"/>
    <x v="5"/>
  </r>
  <r>
    <n v="435"/>
    <x v="19"/>
    <x v="3"/>
    <x v="0"/>
    <x v="0"/>
    <x v="5"/>
    <x v="0"/>
    <x v="2"/>
    <x v="12"/>
    <n v="0.56000000000000005"/>
    <n v="0.16"/>
    <x v="3"/>
    <n v="1"/>
    <x v="4"/>
  </r>
  <r>
    <n v="436"/>
    <x v="19"/>
    <x v="4"/>
    <x v="0"/>
    <x v="0"/>
    <x v="5"/>
    <x v="0"/>
    <x v="2"/>
    <x v="12"/>
    <n v="0.56000000000000005"/>
    <n v="0.16"/>
    <x v="3"/>
    <n v="1"/>
    <x v="4"/>
  </r>
  <r>
    <n v="437"/>
    <x v="19"/>
    <x v="5"/>
    <x v="0"/>
    <x v="0"/>
    <x v="5"/>
    <x v="0"/>
    <x v="11"/>
    <x v="0"/>
    <n v="0.6"/>
    <n v="0.22"/>
    <x v="3"/>
    <n v="6"/>
    <x v="24"/>
  </r>
  <r>
    <n v="438"/>
    <x v="19"/>
    <x v="6"/>
    <x v="1"/>
    <x v="0"/>
    <x v="5"/>
    <x v="0"/>
    <x v="12"/>
    <x v="1"/>
    <n v="0.6"/>
    <n v="0.22"/>
    <x v="3"/>
    <n v="35"/>
    <x v="17"/>
  </r>
  <r>
    <n v="439"/>
    <x v="19"/>
    <x v="7"/>
    <x v="1"/>
    <x v="0"/>
    <x v="5"/>
    <x v="0"/>
    <x v="12"/>
    <x v="1"/>
    <n v="0.55000000000000004"/>
    <n v="0.22"/>
    <x v="5"/>
    <n v="100"/>
    <x v="129"/>
  </r>
  <r>
    <n v="440"/>
    <x v="19"/>
    <x v="8"/>
    <x v="1"/>
    <x v="0"/>
    <x v="5"/>
    <x v="0"/>
    <x v="12"/>
    <x v="1"/>
    <n v="0.55000000000000004"/>
    <n v="0.28000000000000003"/>
    <x v="4"/>
    <n v="247"/>
    <x v="144"/>
  </r>
  <r>
    <n v="441"/>
    <x v="19"/>
    <x v="9"/>
    <x v="1"/>
    <x v="0"/>
    <x v="5"/>
    <x v="1"/>
    <x v="11"/>
    <x v="0"/>
    <n v="0.52"/>
    <n v="0.22"/>
    <x v="0"/>
    <n v="140"/>
    <x v="145"/>
  </r>
  <r>
    <n v="442"/>
    <x v="19"/>
    <x v="10"/>
    <x v="1"/>
    <x v="0"/>
    <x v="5"/>
    <x v="0"/>
    <x v="11"/>
    <x v="12"/>
    <n v="0.48"/>
    <n v="0.3"/>
    <x v="5"/>
    <n v="56"/>
    <x v="52"/>
  </r>
  <r>
    <n v="443"/>
    <x v="19"/>
    <x v="11"/>
    <x v="1"/>
    <x v="0"/>
    <x v="5"/>
    <x v="1"/>
    <x v="1"/>
    <x v="17"/>
    <n v="0.45"/>
    <n v="0.16"/>
    <x v="2"/>
    <n v="63"/>
    <x v="118"/>
  </r>
  <r>
    <n v="444"/>
    <x v="19"/>
    <x v="12"/>
    <x v="2"/>
    <x v="0"/>
    <x v="5"/>
    <x v="1"/>
    <x v="6"/>
    <x v="11"/>
    <n v="0.42"/>
    <n v="0"/>
    <x v="18"/>
    <n v="77"/>
    <x v="11"/>
  </r>
  <r>
    <n v="445"/>
    <x v="19"/>
    <x v="13"/>
    <x v="2"/>
    <x v="0"/>
    <x v="5"/>
    <x v="1"/>
    <x v="0"/>
    <x v="17"/>
    <n v="0.45"/>
    <n v="0.1"/>
    <x v="6"/>
    <n v="86"/>
    <x v="95"/>
  </r>
  <r>
    <n v="446"/>
    <x v="19"/>
    <x v="14"/>
    <x v="2"/>
    <x v="0"/>
    <x v="5"/>
    <x v="1"/>
    <x v="24"/>
    <x v="11"/>
    <n v="0.45"/>
    <n v="0.13"/>
    <x v="15"/>
    <n v="75"/>
    <x v="117"/>
  </r>
  <r>
    <n v="447"/>
    <x v="19"/>
    <x v="15"/>
    <x v="2"/>
    <x v="0"/>
    <x v="5"/>
    <x v="1"/>
    <x v="20"/>
    <x v="3"/>
    <n v="0.45"/>
    <n v="0.19"/>
    <x v="1"/>
    <n v="62"/>
    <x v="27"/>
  </r>
  <r>
    <n v="448"/>
    <x v="19"/>
    <x v="16"/>
    <x v="2"/>
    <x v="0"/>
    <x v="5"/>
    <x v="1"/>
    <x v="24"/>
    <x v="11"/>
    <n v="0.49"/>
    <n v="0.13"/>
    <x v="1"/>
    <n v="83"/>
    <x v="134"/>
  </r>
  <r>
    <n v="449"/>
    <x v="19"/>
    <x v="17"/>
    <x v="2"/>
    <x v="0"/>
    <x v="5"/>
    <x v="1"/>
    <x v="20"/>
    <x v="11"/>
    <n v="0.49"/>
    <n v="0.1"/>
    <x v="1"/>
    <n v="207"/>
    <x v="146"/>
  </r>
  <r>
    <n v="450"/>
    <x v="19"/>
    <x v="18"/>
    <x v="3"/>
    <x v="0"/>
    <x v="5"/>
    <x v="1"/>
    <x v="2"/>
    <x v="12"/>
    <n v="0.56000000000000005"/>
    <n v="0.19"/>
    <x v="5"/>
    <n v="184"/>
    <x v="147"/>
  </r>
  <r>
    <n v="451"/>
    <x v="19"/>
    <x v="19"/>
    <x v="3"/>
    <x v="0"/>
    <x v="5"/>
    <x v="0"/>
    <x v="11"/>
    <x v="12"/>
    <n v="0.56000000000000005"/>
    <n v="0.33"/>
    <x v="15"/>
    <n v="146"/>
    <x v="148"/>
  </r>
  <r>
    <n v="452"/>
    <x v="19"/>
    <x v="20"/>
    <x v="3"/>
    <x v="0"/>
    <x v="5"/>
    <x v="1"/>
    <x v="18"/>
    <x v="12"/>
    <n v="0.6"/>
    <n v="0.28000000000000003"/>
    <x v="4"/>
    <n v="124"/>
    <x v="149"/>
  </r>
  <r>
    <n v="453"/>
    <x v="19"/>
    <x v="21"/>
    <x v="3"/>
    <x v="0"/>
    <x v="5"/>
    <x v="1"/>
    <x v="11"/>
    <x v="0"/>
    <n v="0.6"/>
    <n v="0.25"/>
    <x v="0"/>
    <n v="54"/>
    <x v="52"/>
  </r>
  <r>
    <n v="454"/>
    <x v="19"/>
    <x v="22"/>
    <x v="3"/>
    <x v="0"/>
    <x v="5"/>
    <x v="1"/>
    <x v="12"/>
    <x v="0"/>
    <n v="0.65"/>
    <n v="0.28000000000000003"/>
    <x v="3"/>
    <n v="56"/>
    <x v="10"/>
  </r>
  <r>
    <n v="455"/>
    <x v="19"/>
    <x v="23"/>
    <x v="3"/>
    <x v="0"/>
    <x v="5"/>
    <x v="1"/>
    <x v="12"/>
    <x v="0"/>
    <n v="0.65"/>
    <n v="0.33"/>
    <x v="0"/>
    <n v="28"/>
    <x v="35"/>
  </r>
  <r>
    <n v="456"/>
    <x v="20"/>
    <x v="0"/>
    <x v="0"/>
    <x v="0"/>
    <x v="6"/>
    <x v="1"/>
    <x v="11"/>
    <x v="0"/>
    <n v="0.7"/>
    <n v="0.25"/>
    <x v="5"/>
    <n v="20"/>
    <x v="137"/>
  </r>
  <r>
    <n v="457"/>
    <x v="20"/>
    <x v="1"/>
    <x v="0"/>
    <x v="0"/>
    <x v="6"/>
    <x v="1"/>
    <x v="11"/>
    <x v="0"/>
    <n v="0.7"/>
    <n v="0.25"/>
    <x v="3"/>
    <n v="6"/>
    <x v="24"/>
  </r>
  <r>
    <n v="458"/>
    <x v="20"/>
    <x v="2"/>
    <x v="0"/>
    <x v="0"/>
    <x v="6"/>
    <x v="2"/>
    <x v="18"/>
    <x v="0"/>
    <n v="0.75"/>
    <n v="0.16"/>
    <x v="3"/>
    <n v="2"/>
    <x v="5"/>
  </r>
  <r>
    <n v="459"/>
    <x v="20"/>
    <x v="3"/>
    <x v="0"/>
    <x v="0"/>
    <x v="6"/>
    <x v="2"/>
    <x v="12"/>
    <x v="1"/>
    <n v="0.8"/>
    <n v="0.3"/>
    <x v="3"/>
    <n v="1"/>
    <x v="4"/>
  </r>
  <r>
    <n v="460"/>
    <x v="20"/>
    <x v="4"/>
    <x v="0"/>
    <x v="0"/>
    <x v="6"/>
    <x v="1"/>
    <x v="2"/>
    <x v="1"/>
    <n v="0.87"/>
    <n v="0.09"/>
    <x v="3"/>
    <n v="1"/>
    <x v="4"/>
  </r>
  <r>
    <n v="461"/>
    <x v="20"/>
    <x v="5"/>
    <x v="0"/>
    <x v="0"/>
    <x v="6"/>
    <x v="0"/>
    <x v="3"/>
    <x v="0"/>
    <n v="0.6"/>
    <n v="0.42"/>
    <x v="5"/>
    <n v="4"/>
    <x v="36"/>
  </r>
  <r>
    <n v="462"/>
    <x v="20"/>
    <x v="6"/>
    <x v="1"/>
    <x v="0"/>
    <x v="6"/>
    <x v="0"/>
    <x v="12"/>
    <x v="1"/>
    <n v="0.55000000000000004"/>
    <n v="0.25"/>
    <x v="3"/>
    <n v="27"/>
    <x v="110"/>
  </r>
  <r>
    <n v="463"/>
    <x v="20"/>
    <x v="7"/>
    <x v="1"/>
    <x v="0"/>
    <x v="6"/>
    <x v="0"/>
    <x v="17"/>
    <x v="2"/>
    <n v="0.51"/>
    <n v="0.28000000000000003"/>
    <x v="4"/>
    <n v="66"/>
    <x v="118"/>
  </r>
  <r>
    <n v="464"/>
    <x v="20"/>
    <x v="8"/>
    <x v="1"/>
    <x v="0"/>
    <x v="6"/>
    <x v="0"/>
    <x v="17"/>
    <x v="2"/>
    <n v="0.47"/>
    <n v="0.33"/>
    <x v="18"/>
    <n v="210"/>
    <x v="112"/>
  </r>
  <r>
    <n v="465"/>
    <x v="20"/>
    <x v="9"/>
    <x v="1"/>
    <x v="0"/>
    <x v="6"/>
    <x v="0"/>
    <x v="17"/>
    <x v="2"/>
    <n v="0.51"/>
    <n v="0.36"/>
    <x v="18"/>
    <n v="159"/>
    <x v="150"/>
  </r>
  <r>
    <n v="466"/>
    <x v="20"/>
    <x v="10"/>
    <x v="1"/>
    <x v="0"/>
    <x v="6"/>
    <x v="0"/>
    <x v="16"/>
    <x v="2"/>
    <n v="0.47"/>
    <n v="0.46"/>
    <x v="15"/>
    <n v="57"/>
    <x v="55"/>
  </r>
  <r>
    <n v="467"/>
    <x v="20"/>
    <x v="11"/>
    <x v="1"/>
    <x v="0"/>
    <x v="6"/>
    <x v="0"/>
    <x v="17"/>
    <x v="1"/>
    <n v="0.41"/>
    <n v="0.46"/>
    <x v="15"/>
    <n v="53"/>
    <x v="29"/>
  </r>
  <r>
    <n v="468"/>
    <x v="20"/>
    <x v="12"/>
    <x v="2"/>
    <x v="0"/>
    <x v="6"/>
    <x v="0"/>
    <x v="17"/>
    <x v="1"/>
    <n v="0.27"/>
    <n v="0.57999999999999996"/>
    <x v="16"/>
    <n v="67"/>
    <x v="53"/>
  </r>
  <r>
    <n v="469"/>
    <x v="20"/>
    <x v="13"/>
    <x v="2"/>
    <x v="0"/>
    <x v="6"/>
    <x v="0"/>
    <x v="19"/>
    <x v="2"/>
    <n v="0.21"/>
    <n v="0.57999999999999996"/>
    <x v="1"/>
    <n v="65"/>
    <x v="88"/>
  </r>
  <r>
    <n v="470"/>
    <x v="20"/>
    <x v="14"/>
    <x v="2"/>
    <x v="0"/>
    <x v="6"/>
    <x v="0"/>
    <x v="19"/>
    <x v="2"/>
    <n v="0.25"/>
    <n v="0.52"/>
    <x v="15"/>
    <n v="56"/>
    <x v="69"/>
  </r>
  <r>
    <n v="471"/>
    <x v="20"/>
    <x v="15"/>
    <x v="2"/>
    <x v="0"/>
    <x v="6"/>
    <x v="0"/>
    <x v="15"/>
    <x v="13"/>
    <n v="0.26"/>
    <n v="0.45"/>
    <x v="17"/>
    <n v="61"/>
    <x v="32"/>
  </r>
  <r>
    <n v="472"/>
    <x v="20"/>
    <x v="16"/>
    <x v="2"/>
    <x v="0"/>
    <x v="6"/>
    <x v="0"/>
    <x v="13"/>
    <x v="13"/>
    <n v="0.26"/>
    <n v="0.36"/>
    <x v="3"/>
    <n v="97"/>
    <x v="54"/>
  </r>
  <r>
    <n v="473"/>
    <x v="20"/>
    <x v="17"/>
    <x v="2"/>
    <x v="0"/>
    <x v="6"/>
    <x v="0"/>
    <x v="15"/>
    <x v="14"/>
    <n v="0.28000000000000003"/>
    <n v="0.36"/>
    <x v="22"/>
    <n v="151"/>
    <x v="143"/>
  </r>
  <r>
    <n v="474"/>
    <x v="20"/>
    <x v="18"/>
    <x v="3"/>
    <x v="0"/>
    <x v="6"/>
    <x v="0"/>
    <x v="15"/>
    <x v="16"/>
    <n v="0.3"/>
    <n v="0.25"/>
    <x v="5"/>
    <n v="119"/>
    <x v="151"/>
  </r>
  <r>
    <n v="475"/>
    <x v="20"/>
    <x v="19"/>
    <x v="3"/>
    <x v="0"/>
    <x v="6"/>
    <x v="0"/>
    <x v="14"/>
    <x v="16"/>
    <n v="0.3"/>
    <n v="0.33"/>
    <x v="0"/>
    <n v="93"/>
    <x v="152"/>
  </r>
  <r>
    <n v="476"/>
    <x v="20"/>
    <x v="20"/>
    <x v="3"/>
    <x v="0"/>
    <x v="6"/>
    <x v="0"/>
    <x v="22"/>
    <x v="18"/>
    <n v="0.33"/>
    <n v="0.42"/>
    <x v="5"/>
    <n v="52"/>
    <x v="26"/>
  </r>
  <r>
    <n v="477"/>
    <x v="20"/>
    <x v="21"/>
    <x v="3"/>
    <x v="0"/>
    <x v="6"/>
    <x v="0"/>
    <x v="22"/>
    <x v="19"/>
    <n v="0.38"/>
    <n v="0.28000000000000003"/>
    <x v="3"/>
    <n v="41"/>
    <x v="102"/>
  </r>
  <r>
    <n v="478"/>
    <x v="20"/>
    <x v="22"/>
    <x v="3"/>
    <x v="0"/>
    <x v="6"/>
    <x v="0"/>
    <x v="25"/>
    <x v="20"/>
    <n v="0.41"/>
    <n v="0.39"/>
    <x v="5"/>
    <n v="33"/>
    <x v="19"/>
  </r>
  <r>
    <n v="479"/>
    <x v="20"/>
    <x v="23"/>
    <x v="3"/>
    <x v="0"/>
    <x v="6"/>
    <x v="0"/>
    <x v="26"/>
    <x v="20"/>
    <n v="0.38"/>
    <n v="0.33"/>
    <x v="3"/>
    <n v="27"/>
    <x v="110"/>
  </r>
  <r>
    <n v="480"/>
    <x v="21"/>
    <x v="0"/>
    <x v="0"/>
    <x v="0"/>
    <x v="0"/>
    <x v="0"/>
    <x v="25"/>
    <x v="21"/>
    <n v="0.45"/>
    <n v="0.25"/>
    <x v="3"/>
    <n v="13"/>
    <x v="3"/>
  </r>
  <r>
    <n v="481"/>
    <x v="21"/>
    <x v="1"/>
    <x v="0"/>
    <x v="0"/>
    <x v="0"/>
    <x v="1"/>
    <x v="27"/>
    <x v="21"/>
    <n v="0.41"/>
    <n v="0.39"/>
    <x v="0"/>
    <n v="9"/>
    <x v="47"/>
  </r>
  <r>
    <n v="482"/>
    <x v="21"/>
    <x v="2"/>
    <x v="0"/>
    <x v="0"/>
    <x v="0"/>
    <x v="1"/>
    <x v="25"/>
    <x v="21"/>
    <n v="0.41"/>
    <n v="0.25"/>
    <x v="3"/>
    <n v="11"/>
    <x v="62"/>
  </r>
  <r>
    <n v="483"/>
    <x v="21"/>
    <x v="3"/>
    <x v="0"/>
    <x v="0"/>
    <x v="0"/>
    <x v="1"/>
    <x v="25"/>
    <x v="21"/>
    <n v="0.41"/>
    <n v="0.28000000000000003"/>
    <x v="5"/>
    <n v="6"/>
    <x v="85"/>
  </r>
  <r>
    <n v="484"/>
    <x v="21"/>
    <x v="4"/>
    <x v="0"/>
    <x v="0"/>
    <x v="0"/>
    <x v="1"/>
    <x v="28"/>
    <x v="22"/>
    <n v="0.48"/>
    <n v="0.3"/>
    <x v="3"/>
    <n v="3"/>
    <x v="6"/>
  </r>
  <r>
    <n v="485"/>
    <x v="21"/>
    <x v="6"/>
    <x v="1"/>
    <x v="0"/>
    <x v="0"/>
    <x v="1"/>
    <x v="25"/>
    <x v="22"/>
    <n v="0.44"/>
    <n v="0.22"/>
    <x v="3"/>
    <n v="2"/>
    <x v="5"/>
  </r>
  <r>
    <n v="486"/>
    <x v="21"/>
    <x v="7"/>
    <x v="1"/>
    <x v="0"/>
    <x v="0"/>
    <x v="0"/>
    <x v="28"/>
    <x v="22"/>
    <n v="0.44"/>
    <n v="0.28000000000000003"/>
    <x v="3"/>
    <n v="8"/>
    <x v="7"/>
  </r>
  <r>
    <n v="487"/>
    <x v="21"/>
    <x v="8"/>
    <x v="1"/>
    <x v="0"/>
    <x v="0"/>
    <x v="0"/>
    <x v="27"/>
    <x v="22"/>
    <n v="0.44"/>
    <n v="0.33"/>
    <x v="5"/>
    <n v="26"/>
    <x v="110"/>
  </r>
  <r>
    <n v="488"/>
    <x v="21"/>
    <x v="9"/>
    <x v="1"/>
    <x v="0"/>
    <x v="0"/>
    <x v="0"/>
    <x v="25"/>
    <x v="21"/>
    <n v="0.41"/>
    <n v="0.25"/>
    <x v="0"/>
    <n v="37"/>
    <x v="1"/>
  </r>
  <r>
    <n v="489"/>
    <x v="21"/>
    <x v="10"/>
    <x v="1"/>
    <x v="0"/>
    <x v="0"/>
    <x v="1"/>
    <x v="21"/>
    <x v="21"/>
    <n v="0.41"/>
    <n v="0.16"/>
    <x v="0"/>
    <n v="50"/>
    <x v="26"/>
  </r>
  <r>
    <n v="490"/>
    <x v="21"/>
    <x v="11"/>
    <x v="1"/>
    <x v="0"/>
    <x v="0"/>
    <x v="1"/>
    <x v="22"/>
    <x v="20"/>
    <n v="0.38"/>
    <n v="0.13"/>
    <x v="17"/>
    <n v="59"/>
    <x v="55"/>
  </r>
  <r>
    <n v="491"/>
    <x v="21"/>
    <x v="12"/>
    <x v="2"/>
    <x v="0"/>
    <x v="0"/>
    <x v="1"/>
    <x v="14"/>
    <x v="20"/>
    <n v="0.38"/>
    <n v="0.1"/>
    <x v="22"/>
    <n v="60"/>
    <x v="27"/>
  </r>
  <r>
    <n v="492"/>
    <x v="21"/>
    <x v="13"/>
    <x v="2"/>
    <x v="0"/>
    <x v="0"/>
    <x v="0"/>
    <x v="16"/>
    <x v="19"/>
    <n v="0.35"/>
    <n v="0"/>
    <x v="6"/>
    <n v="72"/>
    <x v="11"/>
  </r>
  <r>
    <n v="493"/>
    <x v="21"/>
    <x v="14"/>
    <x v="2"/>
    <x v="0"/>
    <x v="0"/>
    <x v="0"/>
    <x v="13"/>
    <x v="18"/>
    <n v="0.33"/>
    <n v="0.1"/>
    <x v="16"/>
    <n v="64"/>
    <x v="28"/>
  </r>
  <r>
    <n v="494"/>
    <x v="21"/>
    <x v="15"/>
    <x v="2"/>
    <x v="0"/>
    <x v="0"/>
    <x v="0"/>
    <x v="19"/>
    <x v="16"/>
    <n v="0.28000000000000003"/>
    <n v="0"/>
    <x v="22"/>
    <n v="93"/>
    <x v="153"/>
  </r>
  <r>
    <n v="495"/>
    <x v="21"/>
    <x v="16"/>
    <x v="2"/>
    <x v="0"/>
    <x v="0"/>
    <x v="0"/>
    <x v="13"/>
    <x v="16"/>
    <n v="0.28000000000000003"/>
    <n v="0.19"/>
    <x v="16"/>
    <n v="72"/>
    <x v="56"/>
  </r>
  <r>
    <n v="496"/>
    <x v="21"/>
    <x v="17"/>
    <x v="2"/>
    <x v="0"/>
    <x v="0"/>
    <x v="0"/>
    <x v="3"/>
    <x v="16"/>
    <n v="0.28000000000000003"/>
    <n v="0"/>
    <x v="1"/>
    <n v="59"/>
    <x v="16"/>
  </r>
  <r>
    <n v="497"/>
    <x v="21"/>
    <x v="18"/>
    <x v="3"/>
    <x v="0"/>
    <x v="0"/>
    <x v="0"/>
    <x v="23"/>
    <x v="19"/>
    <n v="0.35"/>
    <n v="0.19"/>
    <x v="3"/>
    <n v="54"/>
    <x v="60"/>
  </r>
  <r>
    <n v="498"/>
    <x v="21"/>
    <x v="19"/>
    <x v="3"/>
    <x v="0"/>
    <x v="0"/>
    <x v="0"/>
    <x v="14"/>
    <x v="19"/>
    <n v="0.35"/>
    <n v="0.13"/>
    <x v="15"/>
    <n v="53"/>
    <x v="29"/>
  </r>
  <r>
    <n v="499"/>
    <x v="21"/>
    <x v="20"/>
    <x v="3"/>
    <x v="0"/>
    <x v="0"/>
    <x v="0"/>
    <x v="22"/>
    <x v="20"/>
    <n v="0.45"/>
    <n v="0.16"/>
    <x v="5"/>
    <n v="44"/>
    <x v="79"/>
  </r>
  <r>
    <n v="500"/>
    <x v="21"/>
    <x v="21"/>
    <x v="3"/>
    <x v="0"/>
    <x v="0"/>
    <x v="0"/>
    <x v="14"/>
    <x v="20"/>
    <n v="0.41"/>
    <n v="0.09"/>
    <x v="3"/>
    <n v="39"/>
    <x v="21"/>
  </r>
  <r>
    <n v="501"/>
    <x v="21"/>
    <x v="22"/>
    <x v="3"/>
    <x v="0"/>
    <x v="0"/>
    <x v="0"/>
    <x v="19"/>
    <x v="20"/>
    <n v="0.49"/>
    <n v="0"/>
    <x v="18"/>
    <n v="23"/>
    <x v="33"/>
  </r>
  <r>
    <n v="502"/>
    <x v="21"/>
    <x v="23"/>
    <x v="3"/>
    <x v="0"/>
    <x v="0"/>
    <x v="0"/>
    <x v="22"/>
    <x v="21"/>
    <n v="0.56999999999999995"/>
    <n v="0.1"/>
    <x v="4"/>
    <n v="31"/>
    <x v="63"/>
  </r>
  <r>
    <n v="503"/>
    <x v="22"/>
    <x v="0"/>
    <x v="0"/>
    <x v="0"/>
    <x v="1"/>
    <x v="0"/>
    <x v="22"/>
    <x v="21"/>
    <n v="0.56999999999999995"/>
    <n v="0.1"/>
    <x v="4"/>
    <n v="20"/>
    <x v="34"/>
  </r>
  <r>
    <n v="504"/>
    <x v="22"/>
    <x v="1"/>
    <x v="0"/>
    <x v="0"/>
    <x v="1"/>
    <x v="0"/>
    <x v="22"/>
    <x v="21"/>
    <n v="0.56999999999999995"/>
    <n v="0.1"/>
    <x v="5"/>
    <n v="12"/>
    <x v="3"/>
  </r>
  <r>
    <n v="505"/>
    <x v="22"/>
    <x v="2"/>
    <x v="0"/>
    <x v="0"/>
    <x v="1"/>
    <x v="0"/>
    <x v="21"/>
    <x v="22"/>
    <n v="0.62"/>
    <n v="0.13"/>
    <x v="0"/>
    <n v="15"/>
    <x v="109"/>
  </r>
  <r>
    <n v="506"/>
    <x v="22"/>
    <x v="3"/>
    <x v="0"/>
    <x v="0"/>
    <x v="1"/>
    <x v="0"/>
    <x v="21"/>
    <x v="22"/>
    <n v="0.62"/>
    <n v="0.13"/>
    <x v="5"/>
    <n v="4"/>
    <x v="36"/>
  </r>
  <r>
    <n v="507"/>
    <x v="22"/>
    <x v="5"/>
    <x v="0"/>
    <x v="0"/>
    <x v="1"/>
    <x v="1"/>
    <x v="22"/>
    <x v="21"/>
    <n v="0.56999999999999995"/>
    <n v="0.1"/>
    <x v="3"/>
    <n v="3"/>
    <x v="6"/>
  </r>
  <r>
    <n v="508"/>
    <x v="22"/>
    <x v="6"/>
    <x v="1"/>
    <x v="0"/>
    <x v="1"/>
    <x v="1"/>
    <x v="22"/>
    <x v="21"/>
    <n v="0.56999999999999995"/>
    <n v="0.1"/>
    <x v="3"/>
    <n v="1"/>
    <x v="4"/>
  </r>
  <r>
    <n v="509"/>
    <x v="22"/>
    <x v="7"/>
    <x v="1"/>
    <x v="0"/>
    <x v="1"/>
    <x v="0"/>
    <x v="14"/>
    <x v="19"/>
    <n v="0.57999999999999996"/>
    <n v="0.16"/>
    <x v="5"/>
    <n v="1"/>
    <x v="5"/>
  </r>
  <r>
    <n v="510"/>
    <x v="22"/>
    <x v="8"/>
    <x v="1"/>
    <x v="0"/>
    <x v="1"/>
    <x v="0"/>
    <x v="22"/>
    <x v="20"/>
    <n v="0.62"/>
    <n v="0.16"/>
    <x v="4"/>
    <n v="17"/>
    <x v="75"/>
  </r>
  <r>
    <n v="511"/>
    <x v="22"/>
    <x v="9"/>
    <x v="1"/>
    <x v="0"/>
    <x v="1"/>
    <x v="0"/>
    <x v="22"/>
    <x v="18"/>
    <n v="0.54"/>
    <n v="0.36"/>
    <x v="0"/>
    <n v="25"/>
    <x v="20"/>
  </r>
  <r>
    <n v="512"/>
    <x v="22"/>
    <x v="10"/>
    <x v="1"/>
    <x v="0"/>
    <x v="1"/>
    <x v="0"/>
    <x v="14"/>
    <x v="14"/>
    <n v="0.46"/>
    <n v="0.39"/>
    <x v="18"/>
    <n v="51"/>
    <x v="154"/>
  </r>
  <r>
    <n v="513"/>
    <x v="22"/>
    <x v="11"/>
    <x v="1"/>
    <x v="0"/>
    <x v="1"/>
    <x v="0"/>
    <x v="13"/>
    <x v="14"/>
    <n v="0.43"/>
    <n v="0.22"/>
    <x v="30"/>
    <n v="77"/>
    <x v="111"/>
  </r>
  <r>
    <n v="514"/>
    <x v="22"/>
    <x v="12"/>
    <x v="2"/>
    <x v="0"/>
    <x v="1"/>
    <x v="0"/>
    <x v="15"/>
    <x v="13"/>
    <n v="0.37"/>
    <n v="0.46"/>
    <x v="31"/>
    <n v="92"/>
    <x v="155"/>
  </r>
  <r>
    <n v="515"/>
    <x v="22"/>
    <x v="13"/>
    <x v="2"/>
    <x v="0"/>
    <x v="1"/>
    <x v="0"/>
    <x v="14"/>
    <x v="14"/>
    <n v="0.33"/>
    <n v="0.39"/>
    <x v="6"/>
    <n v="75"/>
    <x v="90"/>
  </r>
  <r>
    <n v="516"/>
    <x v="22"/>
    <x v="14"/>
    <x v="2"/>
    <x v="0"/>
    <x v="1"/>
    <x v="0"/>
    <x v="13"/>
    <x v="13"/>
    <n v="0.28000000000000003"/>
    <n v="0.36"/>
    <x v="26"/>
    <n v="93"/>
    <x v="14"/>
  </r>
  <r>
    <n v="517"/>
    <x v="22"/>
    <x v="15"/>
    <x v="2"/>
    <x v="0"/>
    <x v="1"/>
    <x v="0"/>
    <x v="13"/>
    <x v="13"/>
    <n v="0.28000000000000003"/>
    <n v="0.36"/>
    <x v="23"/>
    <n v="64"/>
    <x v="43"/>
  </r>
  <r>
    <n v="518"/>
    <x v="22"/>
    <x v="16"/>
    <x v="2"/>
    <x v="0"/>
    <x v="1"/>
    <x v="0"/>
    <x v="13"/>
    <x v="13"/>
    <n v="0.26"/>
    <n v="0.33"/>
    <x v="14"/>
    <n v="56"/>
    <x v="32"/>
  </r>
  <r>
    <n v="519"/>
    <x v="22"/>
    <x v="17"/>
    <x v="2"/>
    <x v="0"/>
    <x v="1"/>
    <x v="0"/>
    <x v="14"/>
    <x v="14"/>
    <n v="0.26"/>
    <n v="0.39"/>
    <x v="2"/>
    <n v="50"/>
    <x v="97"/>
  </r>
  <r>
    <n v="520"/>
    <x v="22"/>
    <x v="18"/>
    <x v="3"/>
    <x v="0"/>
    <x v="1"/>
    <x v="0"/>
    <x v="15"/>
    <x v="16"/>
    <n v="0.3"/>
    <n v="0.25"/>
    <x v="2"/>
    <n v="44"/>
    <x v="99"/>
  </r>
  <r>
    <n v="521"/>
    <x v="22"/>
    <x v="19"/>
    <x v="3"/>
    <x v="0"/>
    <x v="1"/>
    <x v="0"/>
    <x v="15"/>
    <x v="16"/>
    <n v="0.3"/>
    <n v="0.28000000000000003"/>
    <x v="2"/>
    <n v="45"/>
    <x v="89"/>
  </r>
  <r>
    <n v="522"/>
    <x v="22"/>
    <x v="20"/>
    <x v="3"/>
    <x v="0"/>
    <x v="1"/>
    <x v="0"/>
    <x v="14"/>
    <x v="18"/>
    <n v="0.36"/>
    <n v="0.25"/>
    <x v="17"/>
    <n v="31"/>
    <x v="17"/>
  </r>
  <r>
    <n v="523"/>
    <x v="22"/>
    <x v="21"/>
    <x v="3"/>
    <x v="0"/>
    <x v="1"/>
    <x v="0"/>
    <x v="14"/>
    <x v="18"/>
    <n v="0.36"/>
    <n v="0.19"/>
    <x v="2"/>
    <n v="20"/>
    <x v="94"/>
  </r>
  <r>
    <n v="524"/>
    <x v="22"/>
    <x v="22"/>
    <x v="3"/>
    <x v="0"/>
    <x v="1"/>
    <x v="0"/>
    <x v="23"/>
    <x v="19"/>
    <n v="0.38"/>
    <n v="0.19"/>
    <x v="2"/>
    <n v="23"/>
    <x v="20"/>
  </r>
  <r>
    <n v="525"/>
    <x v="22"/>
    <x v="23"/>
    <x v="3"/>
    <x v="0"/>
    <x v="1"/>
    <x v="0"/>
    <x v="21"/>
    <x v="20"/>
    <n v="0.41"/>
    <n v="0.22"/>
    <x v="17"/>
    <n v="17"/>
    <x v="137"/>
  </r>
  <r>
    <n v="526"/>
    <x v="23"/>
    <x v="0"/>
    <x v="0"/>
    <x v="0"/>
    <x v="2"/>
    <x v="0"/>
    <x v="21"/>
    <x v="20"/>
    <n v="0.41"/>
    <n v="0.19"/>
    <x v="3"/>
    <n v="7"/>
    <x v="85"/>
  </r>
  <r>
    <n v="527"/>
    <x v="23"/>
    <x v="1"/>
    <x v="0"/>
    <x v="0"/>
    <x v="2"/>
    <x v="0"/>
    <x v="26"/>
    <x v="21"/>
    <n v="0.45"/>
    <n v="0.19"/>
    <x v="3"/>
    <n v="1"/>
    <x v="4"/>
  </r>
  <r>
    <n v="528"/>
    <x v="23"/>
    <x v="3"/>
    <x v="0"/>
    <x v="0"/>
    <x v="2"/>
    <x v="0"/>
    <x v="25"/>
    <x v="21"/>
    <n v="0.45"/>
    <n v="0.25"/>
    <x v="3"/>
    <n v="1"/>
    <x v="4"/>
  </r>
  <r>
    <n v="529"/>
    <x v="23"/>
    <x v="4"/>
    <x v="0"/>
    <x v="0"/>
    <x v="2"/>
    <x v="0"/>
    <x v="21"/>
    <x v="22"/>
    <n v="0.48"/>
    <n v="0.13"/>
    <x v="3"/>
    <n v="1"/>
    <x v="4"/>
  </r>
  <r>
    <n v="530"/>
    <x v="23"/>
    <x v="5"/>
    <x v="0"/>
    <x v="0"/>
    <x v="2"/>
    <x v="0"/>
    <x v="21"/>
    <x v="22"/>
    <n v="0.48"/>
    <n v="0.13"/>
    <x v="3"/>
    <n v="5"/>
    <x v="36"/>
  </r>
  <r>
    <n v="531"/>
    <x v="23"/>
    <x v="6"/>
    <x v="1"/>
    <x v="0"/>
    <x v="2"/>
    <x v="0"/>
    <x v="22"/>
    <x v="22"/>
    <n v="0.48"/>
    <n v="0.09"/>
    <x v="3"/>
    <n v="15"/>
    <x v="93"/>
  </r>
  <r>
    <n v="532"/>
    <x v="23"/>
    <x v="7"/>
    <x v="1"/>
    <x v="0"/>
    <x v="2"/>
    <x v="0"/>
    <x v="15"/>
    <x v="22"/>
    <n v="0.48"/>
    <n v="0"/>
    <x v="2"/>
    <n v="79"/>
    <x v="11"/>
  </r>
  <r>
    <n v="533"/>
    <x v="23"/>
    <x v="8"/>
    <x v="1"/>
    <x v="0"/>
    <x v="2"/>
    <x v="0"/>
    <x v="13"/>
    <x v="21"/>
    <n v="0.49"/>
    <n v="0"/>
    <x v="15"/>
    <n v="171"/>
    <x v="156"/>
  </r>
  <r>
    <n v="534"/>
    <x v="23"/>
    <x v="9"/>
    <x v="1"/>
    <x v="0"/>
    <x v="2"/>
    <x v="0"/>
    <x v="19"/>
    <x v="20"/>
    <n v="0.41"/>
    <n v="0"/>
    <x v="17"/>
    <n v="98"/>
    <x v="96"/>
  </r>
  <r>
    <n v="535"/>
    <x v="23"/>
    <x v="10"/>
    <x v="1"/>
    <x v="0"/>
    <x v="2"/>
    <x v="0"/>
    <x v="13"/>
    <x v="18"/>
    <n v="0.42"/>
    <n v="0"/>
    <x v="15"/>
    <n v="34"/>
    <x v="1"/>
  </r>
  <r>
    <n v="536"/>
    <x v="23"/>
    <x v="11"/>
    <x v="1"/>
    <x v="0"/>
    <x v="2"/>
    <x v="0"/>
    <x v="15"/>
    <x v="18"/>
    <n v="0.46"/>
    <n v="0.13"/>
    <x v="0"/>
    <n v="43"/>
    <x v="66"/>
  </r>
  <r>
    <n v="537"/>
    <x v="23"/>
    <x v="12"/>
    <x v="2"/>
    <x v="0"/>
    <x v="2"/>
    <x v="1"/>
    <x v="13"/>
    <x v="16"/>
    <n v="0.42"/>
    <n v="0.19"/>
    <x v="16"/>
    <n v="52"/>
    <x v="55"/>
  </r>
  <r>
    <n v="538"/>
    <x v="23"/>
    <x v="13"/>
    <x v="2"/>
    <x v="0"/>
    <x v="2"/>
    <x v="1"/>
    <x v="13"/>
    <x v="14"/>
    <n v="0.43"/>
    <n v="0.22"/>
    <x v="15"/>
    <n v="54"/>
    <x v="122"/>
  </r>
  <r>
    <n v="539"/>
    <x v="23"/>
    <x v="14"/>
    <x v="2"/>
    <x v="0"/>
    <x v="2"/>
    <x v="1"/>
    <x v="13"/>
    <x v="14"/>
    <n v="0.46"/>
    <n v="0.22"/>
    <x v="4"/>
    <n v="43"/>
    <x v="79"/>
  </r>
  <r>
    <n v="540"/>
    <x v="23"/>
    <x v="15"/>
    <x v="2"/>
    <x v="0"/>
    <x v="2"/>
    <x v="0"/>
    <x v="16"/>
    <x v="13"/>
    <n v="0.4"/>
    <n v="0.16"/>
    <x v="18"/>
    <n v="50"/>
    <x v="52"/>
  </r>
  <r>
    <n v="541"/>
    <x v="23"/>
    <x v="16"/>
    <x v="2"/>
    <x v="0"/>
    <x v="2"/>
    <x v="0"/>
    <x v="19"/>
    <x v="13"/>
    <n v="0.47"/>
    <n v="0.25"/>
    <x v="17"/>
    <n v="66"/>
    <x v="27"/>
  </r>
  <r>
    <n v="542"/>
    <x v="23"/>
    <x v="17"/>
    <x v="2"/>
    <x v="0"/>
    <x v="2"/>
    <x v="0"/>
    <x v="15"/>
    <x v="14"/>
    <n v="0.5"/>
    <n v="0.25"/>
    <x v="15"/>
    <n v="178"/>
    <x v="157"/>
  </r>
  <r>
    <n v="543"/>
    <x v="23"/>
    <x v="18"/>
    <x v="3"/>
    <x v="0"/>
    <x v="2"/>
    <x v="0"/>
    <x v="13"/>
    <x v="14"/>
    <n v="0.59"/>
    <n v="0.19"/>
    <x v="1"/>
    <n v="145"/>
    <x v="158"/>
  </r>
  <r>
    <n v="544"/>
    <x v="23"/>
    <x v="19"/>
    <x v="3"/>
    <x v="0"/>
    <x v="2"/>
    <x v="0"/>
    <x v="19"/>
    <x v="14"/>
    <n v="0.54"/>
    <n v="0.16"/>
    <x v="2"/>
    <n v="101"/>
    <x v="13"/>
  </r>
  <r>
    <n v="545"/>
    <x v="23"/>
    <x v="20"/>
    <x v="3"/>
    <x v="0"/>
    <x v="2"/>
    <x v="0"/>
    <x v="13"/>
    <x v="14"/>
    <n v="0.59"/>
    <n v="0.19"/>
    <x v="5"/>
    <n v="80"/>
    <x v="117"/>
  </r>
  <r>
    <n v="546"/>
    <x v="23"/>
    <x v="21"/>
    <x v="3"/>
    <x v="0"/>
    <x v="2"/>
    <x v="0"/>
    <x v="19"/>
    <x v="14"/>
    <n v="0.63"/>
    <n v="0.16"/>
    <x v="15"/>
    <n v="53"/>
    <x v="29"/>
  </r>
  <r>
    <n v="547"/>
    <x v="23"/>
    <x v="22"/>
    <x v="3"/>
    <x v="0"/>
    <x v="2"/>
    <x v="1"/>
    <x v="13"/>
    <x v="14"/>
    <n v="0.63"/>
    <n v="0.22"/>
    <x v="0"/>
    <n v="32"/>
    <x v="17"/>
  </r>
  <r>
    <n v="548"/>
    <x v="23"/>
    <x v="23"/>
    <x v="3"/>
    <x v="0"/>
    <x v="2"/>
    <x v="1"/>
    <x v="19"/>
    <x v="13"/>
    <n v="0.64"/>
    <n v="0.25"/>
    <x v="0"/>
    <n v="21"/>
    <x v="108"/>
  </r>
  <r>
    <n v="549"/>
    <x v="24"/>
    <x v="0"/>
    <x v="0"/>
    <x v="0"/>
    <x v="3"/>
    <x v="1"/>
    <x v="13"/>
    <x v="13"/>
    <n v="0.69"/>
    <n v="0.28000000000000003"/>
    <x v="0"/>
    <n v="6"/>
    <x v="23"/>
  </r>
  <r>
    <n v="550"/>
    <x v="24"/>
    <x v="1"/>
    <x v="0"/>
    <x v="0"/>
    <x v="3"/>
    <x v="1"/>
    <x v="16"/>
    <x v="13"/>
    <n v="0.69"/>
    <n v="0.16"/>
    <x v="3"/>
    <n v="5"/>
    <x v="36"/>
  </r>
  <r>
    <n v="551"/>
    <x v="24"/>
    <x v="2"/>
    <x v="0"/>
    <x v="0"/>
    <x v="3"/>
    <x v="0"/>
    <x v="19"/>
    <x v="13"/>
    <n v="0.69"/>
    <n v="0.22"/>
    <x v="3"/>
    <n v="2"/>
    <x v="5"/>
  </r>
  <r>
    <n v="552"/>
    <x v="24"/>
    <x v="4"/>
    <x v="0"/>
    <x v="0"/>
    <x v="3"/>
    <x v="0"/>
    <x v="16"/>
    <x v="14"/>
    <n v="0.74"/>
    <n v="0.1"/>
    <x v="3"/>
    <n v="1"/>
    <x v="4"/>
  </r>
  <r>
    <n v="553"/>
    <x v="24"/>
    <x v="5"/>
    <x v="0"/>
    <x v="0"/>
    <x v="3"/>
    <x v="0"/>
    <x v="13"/>
    <x v="14"/>
    <n v="0.74"/>
    <n v="0.22"/>
    <x v="3"/>
    <n v="9"/>
    <x v="23"/>
  </r>
  <r>
    <n v="554"/>
    <x v="24"/>
    <x v="6"/>
    <x v="1"/>
    <x v="0"/>
    <x v="3"/>
    <x v="0"/>
    <x v="17"/>
    <x v="13"/>
    <n v="0.74"/>
    <n v="0.1"/>
    <x v="5"/>
    <n v="35"/>
    <x v="9"/>
  </r>
  <r>
    <n v="555"/>
    <x v="24"/>
    <x v="7"/>
    <x v="1"/>
    <x v="0"/>
    <x v="3"/>
    <x v="0"/>
    <x v="19"/>
    <x v="13"/>
    <n v="0.74"/>
    <n v="0.22"/>
    <x v="2"/>
    <n v="103"/>
    <x v="159"/>
  </r>
  <r>
    <n v="556"/>
    <x v="24"/>
    <x v="8"/>
    <x v="1"/>
    <x v="0"/>
    <x v="3"/>
    <x v="1"/>
    <x v="17"/>
    <x v="13"/>
    <n v="0.74"/>
    <n v="0.13"/>
    <x v="2"/>
    <n v="233"/>
    <x v="160"/>
  </r>
  <r>
    <n v="557"/>
    <x v="24"/>
    <x v="9"/>
    <x v="1"/>
    <x v="0"/>
    <x v="3"/>
    <x v="1"/>
    <x v="11"/>
    <x v="2"/>
    <n v="0.64"/>
    <n v="0.09"/>
    <x v="22"/>
    <n v="134"/>
    <x v="124"/>
  </r>
  <r>
    <n v="558"/>
    <x v="24"/>
    <x v="10"/>
    <x v="1"/>
    <x v="0"/>
    <x v="3"/>
    <x v="1"/>
    <x v="18"/>
    <x v="1"/>
    <n v="0.6"/>
    <n v="0.1"/>
    <x v="15"/>
    <n v="49"/>
    <x v="97"/>
  </r>
  <r>
    <n v="559"/>
    <x v="24"/>
    <x v="11"/>
    <x v="1"/>
    <x v="0"/>
    <x v="3"/>
    <x v="1"/>
    <x v="18"/>
    <x v="0"/>
    <n v="0.6"/>
    <n v="0.13"/>
    <x v="15"/>
    <n v="55"/>
    <x v="42"/>
  </r>
  <r>
    <n v="560"/>
    <x v="24"/>
    <x v="12"/>
    <x v="2"/>
    <x v="0"/>
    <x v="3"/>
    <x v="1"/>
    <x v="0"/>
    <x v="12"/>
    <n v="0.56000000000000005"/>
    <n v="0.09"/>
    <x v="27"/>
    <n v="85"/>
    <x v="13"/>
  </r>
  <r>
    <n v="561"/>
    <x v="24"/>
    <x v="13"/>
    <x v="2"/>
    <x v="0"/>
    <x v="3"/>
    <x v="1"/>
    <x v="1"/>
    <x v="12"/>
    <n v="0.56000000000000005"/>
    <n v="0.13"/>
    <x v="27"/>
    <n v="72"/>
    <x v="15"/>
  </r>
  <r>
    <n v="562"/>
    <x v="24"/>
    <x v="14"/>
    <x v="2"/>
    <x v="0"/>
    <x v="3"/>
    <x v="1"/>
    <x v="6"/>
    <x v="11"/>
    <n v="0.45"/>
    <n v="0"/>
    <x v="16"/>
    <n v="57"/>
    <x v="118"/>
  </r>
  <r>
    <n v="563"/>
    <x v="24"/>
    <x v="15"/>
    <x v="2"/>
    <x v="0"/>
    <x v="3"/>
    <x v="1"/>
    <x v="4"/>
    <x v="3"/>
    <n v="0.42"/>
    <n v="0"/>
    <x v="27"/>
    <n v="63"/>
    <x v="11"/>
  </r>
  <r>
    <n v="564"/>
    <x v="24"/>
    <x v="16"/>
    <x v="2"/>
    <x v="0"/>
    <x v="3"/>
    <x v="1"/>
    <x v="4"/>
    <x v="3"/>
    <n v="0.42"/>
    <n v="0"/>
    <x v="24"/>
    <n v="102"/>
    <x v="155"/>
  </r>
  <r>
    <n v="565"/>
    <x v="24"/>
    <x v="17"/>
    <x v="2"/>
    <x v="0"/>
    <x v="3"/>
    <x v="0"/>
    <x v="6"/>
    <x v="11"/>
    <n v="0.45"/>
    <n v="0"/>
    <x v="24"/>
    <n v="208"/>
    <x v="161"/>
  </r>
  <r>
    <n v="566"/>
    <x v="24"/>
    <x v="18"/>
    <x v="3"/>
    <x v="0"/>
    <x v="3"/>
    <x v="1"/>
    <x v="20"/>
    <x v="11"/>
    <n v="0.49"/>
    <n v="0.09"/>
    <x v="18"/>
    <n v="218"/>
    <x v="162"/>
  </r>
  <r>
    <n v="567"/>
    <x v="24"/>
    <x v="19"/>
    <x v="3"/>
    <x v="0"/>
    <x v="3"/>
    <x v="1"/>
    <x v="2"/>
    <x v="12"/>
    <n v="0.65"/>
    <n v="0.16"/>
    <x v="23"/>
    <n v="133"/>
    <x v="163"/>
  </r>
  <r>
    <n v="568"/>
    <x v="24"/>
    <x v="20"/>
    <x v="3"/>
    <x v="0"/>
    <x v="3"/>
    <x v="0"/>
    <x v="11"/>
    <x v="0"/>
    <n v="0.65"/>
    <n v="0.19"/>
    <x v="19"/>
    <n v="103"/>
    <x v="164"/>
  </r>
  <r>
    <n v="569"/>
    <x v="24"/>
    <x v="21"/>
    <x v="3"/>
    <x v="0"/>
    <x v="3"/>
    <x v="0"/>
    <x v="11"/>
    <x v="0"/>
    <n v="0.65"/>
    <n v="0.19"/>
    <x v="2"/>
    <n v="40"/>
    <x v="79"/>
  </r>
  <r>
    <n v="570"/>
    <x v="24"/>
    <x v="22"/>
    <x v="3"/>
    <x v="0"/>
    <x v="3"/>
    <x v="0"/>
    <x v="11"/>
    <x v="1"/>
    <n v="0.64"/>
    <n v="0.16"/>
    <x v="17"/>
    <n v="49"/>
    <x v="26"/>
  </r>
  <r>
    <n v="571"/>
    <x v="24"/>
    <x v="23"/>
    <x v="3"/>
    <x v="0"/>
    <x v="3"/>
    <x v="1"/>
    <x v="11"/>
    <x v="1"/>
    <n v="0.64"/>
    <n v="0.16"/>
    <x v="0"/>
    <n v="37"/>
    <x v="1"/>
  </r>
  <r>
    <n v="572"/>
    <x v="25"/>
    <x v="0"/>
    <x v="0"/>
    <x v="0"/>
    <x v="4"/>
    <x v="1"/>
    <x v="11"/>
    <x v="1"/>
    <n v="0.69"/>
    <n v="0.13"/>
    <x v="0"/>
    <n v="14"/>
    <x v="22"/>
  </r>
  <r>
    <n v="573"/>
    <x v="25"/>
    <x v="1"/>
    <x v="0"/>
    <x v="0"/>
    <x v="4"/>
    <x v="1"/>
    <x v="18"/>
    <x v="0"/>
    <n v="0.65"/>
    <n v="0.13"/>
    <x v="3"/>
    <n v="5"/>
    <x v="36"/>
  </r>
  <r>
    <n v="574"/>
    <x v="25"/>
    <x v="2"/>
    <x v="0"/>
    <x v="0"/>
    <x v="4"/>
    <x v="2"/>
    <x v="11"/>
    <x v="1"/>
    <n v="0.69"/>
    <n v="0.19"/>
    <x v="0"/>
    <n v="7"/>
    <x v="98"/>
  </r>
  <r>
    <n v="575"/>
    <x v="25"/>
    <x v="5"/>
    <x v="0"/>
    <x v="0"/>
    <x v="4"/>
    <x v="2"/>
    <x v="17"/>
    <x v="2"/>
    <n v="0.86"/>
    <n v="0.28000000000000003"/>
    <x v="3"/>
    <n v="1"/>
    <x v="4"/>
  </r>
  <r>
    <n v="576"/>
    <x v="25"/>
    <x v="6"/>
    <x v="1"/>
    <x v="0"/>
    <x v="4"/>
    <x v="2"/>
    <x v="17"/>
    <x v="2"/>
    <n v="0.86"/>
    <n v="0.28000000000000003"/>
    <x v="3"/>
    <n v="8"/>
    <x v="7"/>
  </r>
  <r>
    <n v="577"/>
    <x v="25"/>
    <x v="7"/>
    <x v="1"/>
    <x v="0"/>
    <x v="4"/>
    <x v="2"/>
    <x v="12"/>
    <x v="1"/>
    <n v="0.87"/>
    <n v="0.3"/>
    <x v="5"/>
    <n v="29"/>
    <x v="33"/>
  </r>
  <r>
    <n v="578"/>
    <x v="25"/>
    <x v="8"/>
    <x v="1"/>
    <x v="0"/>
    <x v="4"/>
    <x v="2"/>
    <x v="12"/>
    <x v="1"/>
    <n v="0.87"/>
    <n v="0.3"/>
    <x v="0"/>
    <n v="69"/>
    <x v="44"/>
  </r>
  <r>
    <n v="579"/>
    <x v="25"/>
    <x v="9"/>
    <x v="1"/>
    <x v="0"/>
    <x v="4"/>
    <x v="2"/>
    <x v="12"/>
    <x v="1"/>
    <n v="0.87"/>
    <n v="0.3"/>
    <x v="0"/>
    <n v="55"/>
    <x v="154"/>
  </r>
  <r>
    <n v="580"/>
    <x v="25"/>
    <x v="10"/>
    <x v="1"/>
    <x v="0"/>
    <x v="4"/>
    <x v="2"/>
    <x v="12"/>
    <x v="1"/>
    <n v="0.93"/>
    <n v="0.28000000000000003"/>
    <x v="4"/>
    <n v="26"/>
    <x v="20"/>
  </r>
  <r>
    <n v="581"/>
    <x v="25"/>
    <x v="11"/>
    <x v="1"/>
    <x v="0"/>
    <x v="4"/>
    <x v="2"/>
    <x v="3"/>
    <x v="1"/>
    <n v="0.93"/>
    <n v="0.33"/>
    <x v="15"/>
    <n v="35"/>
    <x v="102"/>
  </r>
  <r>
    <n v="582"/>
    <x v="25"/>
    <x v="12"/>
    <x v="2"/>
    <x v="0"/>
    <x v="4"/>
    <x v="2"/>
    <x v="3"/>
    <x v="1"/>
    <n v="0.93"/>
    <n v="0.33"/>
    <x v="18"/>
    <n v="41"/>
    <x v="61"/>
  </r>
  <r>
    <n v="583"/>
    <x v="25"/>
    <x v="13"/>
    <x v="2"/>
    <x v="0"/>
    <x v="4"/>
    <x v="2"/>
    <x v="3"/>
    <x v="1"/>
    <n v="0.93"/>
    <n v="0.33"/>
    <x v="17"/>
    <n v="43"/>
    <x v="105"/>
  </r>
  <r>
    <n v="584"/>
    <x v="25"/>
    <x v="14"/>
    <x v="2"/>
    <x v="0"/>
    <x v="4"/>
    <x v="2"/>
    <x v="3"/>
    <x v="1"/>
    <n v="0.93"/>
    <n v="0.36"/>
    <x v="3"/>
    <n v="36"/>
    <x v="9"/>
  </r>
  <r>
    <n v="585"/>
    <x v="25"/>
    <x v="15"/>
    <x v="2"/>
    <x v="0"/>
    <x v="4"/>
    <x v="2"/>
    <x v="17"/>
    <x v="1"/>
    <n v="0.93"/>
    <n v="0.46"/>
    <x v="5"/>
    <n v="42"/>
    <x v="74"/>
  </r>
  <r>
    <n v="586"/>
    <x v="25"/>
    <x v="16"/>
    <x v="2"/>
    <x v="0"/>
    <x v="4"/>
    <x v="3"/>
    <x v="3"/>
    <x v="1"/>
    <n v="0.93"/>
    <n v="0.33"/>
    <x v="5"/>
    <n v="35"/>
    <x v="9"/>
  </r>
  <r>
    <n v="587"/>
    <x v="25"/>
    <x v="17"/>
    <x v="2"/>
    <x v="0"/>
    <x v="4"/>
    <x v="2"/>
    <x v="17"/>
    <x v="2"/>
    <n v="0.93"/>
    <n v="0.36"/>
    <x v="3"/>
    <n v="26"/>
    <x v="132"/>
  </r>
  <r>
    <n v="588"/>
    <x v="26"/>
    <x v="16"/>
    <x v="2"/>
    <x v="0"/>
    <x v="5"/>
    <x v="0"/>
    <x v="11"/>
    <x v="1"/>
    <n v="0.55000000000000004"/>
    <n v="0.19"/>
    <x v="5"/>
    <n v="23"/>
    <x v="108"/>
  </r>
  <r>
    <n v="589"/>
    <x v="26"/>
    <x v="17"/>
    <x v="2"/>
    <x v="0"/>
    <x v="5"/>
    <x v="0"/>
    <x v="18"/>
    <x v="1"/>
    <n v="0.55000000000000004"/>
    <n v="0.1"/>
    <x v="4"/>
    <n v="82"/>
    <x v="11"/>
  </r>
  <r>
    <n v="590"/>
    <x v="26"/>
    <x v="18"/>
    <x v="3"/>
    <x v="0"/>
    <x v="5"/>
    <x v="0"/>
    <x v="11"/>
    <x v="2"/>
    <n v="0.69"/>
    <n v="0.09"/>
    <x v="0"/>
    <n v="101"/>
    <x v="133"/>
  </r>
  <r>
    <n v="591"/>
    <x v="26"/>
    <x v="19"/>
    <x v="3"/>
    <x v="0"/>
    <x v="5"/>
    <x v="0"/>
    <x v="11"/>
    <x v="2"/>
    <n v="0.69"/>
    <n v="0.09"/>
    <x v="0"/>
    <n v="76"/>
    <x v="67"/>
  </r>
  <r>
    <n v="592"/>
    <x v="26"/>
    <x v="20"/>
    <x v="3"/>
    <x v="0"/>
    <x v="5"/>
    <x v="0"/>
    <x v="12"/>
    <x v="15"/>
    <n v="0.74"/>
    <n v="0.09"/>
    <x v="17"/>
    <n v="55"/>
    <x v="29"/>
  </r>
  <r>
    <n v="593"/>
    <x v="26"/>
    <x v="21"/>
    <x v="3"/>
    <x v="0"/>
    <x v="5"/>
    <x v="0"/>
    <x v="12"/>
    <x v="15"/>
    <n v="0.74"/>
    <n v="0.09"/>
    <x v="4"/>
    <n v="36"/>
    <x v="103"/>
  </r>
  <r>
    <n v="594"/>
    <x v="26"/>
    <x v="22"/>
    <x v="3"/>
    <x v="0"/>
    <x v="5"/>
    <x v="0"/>
    <x v="12"/>
    <x v="15"/>
    <n v="0.74"/>
    <n v="0.09"/>
    <x v="3"/>
    <n v="27"/>
    <x v="110"/>
  </r>
  <r>
    <n v="595"/>
    <x v="26"/>
    <x v="23"/>
    <x v="3"/>
    <x v="0"/>
    <x v="5"/>
    <x v="0"/>
    <x v="3"/>
    <x v="15"/>
    <n v="0.8"/>
    <n v="0.16"/>
    <x v="3"/>
    <n v="16"/>
    <x v="0"/>
  </r>
  <r>
    <n v="596"/>
    <x v="27"/>
    <x v="0"/>
    <x v="0"/>
    <x v="0"/>
    <x v="6"/>
    <x v="1"/>
    <x v="12"/>
    <x v="2"/>
    <n v="0.75"/>
    <n v="0.13"/>
    <x v="3"/>
    <n v="9"/>
    <x v="23"/>
  </r>
  <r>
    <n v="597"/>
    <x v="27"/>
    <x v="1"/>
    <x v="0"/>
    <x v="0"/>
    <x v="6"/>
    <x v="1"/>
    <x v="12"/>
    <x v="2"/>
    <n v="0.75"/>
    <n v="0.13"/>
    <x v="5"/>
    <n v="2"/>
    <x v="6"/>
  </r>
  <r>
    <n v="598"/>
    <x v="27"/>
    <x v="2"/>
    <x v="0"/>
    <x v="0"/>
    <x v="6"/>
    <x v="1"/>
    <x v="12"/>
    <x v="2"/>
    <n v="0.75"/>
    <n v="0.16"/>
    <x v="3"/>
    <n v="2"/>
    <x v="5"/>
  </r>
  <r>
    <n v="599"/>
    <x v="27"/>
    <x v="3"/>
    <x v="0"/>
    <x v="0"/>
    <x v="6"/>
    <x v="1"/>
    <x v="11"/>
    <x v="2"/>
    <n v="0.75"/>
    <n v="0.1"/>
    <x v="5"/>
    <n v="0"/>
    <x v="4"/>
  </r>
  <r>
    <n v="600"/>
    <x v="27"/>
    <x v="5"/>
    <x v="0"/>
    <x v="0"/>
    <x v="6"/>
    <x v="1"/>
    <x v="12"/>
    <x v="15"/>
    <n v="0.8"/>
    <n v="0.1"/>
    <x v="3"/>
    <n v="4"/>
    <x v="48"/>
  </r>
  <r>
    <n v="601"/>
    <x v="27"/>
    <x v="6"/>
    <x v="1"/>
    <x v="0"/>
    <x v="6"/>
    <x v="1"/>
    <x v="3"/>
    <x v="15"/>
    <n v="0.8"/>
    <n v="0.13"/>
    <x v="3"/>
    <n v="16"/>
    <x v="0"/>
  </r>
  <r>
    <n v="602"/>
    <x v="27"/>
    <x v="7"/>
    <x v="1"/>
    <x v="0"/>
    <x v="6"/>
    <x v="1"/>
    <x v="3"/>
    <x v="13"/>
    <n v="0.86"/>
    <n v="0.09"/>
    <x v="4"/>
    <n v="58"/>
    <x v="122"/>
  </r>
  <r>
    <n v="603"/>
    <x v="27"/>
    <x v="8"/>
    <x v="1"/>
    <x v="0"/>
    <x v="6"/>
    <x v="1"/>
    <x v="3"/>
    <x v="13"/>
    <n v="0.86"/>
    <n v="0.09"/>
    <x v="4"/>
    <n v="155"/>
    <x v="45"/>
  </r>
  <r>
    <n v="604"/>
    <x v="27"/>
    <x v="9"/>
    <x v="1"/>
    <x v="0"/>
    <x v="6"/>
    <x v="2"/>
    <x v="12"/>
    <x v="15"/>
    <n v="0.86"/>
    <n v="0.09"/>
    <x v="15"/>
    <n v="95"/>
    <x v="129"/>
  </r>
  <r>
    <n v="605"/>
    <x v="27"/>
    <x v="10"/>
    <x v="1"/>
    <x v="0"/>
    <x v="6"/>
    <x v="2"/>
    <x v="12"/>
    <x v="15"/>
    <n v="0.86"/>
    <n v="0.1"/>
    <x v="3"/>
    <n v="49"/>
    <x v="99"/>
  </r>
  <r>
    <n v="606"/>
    <x v="27"/>
    <x v="11"/>
    <x v="1"/>
    <x v="0"/>
    <x v="6"/>
    <x v="2"/>
    <x v="12"/>
    <x v="15"/>
    <n v="0.93"/>
    <n v="0.1"/>
    <x v="3"/>
    <n v="30"/>
    <x v="33"/>
  </r>
  <r>
    <n v="607"/>
    <x v="27"/>
    <x v="12"/>
    <x v="2"/>
    <x v="0"/>
    <x v="6"/>
    <x v="2"/>
    <x v="12"/>
    <x v="15"/>
    <n v="0.93"/>
    <n v="0.1"/>
    <x v="5"/>
    <n v="28"/>
    <x v="115"/>
  </r>
  <r>
    <n v="608"/>
    <x v="27"/>
    <x v="13"/>
    <x v="2"/>
    <x v="0"/>
    <x v="6"/>
    <x v="2"/>
    <x v="12"/>
    <x v="15"/>
    <n v="0.93"/>
    <n v="0.1"/>
    <x v="3"/>
    <n v="31"/>
    <x v="35"/>
  </r>
  <r>
    <n v="609"/>
    <x v="27"/>
    <x v="14"/>
    <x v="2"/>
    <x v="0"/>
    <x v="6"/>
    <x v="2"/>
    <x v="1"/>
    <x v="1"/>
    <n v="0.8"/>
    <n v="0"/>
    <x v="4"/>
    <n v="36"/>
    <x v="103"/>
  </r>
  <r>
    <n v="610"/>
    <x v="27"/>
    <x v="15"/>
    <x v="2"/>
    <x v="0"/>
    <x v="6"/>
    <x v="1"/>
    <x v="2"/>
    <x v="2"/>
    <n v="0.86"/>
    <n v="0"/>
    <x v="5"/>
    <n v="40"/>
    <x v="102"/>
  </r>
  <r>
    <n v="611"/>
    <x v="27"/>
    <x v="16"/>
    <x v="2"/>
    <x v="0"/>
    <x v="6"/>
    <x v="0"/>
    <x v="1"/>
    <x v="1"/>
    <n v="0.8"/>
    <n v="0"/>
    <x v="22"/>
    <n v="70"/>
    <x v="138"/>
  </r>
  <r>
    <n v="612"/>
    <x v="27"/>
    <x v="17"/>
    <x v="2"/>
    <x v="0"/>
    <x v="6"/>
    <x v="0"/>
    <x v="18"/>
    <x v="0"/>
    <n v="0.75"/>
    <n v="0.13"/>
    <x v="4"/>
    <n v="147"/>
    <x v="165"/>
  </r>
  <r>
    <n v="613"/>
    <x v="27"/>
    <x v="18"/>
    <x v="3"/>
    <x v="0"/>
    <x v="6"/>
    <x v="0"/>
    <x v="11"/>
    <x v="0"/>
    <n v="0.75"/>
    <n v="0.19"/>
    <x v="4"/>
    <n v="107"/>
    <x v="142"/>
  </r>
  <r>
    <n v="614"/>
    <x v="27"/>
    <x v="19"/>
    <x v="3"/>
    <x v="0"/>
    <x v="6"/>
    <x v="1"/>
    <x v="18"/>
    <x v="0"/>
    <n v="0.75"/>
    <n v="0.13"/>
    <x v="2"/>
    <n v="84"/>
    <x v="70"/>
  </r>
  <r>
    <n v="615"/>
    <x v="27"/>
    <x v="20"/>
    <x v="3"/>
    <x v="0"/>
    <x v="6"/>
    <x v="1"/>
    <x v="11"/>
    <x v="0"/>
    <n v="0.7"/>
    <n v="0.19"/>
    <x v="5"/>
    <n v="61"/>
    <x v="69"/>
  </r>
  <r>
    <n v="616"/>
    <x v="27"/>
    <x v="21"/>
    <x v="3"/>
    <x v="0"/>
    <x v="6"/>
    <x v="1"/>
    <x v="11"/>
    <x v="1"/>
    <n v="0.75"/>
    <n v="0.13"/>
    <x v="5"/>
    <n v="57"/>
    <x v="154"/>
  </r>
  <r>
    <n v="617"/>
    <x v="27"/>
    <x v="22"/>
    <x v="3"/>
    <x v="0"/>
    <x v="6"/>
    <x v="0"/>
    <x v="12"/>
    <x v="0"/>
    <n v="0.65"/>
    <n v="0.36"/>
    <x v="3"/>
    <n v="26"/>
    <x v="132"/>
  </r>
  <r>
    <n v="618"/>
    <x v="27"/>
    <x v="23"/>
    <x v="3"/>
    <x v="0"/>
    <x v="6"/>
    <x v="0"/>
    <x v="11"/>
    <x v="0"/>
    <n v="0.6"/>
    <n v="0.22"/>
    <x v="5"/>
    <n v="22"/>
    <x v="84"/>
  </r>
  <r>
    <n v="619"/>
    <x v="28"/>
    <x v="0"/>
    <x v="0"/>
    <x v="0"/>
    <x v="0"/>
    <x v="0"/>
    <x v="3"/>
    <x v="1"/>
    <n v="0.64"/>
    <n v="0.36"/>
    <x v="4"/>
    <n v="26"/>
    <x v="20"/>
  </r>
  <r>
    <n v="620"/>
    <x v="28"/>
    <x v="1"/>
    <x v="0"/>
    <x v="0"/>
    <x v="0"/>
    <x v="0"/>
    <x v="11"/>
    <x v="1"/>
    <n v="0.64"/>
    <n v="0.19"/>
    <x v="3"/>
    <n v="20"/>
    <x v="25"/>
  </r>
  <r>
    <n v="621"/>
    <x v="28"/>
    <x v="2"/>
    <x v="0"/>
    <x v="0"/>
    <x v="0"/>
    <x v="0"/>
    <x v="11"/>
    <x v="1"/>
    <n v="0.64"/>
    <n v="0.16"/>
    <x v="3"/>
    <n v="15"/>
    <x v="93"/>
  </r>
  <r>
    <n v="622"/>
    <x v="28"/>
    <x v="3"/>
    <x v="0"/>
    <x v="0"/>
    <x v="0"/>
    <x v="0"/>
    <x v="12"/>
    <x v="2"/>
    <n v="0.64"/>
    <n v="0.13"/>
    <x v="0"/>
    <n v="5"/>
    <x v="7"/>
  </r>
  <r>
    <n v="623"/>
    <x v="28"/>
    <x v="4"/>
    <x v="0"/>
    <x v="0"/>
    <x v="0"/>
    <x v="0"/>
    <x v="17"/>
    <x v="13"/>
    <n v="0.69"/>
    <n v="0.1"/>
    <x v="5"/>
    <n v="2"/>
    <x v="6"/>
  </r>
  <r>
    <n v="624"/>
    <x v="28"/>
    <x v="6"/>
    <x v="1"/>
    <x v="0"/>
    <x v="0"/>
    <x v="0"/>
    <x v="17"/>
    <x v="13"/>
    <n v="0.64"/>
    <n v="0.13"/>
    <x v="3"/>
    <n v="2"/>
    <x v="5"/>
  </r>
  <r>
    <n v="625"/>
    <x v="28"/>
    <x v="7"/>
    <x v="1"/>
    <x v="0"/>
    <x v="0"/>
    <x v="0"/>
    <x v="17"/>
    <x v="13"/>
    <n v="0.59"/>
    <n v="0.1"/>
    <x v="5"/>
    <n v="4"/>
    <x v="36"/>
  </r>
  <r>
    <n v="626"/>
    <x v="28"/>
    <x v="8"/>
    <x v="1"/>
    <x v="0"/>
    <x v="0"/>
    <x v="0"/>
    <x v="3"/>
    <x v="15"/>
    <n v="0.55000000000000004"/>
    <n v="0.16"/>
    <x v="0"/>
    <n v="31"/>
    <x v="19"/>
  </r>
  <r>
    <n v="627"/>
    <x v="28"/>
    <x v="9"/>
    <x v="1"/>
    <x v="0"/>
    <x v="0"/>
    <x v="0"/>
    <x v="12"/>
    <x v="15"/>
    <n v="0.59"/>
    <n v="0.09"/>
    <x v="3"/>
    <n v="34"/>
    <x v="19"/>
  </r>
  <r>
    <n v="628"/>
    <x v="28"/>
    <x v="10"/>
    <x v="1"/>
    <x v="0"/>
    <x v="0"/>
    <x v="1"/>
    <x v="12"/>
    <x v="15"/>
    <n v="0.64"/>
    <n v="0.1"/>
    <x v="17"/>
    <n v="51"/>
    <x v="97"/>
  </r>
  <r>
    <n v="629"/>
    <x v="28"/>
    <x v="11"/>
    <x v="1"/>
    <x v="0"/>
    <x v="0"/>
    <x v="1"/>
    <x v="3"/>
    <x v="15"/>
    <n v="0.64"/>
    <n v="0.13"/>
    <x v="17"/>
    <n v="60"/>
    <x v="37"/>
  </r>
  <r>
    <n v="630"/>
    <x v="28"/>
    <x v="12"/>
    <x v="2"/>
    <x v="0"/>
    <x v="0"/>
    <x v="1"/>
    <x v="3"/>
    <x v="2"/>
    <n v="0.59"/>
    <n v="0.19"/>
    <x v="6"/>
    <n v="66"/>
    <x v="53"/>
  </r>
  <r>
    <n v="631"/>
    <x v="28"/>
    <x v="13"/>
    <x v="2"/>
    <x v="0"/>
    <x v="0"/>
    <x v="1"/>
    <x v="11"/>
    <x v="1"/>
    <n v="0.55000000000000004"/>
    <n v="0.16"/>
    <x v="14"/>
    <n v="56"/>
    <x v="32"/>
  </r>
  <r>
    <n v="632"/>
    <x v="28"/>
    <x v="14"/>
    <x v="2"/>
    <x v="0"/>
    <x v="0"/>
    <x v="1"/>
    <x v="11"/>
    <x v="1"/>
    <n v="0.6"/>
    <n v="0.13"/>
    <x v="22"/>
    <n v="89"/>
    <x v="111"/>
  </r>
  <r>
    <n v="633"/>
    <x v="28"/>
    <x v="15"/>
    <x v="2"/>
    <x v="0"/>
    <x v="0"/>
    <x v="0"/>
    <x v="12"/>
    <x v="1"/>
    <n v="0.69"/>
    <n v="0.25"/>
    <x v="30"/>
    <n v="98"/>
    <x v="151"/>
  </r>
  <r>
    <n v="634"/>
    <x v="28"/>
    <x v="16"/>
    <x v="2"/>
    <x v="0"/>
    <x v="0"/>
    <x v="0"/>
    <x v="18"/>
    <x v="0"/>
    <n v="0.6"/>
    <n v="0.16"/>
    <x v="21"/>
    <n v="88"/>
    <x v="166"/>
  </r>
  <r>
    <n v="635"/>
    <x v="28"/>
    <x v="17"/>
    <x v="2"/>
    <x v="0"/>
    <x v="0"/>
    <x v="0"/>
    <x v="0"/>
    <x v="0"/>
    <n v="0.6"/>
    <n v="0"/>
    <x v="14"/>
    <n v="82"/>
    <x v="134"/>
  </r>
  <r>
    <n v="636"/>
    <x v="28"/>
    <x v="18"/>
    <x v="3"/>
    <x v="0"/>
    <x v="0"/>
    <x v="0"/>
    <x v="11"/>
    <x v="1"/>
    <n v="0.69"/>
    <n v="0.13"/>
    <x v="14"/>
    <n v="59"/>
    <x v="118"/>
  </r>
  <r>
    <n v="637"/>
    <x v="28"/>
    <x v="19"/>
    <x v="3"/>
    <x v="0"/>
    <x v="0"/>
    <x v="1"/>
    <x v="12"/>
    <x v="1"/>
    <n v="0.69"/>
    <n v="0.25"/>
    <x v="15"/>
    <n v="52"/>
    <x v="154"/>
  </r>
  <r>
    <n v="638"/>
    <x v="28"/>
    <x v="20"/>
    <x v="3"/>
    <x v="0"/>
    <x v="0"/>
    <x v="0"/>
    <x v="12"/>
    <x v="15"/>
    <n v="0.74"/>
    <n v="0.09"/>
    <x v="5"/>
    <n v="42"/>
    <x v="74"/>
  </r>
  <r>
    <n v="639"/>
    <x v="28"/>
    <x v="21"/>
    <x v="3"/>
    <x v="0"/>
    <x v="0"/>
    <x v="0"/>
    <x v="12"/>
    <x v="15"/>
    <n v="0.74"/>
    <n v="0.09"/>
    <x v="5"/>
    <n v="35"/>
    <x v="9"/>
  </r>
  <r>
    <n v="640"/>
    <x v="28"/>
    <x v="22"/>
    <x v="3"/>
    <x v="0"/>
    <x v="0"/>
    <x v="0"/>
    <x v="3"/>
    <x v="13"/>
    <n v="0.8"/>
    <n v="0.09"/>
    <x v="17"/>
    <n v="28"/>
    <x v="2"/>
  </r>
  <r>
    <n v="641"/>
    <x v="28"/>
    <x v="23"/>
    <x v="3"/>
    <x v="0"/>
    <x v="0"/>
    <x v="0"/>
    <x v="3"/>
    <x v="13"/>
    <n v="0.8"/>
    <n v="0.09"/>
    <x v="0"/>
    <n v="30"/>
    <x v="63"/>
  </r>
  <r>
    <n v="642"/>
    <x v="29"/>
    <x v="0"/>
    <x v="0"/>
    <x v="0"/>
    <x v="1"/>
    <x v="0"/>
    <x v="17"/>
    <x v="13"/>
    <n v="0.8"/>
    <n v="0.1"/>
    <x v="3"/>
    <n v="33"/>
    <x v="63"/>
  </r>
  <r>
    <n v="643"/>
    <x v="29"/>
    <x v="1"/>
    <x v="0"/>
    <x v="0"/>
    <x v="1"/>
    <x v="0"/>
    <x v="12"/>
    <x v="14"/>
    <n v="0.8"/>
    <n v="0"/>
    <x v="18"/>
    <n v="22"/>
    <x v="115"/>
  </r>
  <r>
    <n v="644"/>
    <x v="29"/>
    <x v="2"/>
    <x v="0"/>
    <x v="0"/>
    <x v="1"/>
    <x v="0"/>
    <x v="11"/>
    <x v="13"/>
    <n v="0.8"/>
    <n v="0"/>
    <x v="5"/>
    <n v="10"/>
    <x v="62"/>
  </r>
  <r>
    <n v="645"/>
    <x v="29"/>
    <x v="3"/>
    <x v="0"/>
    <x v="0"/>
    <x v="1"/>
    <x v="0"/>
    <x v="12"/>
    <x v="14"/>
    <n v="0.93"/>
    <n v="0"/>
    <x v="5"/>
    <n v="7"/>
    <x v="7"/>
  </r>
  <r>
    <n v="646"/>
    <x v="29"/>
    <x v="4"/>
    <x v="0"/>
    <x v="0"/>
    <x v="1"/>
    <x v="0"/>
    <x v="12"/>
    <x v="14"/>
    <n v="0.93"/>
    <n v="0"/>
    <x v="3"/>
    <n v="1"/>
    <x v="4"/>
  </r>
  <r>
    <n v="647"/>
    <x v="29"/>
    <x v="5"/>
    <x v="0"/>
    <x v="0"/>
    <x v="1"/>
    <x v="0"/>
    <x v="12"/>
    <x v="14"/>
    <n v="0.86"/>
    <n v="0"/>
    <x v="3"/>
    <n v="3"/>
    <x v="6"/>
  </r>
  <r>
    <n v="648"/>
    <x v="29"/>
    <x v="7"/>
    <x v="1"/>
    <x v="0"/>
    <x v="1"/>
    <x v="0"/>
    <x v="12"/>
    <x v="14"/>
    <n v="0.86"/>
    <n v="0"/>
    <x v="3"/>
    <n v="3"/>
    <x v="6"/>
  </r>
  <r>
    <n v="649"/>
    <x v="29"/>
    <x v="8"/>
    <x v="1"/>
    <x v="0"/>
    <x v="1"/>
    <x v="1"/>
    <x v="12"/>
    <x v="14"/>
    <n v="0.86"/>
    <n v="0"/>
    <x v="5"/>
    <n v="11"/>
    <x v="47"/>
  </r>
  <r>
    <n v="650"/>
    <x v="29"/>
    <x v="9"/>
    <x v="1"/>
    <x v="0"/>
    <x v="1"/>
    <x v="1"/>
    <x v="11"/>
    <x v="13"/>
    <n v="0.8"/>
    <n v="0"/>
    <x v="17"/>
    <n v="34"/>
    <x v="103"/>
  </r>
  <r>
    <n v="651"/>
    <x v="29"/>
    <x v="10"/>
    <x v="1"/>
    <x v="0"/>
    <x v="1"/>
    <x v="1"/>
    <x v="18"/>
    <x v="15"/>
    <n v="0.8"/>
    <n v="0"/>
    <x v="18"/>
    <n v="57"/>
    <x v="37"/>
  </r>
  <r>
    <n v="652"/>
    <x v="29"/>
    <x v="11"/>
    <x v="1"/>
    <x v="0"/>
    <x v="1"/>
    <x v="0"/>
    <x v="1"/>
    <x v="1"/>
    <n v="0.75"/>
    <n v="0"/>
    <x v="14"/>
    <n v="50"/>
    <x v="29"/>
  </r>
  <r>
    <n v="653"/>
    <x v="29"/>
    <x v="12"/>
    <x v="2"/>
    <x v="0"/>
    <x v="1"/>
    <x v="0"/>
    <x v="20"/>
    <x v="11"/>
    <n v="0.52"/>
    <n v="0.1"/>
    <x v="22"/>
    <n v="87"/>
    <x v="54"/>
  </r>
  <r>
    <n v="654"/>
    <x v="29"/>
    <x v="13"/>
    <x v="2"/>
    <x v="0"/>
    <x v="1"/>
    <x v="0"/>
    <x v="0"/>
    <x v="17"/>
    <n v="0.61"/>
    <n v="0.1"/>
    <x v="23"/>
    <n v="71"/>
    <x v="11"/>
  </r>
  <r>
    <n v="655"/>
    <x v="29"/>
    <x v="14"/>
    <x v="2"/>
    <x v="0"/>
    <x v="1"/>
    <x v="0"/>
    <x v="24"/>
    <x v="17"/>
    <n v="0.61"/>
    <n v="0.09"/>
    <x v="25"/>
    <n v="104"/>
    <x v="78"/>
  </r>
  <r>
    <n v="656"/>
    <x v="29"/>
    <x v="15"/>
    <x v="2"/>
    <x v="0"/>
    <x v="1"/>
    <x v="0"/>
    <x v="6"/>
    <x v="11"/>
    <n v="0.56000000000000005"/>
    <n v="0"/>
    <x v="24"/>
    <n v="95"/>
    <x v="142"/>
  </r>
  <r>
    <n v="657"/>
    <x v="29"/>
    <x v="16"/>
    <x v="2"/>
    <x v="0"/>
    <x v="1"/>
    <x v="0"/>
    <x v="6"/>
    <x v="11"/>
    <n v="0.56000000000000005"/>
    <n v="0"/>
    <x v="21"/>
    <n v="104"/>
    <x v="92"/>
  </r>
  <r>
    <n v="658"/>
    <x v="29"/>
    <x v="17"/>
    <x v="2"/>
    <x v="0"/>
    <x v="1"/>
    <x v="0"/>
    <x v="0"/>
    <x v="11"/>
    <n v="0.56000000000000005"/>
    <n v="0.19"/>
    <x v="15"/>
    <n v="71"/>
    <x v="43"/>
  </r>
  <r>
    <n v="659"/>
    <x v="29"/>
    <x v="18"/>
    <x v="3"/>
    <x v="0"/>
    <x v="1"/>
    <x v="0"/>
    <x v="2"/>
    <x v="12"/>
    <n v="0.65"/>
    <n v="0.16"/>
    <x v="1"/>
    <n v="57"/>
    <x v="32"/>
  </r>
  <r>
    <n v="660"/>
    <x v="29"/>
    <x v="19"/>
    <x v="3"/>
    <x v="0"/>
    <x v="1"/>
    <x v="0"/>
    <x v="2"/>
    <x v="12"/>
    <n v="0.65"/>
    <n v="0.19"/>
    <x v="14"/>
    <n v="46"/>
    <x v="97"/>
  </r>
  <r>
    <n v="661"/>
    <x v="29"/>
    <x v="20"/>
    <x v="3"/>
    <x v="0"/>
    <x v="1"/>
    <x v="1"/>
    <x v="1"/>
    <x v="12"/>
    <n v="0.65"/>
    <n v="0.1"/>
    <x v="0"/>
    <n v="30"/>
    <x v="63"/>
  </r>
  <r>
    <n v="662"/>
    <x v="29"/>
    <x v="21"/>
    <x v="3"/>
    <x v="0"/>
    <x v="1"/>
    <x v="1"/>
    <x v="18"/>
    <x v="0"/>
    <n v="0.7"/>
    <n v="0.16"/>
    <x v="0"/>
    <n v="25"/>
    <x v="20"/>
  </r>
  <r>
    <n v="663"/>
    <x v="29"/>
    <x v="22"/>
    <x v="3"/>
    <x v="0"/>
    <x v="1"/>
    <x v="1"/>
    <x v="11"/>
    <x v="0"/>
    <n v="0.7"/>
    <n v="0.19"/>
    <x v="4"/>
    <n v="19"/>
    <x v="137"/>
  </r>
  <r>
    <n v="664"/>
    <x v="29"/>
    <x v="23"/>
    <x v="3"/>
    <x v="0"/>
    <x v="1"/>
    <x v="1"/>
    <x v="12"/>
    <x v="0"/>
    <n v="0.65"/>
    <n v="0.28000000000000003"/>
    <x v="2"/>
    <n v="16"/>
    <x v="137"/>
  </r>
  <r>
    <n v="665"/>
    <x v="30"/>
    <x v="0"/>
    <x v="0"/>
    <x v="0"/>
    <x v="2"/>
    <x v="1"/>
    <x v="11"/>
    <x v="0"/>
    <n v="0.65"/>
    <n v="0.22"/>
    <x v="5"/>
    <n v="6"/>
    <x v="85"/>
  </r>
  <r>
    <n v="666"/>
    <x v="30"/>
    <x v="1"/>
    <x v="0"/>
    <x v="0"/>
    <x v="2"/>
    <x v="0"/>
    <x v="12"/>
    <x v="1"/>
    <n v="0.64"/>
    <n v="0.25"/>
    <x v="4"/>
    <n v="5"/>
    <x v="85"/>
  </r>
  <r>
    <n v="667"/>
    <x v="30"/>
    <x v="2"/>
    <x v="0"/>
    <x v="0"/>
    <x v="2"/>
    <x v="0"/>
    <x v="11"/>
    <x v="1"/>
    <n v="0.64"/>
    <n v="0.19"/>
    <x v="3"/>
    <n v="1"/>
    <x v="4"/>
  </r>
  <r>
    <n v="668"/>
    <x v="30"/>
    <x v="3"/>
    <x v="0"/>
    <x v="0"/>
    <x v="2"/>
    <x v="0"/>
    <x v="11"/>
    <x v="1"/>
    <n v="0.64"/>
    <n v="0.19"/>
    <x v="3"/>
    <n v="2"/>
    <x v="5"/>
  </r>
  <r>
    <n v="669"/>
    <x v="30"/>
    <x v="4"/>
    <x v="0"/>
    <x v="0"/>
    <x v="2"/>
    <x v="0"/>
    <x v="3"/>
    <x v="2"/>
    <n v="0.59"/>
    <n v="0.22"/>
    <x v="3"/>
    <n v="2"/>
    <x v="5"/>
  </r>
  <r>
    <n v="670"/>
    <x v="30"/>
    <x v="5"/>
    <x v="0"/>
    <x v="0"/>
    <x v="2"/>
    <x v="0"/>
    <x v="16"/>
    <x v="15"/>
    <n v="0.64"/>
    <n v="0.28000000000000003"/>
    <x v="3"/>
    <n v="8"/>
    <x v="7"/>
  </r>
  <r>
    <n v="671"/>
    <x v="30"/>
    <x v="6"/>
    <x v="1"/>
    <x v="0"/>
    <x v="2"/>
    <x v="0"/>
    <x v="13"/>
    <x v="13"/>
    <n v="0.69"/>
    <n v="0.33"/>
    <x v="3"/>
    <n v="37"/>
    <x v="18"/>
  </r>
  <r>
    <n v="672"/>
    <x v="30"/>
    <x v="7"/>
    <x v="1"/>
    <x v="0"/>
    <x v="2"/>
    <x v="1"/>
    <x v="13"/>
    <x v="13"/>
    <n v="0.64"/>
    <n v="0.28000000000000003"/>
    <x v="5"/>
    <n v="71"/>
    <x v="44"/>
  </r>
  <r>
    <n v="673"/>
    <x v="30"/>
    <x v="8"/>
    <x v="1"/>
    <x v="0"/>
    <x v="2"/>
    <x v="1"/>
    <x v="13"/>
    <x v="13"/>
    <n v="0.59"/>
    <n v="0.28000000000000003"/>
    <x v="0"/>
    <n v="182"/>
    <x v="147"/>
  </r>
  <r>
    <n v="674"/>
    <x v="30"/>
    <x v="9"/>
    <x v="1"/>
    <x v="0"/>
    <x v="2"/>
    <x v="1"/>
    <x v="13"/>
    <x v="13"/>
    <n v="0.59"/>
    <n v="0.3"/>
    <x v="3"/>
    <n v="112"/>
    <x v="59"/>
  </r>
  <r>
    <n v="675"/>
    <x v="30"/>
    <x v="10"/>
    <x v="1"/>
    <x v="0"/>
    <x v="2"/>
    <x v="1"/>
    <x v="19"/>
    <x v="13"/>
    <n v="0.59"/>
    <n v="0.19"/>
    <x v="5"/>
    <n v="68"/>
    <x v="83"/>
  </r>
  <r>
    <n v="676"/>
    <x v="30"/>
    <x v="11"/>
    <x v="1"/>
    <x v="0"/>
    <x v="2"/>
    <x v="1"/>
    <x v="19"/>
    <x v="13"/>
    <n v="0.59"/>
    <n v="0.19"/>
    <x v="4"/>
    <n v="46"/>
    <x v="61"/>
  </r>
  <r>
    <n v="677"/>
    <x v="30"/>
    <x v="12"/>
    <x v="2"/>
    <x v="0"/>
    <x v="2"/>
    <x v="1"/>
    <x v="12"/>
    <x v="15"/>
    <n v="0.55000000000000004"/>
    <n v="0.1"/>
    <x v="15"/>
    <n v="62"/>
    <x v="118"/>
  </r>
  <r>
    <n v="678"/>
    <x v="30"/>
    <x v="13"/>
    <x v="2"/>
    <x v="0"/>
    <x v="2"/>
    <x v="1"/>
    <x v="11"/>
    <x v="13"/>
    <n v="0.59"/>
    <n v="0"/>
    <x v="4"/>
    <n v="52"/>
    <x v="60"/>
  </r>
  <r>
    <n v="679"/>
    <x v="30"/>
    <x v="14"/>
    <x v="2"/>
    <x v="0"/>
    <x v="2"/>
    <x v="1"/>
    <x v="3"/>
    <x v="15"/>
    <n v="0.55000000000000004"/>
    <n v="0.13"/>
    <x v="5"/>
    <n v="85"/>
    <x v="80"/>
  </r>
  <r>
    <n v="680"/>
    <x v="30"/>
    <x v="15"/>
    <x v="2"/>
    <x v="0"/>
    <x v="2"/>
    <x v="1"/>
    <x v="17"/>
    <x v="13"/>
    <n v="0.59"/>
    <n v="0.13"/>
    <x v="0"/>
    <n v="41"/>
    <x v="40"/>
  </r>
  <r>
    <n v="681"/>
    <x v="30"/>
    <x v="16"/>
    <x v="2"/>
    <x v="0"/>
    <x v="2"/>
    <x v="1"/>
    <x v="17"/>
    <x v="13"/>
    <n v="0.56000000000000005"/>
    <n v="0.19"/>
    <x v="0"/>
    <n v="83"/>
    <x v="80"/>
  </r>
  <r>
    <n v="682"/>
    <x v="30"/>
    <x v="17"/>
    <x v="2"/>
    <x v="0"/>
    <x v="2"/>
    <x v="1"/>
    <x v="19"/>
    <x v="13"/>
    <n v="0.59"/>
    <n v="0.19"/>
    <x v="15"/>
    <n v="155"/>
    <x v="143"/>
  </r>
  <r>
    <n v="683"/>
    <x v="30"/>
    <x v="18"/>
    <x v="3"/>
    <x v="0"/>
    <x v="2"/>
    <x v="1"/>
    <x v="19"/>
    <x v="13"/>
    <n v="0.55000000000000004"/>
    <n v="0.22"/>
    <x v="0"/>
    <n v="153"/>
    <x v="167"/>
  </r>
  <r>
    <n v="684"/>
    <x v="30"/>
    <x v="19"/>
    <x v="3"/>
    <x v="0"/>
    <x v="2"/>
    <x v="0"/>
    <x v="20"/>
    <x v="11"/>
    <n v="0.61"/>
    <n v="0.1"/>
    <x v="0"/>
    <n v="108"/>
    <x v="168"/>
  </r>
  <r>
    <n v="685"/>
    <x v="30"/>
    <x v="20"/>
    <x v="3"/>
    <x v="0"/>
    <x v="2"/>
    <x v="2"/>
    <x v="16"/>
    <x v="13"/>
    <n v="0.59"/>
    <n v="0.16"/>
    <x v="3"/>
    <n v="78"/>
    <x v="53"/>
  </r>
  <r>
    <n v="686"/>
    <x v="30"/>
    <x v="21"/>
    <x v="3"/>
    <x v="0"/>
    <x v="2"/>
    <x v="2"/>
    <x v="3"/>
    <x v="13"/>
    <n v="0.59"/>
    <n v="0.09"/>
    <x v="0"/>
    <n v="53"/>
    <x v="10"/>
  </r>
  <r>
    <n v="687"/>
    <x v="30"/>
    <x v="22"/>
    <x v="3"/>
    <x v="0"/>
    <x v="2"/>
    <x v="1"/>
    <x v="17"/>
    <x v="13"/>
    <n v="0.59"/>
    <n v="0.1"/>
    <x v="3"/>
    <n v="34"/>
    <x v="19"/>
  </r>
  <r>
    <n v="688"/>
    <x v="30"/>
    <x v="23"/>
    <x v="3"/>
    <x v="0"/>
    <x v="2"/>
    <x v="1"/>
    <x v="3"/>
    <x v="13"/>
    <n v="0.64"/>
    <n v="0.09"/>
    <x v="4"/>
    <n v="15"/>
    <x v="22"/>
  </r>
  <r>
    <n v="689"/>
    <x v="31"/>
    <x v="0"/>
    <x v="0"/>
    <x v="0"/>
    <x v="3"/>
    <x v="1"/>
    <x v="17"/>
    <x v="13"/>
    <n v="0.64"/>
    <n v="0.1"/>
    <x v="4"/>
    <n v="6"/>
    <x v="7"/>
  </r>
  <r>
    <n v="690"/>
    <x v="31"/>
    <x v="1"/>
    <x v="0"/>
    <x v="0"/>
    <x v="3"/>
    <x v="1"/>
    <x v="17"/>
    <x v="13"/>
    <n v="0.69"/>
    <n v="0.1"/>
    <x v="3"/>
    <n v="3"/>
    <x v="6"/>
  </r>
  <r>
    <n v="691"/>
    <x v="31"/>
    <x v="2"/>
    <x v="0"/>
    <x v="0"/>
    <x v="3"/>
    <x v="1"/>
    <x v="11"/>
    <x v="13"/>
    <n v="0.69"/>
    <n v="0"/>
    <x v="3"/>
    <n v="2"/>
    <x v="5"/>
  </r>
  <r>
    <n v="692"/>
    <x v="31"/>
    <x v="3"/>
    <x v="0"/>
    <x v="0"/>
    <x v="3"/>
    <x v="1"/>
    <x v="11"/>
    <x v="13"/>
    <n v="0.69"/>
    <n v="0"/>
    <x v="3"/>
    <n v="2"/>
    <x v="5"/>
  </r>
  <r>
    <n v="693"/>
    <x v="31"/>
    <x v="5"/>
    <x v="0"/>
    <x v="0"/>
    <x v="3"/>
    <x v="2"/>
    <x v="12"/>
    <x v="14"/>
    <n v="0.93"/>
    <n v="0"/>
    <x v="3"/>
    <n v="3"/>
    <x v="6"/>
  </r>
  <r>
    <n v="694"/>
    <x v="31"/>
    <x v="6"/>
    <x v="1"/>
    <x v="0"/>
    <x v="3"/>
    <x v="2"/>
    <x v="12"/>
    <x v="14"/>
    <n v="0.93"/>
    <n v="0"/>
    <x v="3"/>
    <n v="22"/>
    <x v="34"/>
  </r>
  <r>
    <n v="695"/>
    <x v="31"/>
    <x v="7"/>
    <x v="1"/>
    <x v="0"/>
    <x v="3"/>
    <x v="2"/>
    <x v="11"/>
    <x v="13"/>
    <n v="0.93"/>
    <n v="0"/>
    <x v="3"/>
    <n v="52"/>
    <x v="46"/>
  </r>
  <r>
    <n v="696"/>
    <x v="31"/>
    <x v="8"/>
    <x v="1"/>
    <x v="0"/>
    <x v="3"/>
    <x v="2"/>
    <x v="11"/>
    <x v="13"/>
    <n v="0.93"/>
    <n v="0"/>
    <x v="0"/>
    <n v="132"/>
    <x v="169"/>
  </r>
  <r>
    <n v="697"/>
    <x v="31"/>
    <x v="9"/>
    <x v="1"/>
    <x v="0"/>
    <x v="3"/>
    <x v="1"/>
    <x v="11"/>
    <x v="13"/>
    <n v="0.93"/>
    <n v="0"/>
    <x v="4"/>
    <n v="114"/>
    <x v="155"/>
  </r>
  <r>
    <n v="698"/>
    <x v="31"/>
    <x v="10"/>
    <x v="1"/>
    <x v="0"/>
    <x v="3"/>
    <x v="1"/>
    <x v="11"/>
    <x v="13"/>
    <n v="0.93"/>
    <n v="0"/>
    <x v="3"/>
    <n v="47"/>
    <x v="105"/>
  </r>
  <r>
    <n v="699"/>
    <x v="31"/>
    <x v="11"/>
    <x v="1"/>
    <x v="0"/>
    <x v="3"/>
    <x v="1"/>
    <x v="18"/>
    <x v="15"/>
    <n v="0.86"/>
    <n v="0"/>
    <x v="4"/>
    <n v="49"/>
    <x v="41"/>
  </r>
  <r>
    <n v="700"/>
    <x v="31"/>
    <x v="12"/>
    <x v="2"/>
    <x v="0"/>
    <x v="3"/>
    <x v="1"/>
    <x v="2"/>
    <x v="2"/>
    <n v="0.86"/>
    <n v="0"/>
    <x v="4"/>
    <n v="53"/>
    <x v="97"/>
  </r>
  <r>
    <n v="701"/>
    <x v="31"/>
    <x v="13"/>
    <x v="2"/>
    <x v="0"/>
    <x v="3"/>
    <x v="1"/>
    <x v="2"/>
    <x v="2"/>
    <n v="0.86"/>
    <n v="0"/>
    <x v="0"/>
    <n v="49"/>
    <x v="46"/>
  </r>
  <r>
    <n v="702"/>
    <x v="31"/>
    <x v="14"/>
    <x v="2"/>
    <x v="0"/>
    <x v="3"/>
    <x v="1"/>
    <x v="2"/>
    <x v="1"/>
    <n v="0.8"/>
    <n v="0.09"/>
    <x v="2"/>
    <n v="49"/>
    <x v="60"/>
  </r>
  <r>
    <n v="703"/>
    <x v="31"/>
    <x v="15"/>
    <x v="2"/>
    <x v="0"/>
    <x v="3"/>
    <x v="1"/>
    <x v="0"/>
    <x v="0"/>
    <n v="0.75"/>
    <n v="0"/>
    <x v="18"/>
    <n v="45"/>
    <x v="46"/>
  </r>
  <r>
    <n v="704"/>
    <x v="31"/>
    <x v="16"/>
    <x v="2"/>
    <x v="0"/>
    <x v="3"/>
    <x v="1"/>
    <x v="18"/>
    <x v="0"/>
    <n v="0.75"/>
    <n v="0.13"/>
    <x v="0"/>
    <n v="61"/>
    <x v="37"/>
  </r>
  <r>
    <n v="705"/>
    <x v="31"/>
    <x v="17"/>
    <x v="2"/>
    <x v="0"/>
    <x v="3"/>
    <x v="1"/>
    <x v="0"/>
    <x v="0"/>
    <n v="0.75"/>
    <n v="0"/>
    <x v="17"/>
    <n v="172"/>
    <x v="170"/>
  </r>
  <r>
    <n v="706"/>
    <x v="31"/>
    <x v="18"/>
    <x v="3"/>
    <x v="0"/>
    <x v="3"/>
    <x v="1"/>
    <x v="2"/>
    <x v="0"/>
    <n v="0.81"/>
    <n v="0.1"/>
    <x v="0"/>
    <n v="165"/>
    <x v="171"/>
  </r>
  <r>
    <n v="707"/>
    <x v="31"/>
    <x v="19"/>
    <x v="3"/>
    <x v="0"/>
    <x v="3"/>
    <x v="1"/>
    <x v="18"/>
    <x v="0"/>
    <n v="0.81"/>
    <n v="0.13"/>
    <x v="0"/>
    <n v="105"/>
    <x v="159"/>
  </r>
  <r>
    <n v="708"/>
    <x v="31"/>
    <x v="20"/>
    <x v="3"/>
    <x v="0"/>
    <x v="3"/>
    <x v="1"/>
    <x v="11"/>
    <x v="1"/>
    <n v="0.87"/>
    <n v="0.13"/>
    <x v="2"/>
    <n v="69"/>
    <x v="30"/>
  </r>
  <r>
    <n v="709"/>
    <x v="31"/>
    <x v="21"/>
    <x v="3"/>
    <x v="0"/>
    <x v="3"/>
    <x v="1"/>
    <x v="11"/>
    <x v="1"/>
    <n v="0.87"/>
    <n v="0.13"/>
    <x v="3"/>
    <n v="64"/>
    <x v="37"/>
  </r>
  <r>
    <n v="710"/>
    <x v="31"/>
    <x v="22"/>
    <x v="3"/>
    <x v="0"/>
    <x v="3"/>
    <x v="1"/>
    <x v="2"/>
    <x v="1"/>
    <n v="0.87"/>
    <n v="0.09"/>
    <x v="4"/>
    <n v="34"/>
    <x v="9"/>
  </r>
  <r>
    <n v="711"/>
    <x v="31"/>
    <x v="23"/>
    <x v="3"/>
    <x v="0"/>
    <x v="3"/>
    <x v="2"/>
    <x v="3"/>
    <x v="2"/>
    <n v="0.93"/>
    <n v="0.19"/>
    <x v="5"/>
    <n v="15"/>
    <x v="0"/>
  </r>
  <r>
    <n v="712"/>
    <x v="32"/>
    <x v="0"/>
    <x v="0"/>
    <x v="0"/>
    <x v="4"/>
    <x v="2"/>
    <x v="18"/>
    <x v="1"/>
    <n v="0.93"/>
    <n v="0.1"/>
    <x v="3"/>
    <n v="2"/>
    <x v="5"/>
  </r>
  <r>
    <n v="713"/>
    <x v="32"/>
    <x v="1"/>
    <x v="0"/>
    <x v="0"/>
    <x v="4"/>
    <x v="2"/>
    <x v="11"/>
    <x v="1"/>
    <n v="0.93"/>
    <n v="0.19"/>
    <x v="3"/>
    <n v="3"/>
    <x v="6"/>
  </r>
  <r>
    <n v="714"/>
    <x v="32"/>
    <x v="2"/>
    <x v="0"/>
    <x v="0"/>
    <x v="4"/>
    <x v="2"/>
    <x v="11"/>
    <x v="1"/>
    <n v="0.93"/>
    <n v="0.13"/>
    <x v="17"/>
    <n v="0"/>
    <x v="48"/>
  </r>
  <r>
    <n v="715"/>
    <x v="32"/>
    <x v="3"/>
    <x v="0"/>
    <x v="0"/>
    <x v="4"/>
    <x v="2"/>
    <x v="11"/>
    <x v="1"/>
    <n v="0.93"/>
    <n v="0.13"/>
    <x v="3"/>
    <n v="1"/>
    <x v="4"/>
  </r>
  <r>
    <n v="716"/>
    <x v="32"/>
    <x v="4"/>
    <x v="0"/>
    <x v="0"/>
    <x v="4"/>
    <x v="2"/>
    <x v="12"/>
    <x v="1"/>
    <n v="0.93"/>
    <n v="0.28000000000000003"/>
    <x v="3"/>
    <n v="1"/>
    <x v="4"/>
  </r>
  <r>
    <n v="717"/>
    <x v="32"/>
    <x v="5"/>
    <x v="0"/>
    <x v="0"/>
    <x v="4"/>
    <x v="2"/>
    <x v="18"/>
    <x v="1"/>
    <n v="0.93"/>
    <n v="0.1"/>
    <x v="3"/>
    <n v="3"/>
    <x v="6"/>
  </r>
  <r>
    <n v="718"/>
    <x v="32"/>
    <x v="6"/>
    <x v="1"/>
    <x v="0"/>
    <x v="4"/>
    <x v="2"/>
    <x v="18"/>
    <x v="1"/>
    <n v="0.93"/>
    <n v="0.1"/>
    <x v="5"/>
    <n v="17"/>
    <x v="109"/>
  </r>
  <r>
    <n v="719"/>
    <x v="32"/>
    <x v="7"/>
    <x v="1"/>
    <x v="0"/>
    <x v="4"/>
    <x v="2"/>
    <x v="12"/>
    <x v="1"/>
    <n v="0.93"/>
    <n v="0.22"/>
    <x v="5"/>
    <n v="48"/>
    <x v="99"/>
  </r>
  <r>
    <n v="720"/>
    <x v="32"/>
    <x v="8"/>
    <x v="1"/>
    <x v="0"/>
    <x v="4"/>
    <x v="2"/>
    <x v="12"/>
    <x v="1"/>
    <n v="0.93"/>
    <n v="0.22"/>
    <x v="5"/>
    <n v="154"/>
    <x v="107"/>
  </r>
  <r>
    <n v="721"/>
    <x v="32"/>
    <x v="9"/>
    <x v="1"/>
    <x v="0"/>
    <x v="4"/>
    <x v="1"/>
    <x v="2"/>
    <x v="0"/>
    <n v="0.93"/>
    <n v="0.09"/>
    <x v="17"/>
    <n v="119"/>
    <x v="92"/>
  </r>
  <r>
    <n v="722"/>
    <x v="32"/>
    <x v="10"/>
    <x v="1"/>
    <x v="0"/>
    <x v="4"/>
    <x v="1"/>
    <x v="1"/>
    <x v="1"/>
    <n v="1"/>
    <n v="0"/>
    <x v="4"/>
    <n v="59"/>
    <x v="42"/>
  </r>
  <r>
    <n v="723"/>
    <x v="32"/>
    <x v="11"/>
    <x v="1"/>
    <x v="0"/>
    <x v="4"/>
    <x v="1"/>
    <x v="11"/>
    <x v="0"/>
    <n v="0.93"/>
    <n v="0.19"/>
    <x v="2"/>
    <n v="47"/>
    <x v="46"/>
  </r>
  <r>
    <n v="724"/>
    <x v="32"/>
    <x v="12"/>
    <x v="2"/>
    <x v="0"/>
    <x v="4"/>
    <x v="1"/>
    <x v="11"/>
    <x v="0"/>
    <n v="0.93"/>
    <n v="0.22"/>
    <x v="0"/>
    <n v="61"/>
    <x v="37"/>
  </r>
  <r>
    <n v="725"/>
    <x v="32"/>
    <x v="13"/>
    <x v="2"/>
    <x v="0"/>
    <x v="4"/>
    <x v="0"/>
    <x v="6"/>
    <x v="10"/>
    <n v="0.93"/>
    <n v="0.16"/>
    <x v="5"/>
    <n v="74"/>
    <x v="28"/>
  </r>
  <r>
    <n v="726"/>
    <x v="32"/>
    <x v="14"/>
    <x v="2"/>
    <x v="0"/>
    <x v="4"/>
    <x v="0"/>
    <x v="5"/>
    <x v="4"/>
    <n v="0.82"/>
    <n v="0.39"/>
    <x v="4"/>
    <n v="61"/>
    <x v="55"/>
  </r>
  <r>
    <n v="727"/>
    <x v="32"/>
    <x v="15"/>
    <x v="2"/>
    <x v="0"/>
    <x v="4"/>
    <x v="0"/>
    <x v="5"/>
    <x v="4"/>
    <n v="0.76"/>
    <n v="0.33"/>
    <x v="22"/>
    <n v="66"/>
    <x v="31"/>
  </r>
  <r>
    <n v="728"/>
    <x v="32"/>
    <x v="16"/>
    <x v="2"/>
    <x v="0"/>
    <x v="4"/>
    <x v="0"/>
    <x v="6"/>
    <x v="5"/>
    <n v="0.71"/>
    <n v="0.3"/>
    <x v="1"/>
    <n v="95"/>
    <x v="153"/>
  </r>
  <r>
    <n v="729"/>
    <x v="32"/>
    <x v="17"/>
    <x v="2"/>
    <x v="0"/>
    <x v="4"/>
    <x v="0"/>
    <x v="20"/>
    <x v="5"/>
    <n v="0.53"/>
    <n v="0.52"/>
    <x v="18"/>
    <n v="183"/>
    <x v="71"/>
  </r>
  <r>
    <n v="730"/>
    <x v="32"/>
    <x v="18"/>
    <x v="3"/>
    <x v="0"/>
    <x v="4"/>
    <x v="0"/>
    <x v="0"/>
    <x v="10"/>
    <n v="0.42"/>
    <n v="0.55000000000000004"/>
    <x v="18"/>
    <n v="175"/>
    <x v="58"/>
  </r>
  <r>
    <n v="731"/>
    <x v="32"/>
    <x v="19"/>
    <x v="3"/>
    <x v="0"/>
    <x v="4"/>
    <x v="0"/>
    <x v="18"/>
    <x v="17"/>
    <n v="0.45"/>
    <n v="0.49"/>
    <x v="0"/>
    <n v="88"/>
    <x v="134"/>
  </r>
  <r>
    <n v="732"/>
    <x v="32"/>
    <x v="20"/>
    <x v="3"/>
    <x v="0"/>
    <x v="4"/>
    <x v="0"/>
    <x v="3"/>
    <x v="0"/>
    <n v="0.48"/>
    <n v="0.55000000000000004"/>
    <x v="17"/>
    <n v="71"/>
    <x v="28"/>
  </r>
  <r>
    <n v="733"/>
    <x v="32"/>
    <x v="21"/>
    <x v="3"/>
    <x v="0"/>
    <x v="4"/>
    <x v="0"/>
    <x v="3"/>
    <x v="1"/>
    <n v="0.47"/>
    <n v="0.33"/>
    <x v="5"/>
    <n v="62"/>
    <x v="55"/>
  </r>
  <r>
    <n v="734"/>
    <x v="32"/>
    <x v="22"/>
    <x v="3"/>
    <x v="0"/>
    <x v="4"/>
    <x v="0"/>
    <x v="12"/>
    <x v="1"/>
    <n v="0.44"/>
    <n v="0.25"/>
    <x v="2"/>
    <n v="35"/>
    <x v="1"/>
  </r>
  <r>
    <n v="735"/>
    <x v="32"/>
    <x v="23"/>
    <x v="3"/>
    <x v="0"/>
    <x v="4"/>
    <x v="0"/>
    <x v="16"/>
    <x v="2"/>
    <n v="0.44"/>
    <n v="0.45"/>
    <x v="0"/>
    <n v="29"/>
    <x v="2"/>
  </r>
  <r>
    <n v="736"/>
    <x v="33"/>
    <x v="0"/>
    <x v="0"/>
    <x v="0"/>
    <x v="5"/>
    <x v="0"/>
    <x v="16"/>
    <x v="2"/>
    <n v="0.4"/>
    <n v="0.45"/>
    <x v="5"/>
    <n v="11"/>
    <x v="47"/>
  </r>
  <r>
    <n v="737"/>
    <x v="33"/>
    <x v="1"/>
    <x v="0"/>
    <x v="0"/>
    <x v="5"/>
    <x v="0"/>
    <x v="19"/>
    <x v="2"/>
    <n v="0.44"/>
    <n v="0.52"/>
    <x v="3"/>
    <n v="5"/>
    <x v="36"/>
  </r>
  <r>
    <n v="738"/>
    <x v="33"/>
    <x v="2"/>
    <x v="0"/>
    <x v="0"/>
    <x v="5"/>
    <x v="0"/>
    <x v="16"/>
    <x v="15"/>
    <n v="0.43"/>
    <n v="0.25"/>
    <x v="3"/>
    <n v="2"/>
    <x v="5"/>
  </r>
  <r>
    <n v="739"/>
    <x v="33"/>
    <x v="3"/>
    <x v="0"/>
    <x v="0"/>
    <x v="5"/>
    <x v="0"/>
    <x v="16"/>
    <x v="15"/>
    <n v="0.43"/>
    <n v="0.25"/>
    <x v="3"/>
    <n v="1"/>
    <x v="4"/>
  </r>
  <r>
    <n v="740"/>
    <x v="33"/>
    <x v="5"/>
    <x v="0"/>
    <x v="0"/>
    <x v="5"/>
    <x v="0"/>
    <x v="13"/>
    <x v="13"/>
    <n v="0.5"/>
    <n v="0.3"/>
    <x v="3"/>
    <n v="2"/>
    <x v="5"/>
  </r>
  <r>
    <n v="741"/>
    <x v="33"/>
    <x v="6"/>
    <x v="1"/>
    <x v="0"/>
    <x v="5"/>
    <x v="0"/>
    <x v="13"/>
    <x v="13"/>
    <n v="0.43"/>
    <n v="0.36"/>
    <x v="3"/>
    <n v="39"/>
    <x v="21"/>
  </r>
  <r>
    <n v="742"/>
    <x v="33"/>
    <x v="7"/>
    <x v="1"/>
    <x v="0"/>
    <x v="5"/>
    <x v="0"/>
    <x v="15"/>
    <x v="14"/>
    <n v="0.5"/>
    <n v="0.33"/>
    <x v="5"/>
    <n v="86"/>
    <x v="90"/>
  </r>
  <r>
    <n v="743"/>
    <x v="33"/>
    <x v="8"/>
    <x v="1"/>
    <x v="0"/>
    <x v="5"/>
    <x v="0"/>
    <x v="15"/>
    <x v="14"/>
    <n v="0.5"/>
    <n v="0.36"/>
    <x v="17"/>
    <n v="184"/>
    <x v="104"/>
  </r>
  <r>
    <n v="744"/>
    <x v="33"/>
    <x v="9"/>
    <x v="1"/>
    <x v="0"/>
    <x v="5"/>
    <x v="0"/>
    <x v="13"/>
    <x v="13"/>
    <n v="0.47"/>
    <n v="0.3"/>
    <x v="15"/>
    <n v="127"/>
    <x v="140"/>
  </r>
  <r>
    <n v="745"/>
    <x v="33"/>
    <x v="10"/>
    <x v="1"/>
    <x v="0"/>
    <x v="5"/>
    <x v="0"/>
    <x v="19"/>
    <x v="15"/>
    <n v="0.43"/>
    <n v="0.33"/>
    <x v="4"/>
    <n v="50"/>
    <x v="46"/>
  </r>
  <r>
    <n v="746"/>
    <x v="33"/>
    <x v="11"/>
    <x v="1"/>
    <x v="0"/>
    <x v="5"/>
    <x v="0"/>
    <x v="13"/>
    <x v="15"/>
    <n v="0.43"/>
    <n v="0.45"/>
    <x v="14"/>
    <n v="55"/>
    <x v="37"/>
  </r>
  <r>
    <n v="747"/>
    <x v="33"/>
    <x v="12"/>
    <x v="2"/>
    <x v="0"/>
    <x v="5"/>
    <x v="0"/>
    <x v="17"/>
    <x v="2"/>
    <n v="0.4"/>
    <n v="0.36"/>
    <x v="4"/>
    <n v="67"/>
    <x v="83"/>
  </r>
  <r>
    <n v="748"/>
    <x v="33"/>
    <x v="13"/>
    <x v="2"/>
    <x v="0"/>
    <x v="5"/>
    <x v="0"/>
    <x v="16"/>
    <x v="2"/>
    <n v="0.4"/>
    <n v="0.42"/>
    <x v="17"/>
    <n v="47"/>
    <x v="41"/>
  </r>
  <r>
    <n v="749"/>
    <x v="33"/>
    <x v="14"/>
    <x v="2"/>
    <x v="0"/>
    <x v="5"/>
    <x v="0"/>
    <x v="3"/>
    <x v="1"/>
    <n v="0.37"/>
    <n v="0.39"/>
    <x v="17"/>
    <n v="43"/>
    <x v="105"/>
  </r>
  <r>
    <n v="750"/>
    <x v="33"/>
    <x v="15"/>
    <x v="2"/>
    <x v="0"/>
    <x v="5"/>
    <x v="0"/>
    <x v="3"/>
    <x v="1"/>
    <n v="0.37"/>
    <n v="0.33"/>
    <x v="17"/>
    <n v="56"/>
    <x v="122"/>
  </r>
  <r>
    <n v="751"/>
    <x v="33"/>
    <x v="16"/>
    <x v="2"/>
    <x v="0"/>
    <x v="5"/>
    <x v="0"/>
    <x v="12"/>
    <x v="1"/>
    <n v="0.37"/>
    <n v="0.25"/>
    <x v="2"/>
    <n v="73"/>
    <x v="53"/>
  </r>
  <r>
    <n v="752"/>
    <x v="33"/>
    <x v="17"/>
    <x v="2"/>
    <x v="0"/>
    <x v="5"/>
    <x v="0"/>
    <x v="3"/>
    <x v="2"/>
    <n v="0.4"/>
    <n v="0.19"/>
    <x v="2"/>
    <n v="170"/>
    <x v="172"/>
  </r>
  <r>
    <n v="753"/>
    <x v="33"/>
    <x v="18"/>
    <x v="3"/>
    <x v="0"/>
    <x v="5"/>
    <x v="0"/>
    <x v="12"/>
    <x v="2"/>
    <n v="0.4"/>
    <n v="0.16"/>
    <x v="4"/>
    <n v="145"/>
    <x v="173"/>
  </r>
  <r>
    <n v="754"/>
    <x v="33"/>
    <x v="19"/>
    <x v="3"/>
    <x v="0"/>
    <x v="5"/>
    <x v="0"/>
    <x v="2"/>
    <x v="2"/>
    <n v="0.4"/>
    <n v="0"/>
    <x v="17"/>
    <n v="92"/>
    <x v="152"/>
  </r>
  <r>
    <n v="755"/>
    <x v="33"/>
    <x v="20"/>
    <x v="3"/>
    <x v="0"/>
    <x v="5"/>
    <x v="0"/>
    <x v="11"/>
    <x v="2"/>
    <n v="0.47"/>
    <n v="0.09"/>
    <x v="5"/>
    <n v="108"/>
    <x v="142"/>
  </r>
  <r>
    <n v="756"/>
    <x v="33"/>
    <x v="21"/>
    <x v="3"/>
    <x v="0"/>
    <x v="5"/>
    <x v="0"/>
    <x v="12"/>
    <x v="15"/>
    <n v="0.55000000000000004"/>
    <n v="0.1"/>
    <x v="5"/>
    <n v="53"/>
    <x v="60"/>
  </r>
  <r>
    <n v="757"/>
    <x v="33"/>
    <x v="22"/>
    <x v="3"/>
    <x v="0"/>
    <x v="5"/>
    <x v="0"/>
    <x v="12"/>
    <x v="15"/>
    <n v="0.51"/>
    <n v="0.09"/>
    <x v="4"/>
    <n v="39"/>
    <x v="102"/>
  </r>
  <r>
    <n v="758"/>
    <x v="33"/>
    <x v="23"/>
    <x v="3"/>
    <x v="0"/>
    <x v="5"/>
    <x v="0"/>
    <x v="11"/>
    <x v="2"/>
    <n v="0.47"/>
    <n v="0.1"/>
    <x v="17"/>
    <n v="34"/>
    <x v="103"/>
  </r>
  <r>
    <n v="759"/>
    <x v="34"/>
    <x v="0"/>
    <x v="0"/>
    <x v="0"/>
    <x v="6"/>
    <x v="1"/>
    <x v="2"/>
    <x v="2"/>
    <n v="0.44"/>
    <n v="0"/>
    <x v="0"/>
    <n v="10"/>
    <x v="3"/>
  </r>
  <r>
    <n v="760"/>
    <x v="34"/>
    <x v="1"/>
    <x v="0"/>
    <x v="0"/>
    <x v="6"/>
    <x v="1"/>
    <x v="11"/>
    <x v="13"/>
    <n v="0.59"/>
    <n v="0"/>
    <x v="3"/>
    <n v="7"/>
    <x v="85"/>
  </r>
  <r>
    <n v="761"/>
    <x v="34"/>
    <x v="2"/>
    <x v="0"/>
    <x v="0"/>
    <x v="6"/>
    <x v="1"/>
    <x v="16"/>
    <x v="14"/>
    <n v="0.63"/>
    <n v="0.1"/>
    <x v="3"/>
    <n v="1"/>
    <x v="4"/>
  </r>
  <r>
    <n v="762"/>
    <x v="34"/>
    <x v="3"/>
    <x v="0"/>
    <x v="0"/>
    <x v="6"/>
    <x v="1"/>
    <x v="16"/>
    <x v="14"/>
    <n v="0.63"/>
    <n v="0.1"/>
    <x v="3"/>
    <n v="1"/>
    <x v="4"/>
  </r>
  <r>
    <n v="763"/>
    <x v="34"/>
    <x v="5"/>
    <x v="0"/>
    <x v="0"/>
    <x v="6"/>
    <x v="1"/>
    <x v="19"/>
    <x v="14"/>
    <n v="0.63"/>
    <n v="0.13"/>
    <x v="3"/>
    <n v="7"/>
    <x v="85"/>
  </r>
  <r>
    <n v="764"/>
    <x v="34"/>
    <x v="6"/>
    <x v="1"/>
    <x v="0"/>
    <x v="6"/>
    <x v="1"/>
    <x v="11"/>
    <x v="13"/>
    <n v="0.55000000000000004"/>
    <n v="0"/>
    <x v="4"/>
    <n v="26"/>
    <x v="20"/>
  </r>
  <r>
    <n v="765"/>
    <x v="34"/>
    <x v="7"/>
    <x v="1"/>
    <x v="0"/>
    <x v="6"/>
    <x v="0"/>
    <x v="12"/>
    <x v="14"/>
    <n v="0.59"/>
    <n v="0"/>
    <x v="3"/>
    <n v="87"/>
    <x v="90"/>
  </r>
  <r>
    <n v="766"/>
    <x v="34"/>
    <x v="8"/>
    <x v="1"/>
    <x v="0"/>
    <x v="6"/>
    <x v="0"/>
    <x v="19"/>
    <x v="14"/>
    <n v="0.74"/>
    <n v="0.13"/>
    <x v="0"/>
    <n v="217"/>
    <x v="174"/>
  </r>
  <r>
    <n v="767"/>
    <x v="34"/>
    <x v="9"/>
    <x v="1"/>
    <x v="0"/>
    <x v="6"/>
    <x v="1"/>
    <x v="17"/>
    <x v="13"/>
    <n v="0.8"/>
    <n v="0.13"/>
    <x v="0"/>
    <n v="124"/>
    <x v="175"/>
  </r>
  <r>
    <n v="768"/>
    <x v="34"/>
    <x v="10"/>
    <x v="1"/>
    <x v="0"/>
    <x v="6"/>
    <x v="1"/>
    <x v="12"/>
    <x v="2"/>
    <n v="0.51"/>
    <n v="0.13"/>
    <x v="2"/>
    <n v="46"/>
    <x v="41"/>
  </r>
  <r>
    <n v="769"/>
    <x v="34"/>
    <x v="11"/>
    <x v="1"/>
    <x v="0"/>
    <x v="6"/>
    <x v="0"/>
    <x v="11"/>
    <x v="1"/>
    <n v="0.51"/>
    <n v="0.16"/>
    <x v="0"/>
    <n v="61"/>
    <x v="37"/>
  </r>
  <r>
    <n v="770"/>
    <x v="34"/>
    <x v="12"/>
    <x v="2"/>
    <x v="0"/>
    <x v="6"/>
    <x v="1"/>
    <x v="18"/>
    <x v="0"/>
    <n v="0.48"/>
    <n v="0.16"/>
    <x v="1"/>
    <n v="78"/>
    <x v="80"/>
  </r>
  <r>
    <n v="771"/>
    <x v="34"/>
    <x v="13"/>
    <x v="2"/>
    <x v="0"/>
    <x v="6"/>
    <x v="1"/>
    <x v="2"/>
    <x v="12"/>
    <n v="0.5"/>
    <n v="0.22"/>
    <x v="14"/>
    <n v="73"/>
    <x v="100"/>
  </r>
  <r>
    <n v="772"/>
    <x v="34"/>
    <x v="14"/>
    <x v="2"/>
    <x v="0"/>
    <x v="6"/>
    <x v="1"/>
    <x v="1"/>
    <x v="17"/>
    <n v="0.45"/>
    <n v="0.16"/>
    <x v="13"/>
    <n v="76"/>
    <x v="134"/>
  </r>
  <r>
    <n v="773"/>
    <x v="34"/>
    <x v="15"/>
    <x v="2"/>
    <x v="0"/>
    <x v="6"/>
    <x v="1"/>
    <x v="1"/>
    <x v="17"/>
    <n v="0.48"/>
    <n v="0.25"/>
    <x v="14"/>
    <n v="81"/>
    <x v="127"/>
  </r>
  <r>
    <n v="774"/>
    <x v="34"/>
    <x v="16"/>
    <x v="2"/>
    <x v="0"/>
    <x v="6"/>
    <x v="1"/>
    <x v="0"/>
    <x v="11"/>
    <n v="0.42"/>
    <n v="0.22"/>
    <x v="1"/>
    <n v="91"/>
    <x v="111"/>
  </r>
  <r>
    <n v="775"/>
    <x v="34"/>
    <x v="17"/>
    <x v="2"/>
    <x v="0"/>
    <x v="6"/>
    <x v="1"/>
    <x v="1"/>
    <x v="12"/>
    <n v="0.56000000000000005"/>
    <n v="0.13"/>
    <x v="22"/>
    <n v="195"/>
    <x v="176"/>
  </r>
  <r>
    <n v="776"/>
    <x v="34"/>
    <x v="18"/>
    <x v="3"/>
    <x v="0"/>
    <x v="6"/>
    <x v="1"/>
    <x v="2"/>
    <x v="0"/>
    <n v="0.6"/>
    <n v="0.1"/>
    <x v="0"/>
    <n v="152"/>
    <x v="107"/>
  </r>
  <r>
    <n v="777"/>
    <x v="34"/>
    <x v="19"/>
    <x v="3"/>
    <x v="0"/>
    <x v="6"/>
    <x v="1"/>
    <x v="18"/>
    <x v="0"/>
    <n v="0.65"/>
    <n v="0.13"/>
    <x v="5"/>
    <n v="102"/>
    <x v="153"/>
  </r>
  <r>
    <n v="778"/>
    <x v="34"/>
    <x v="20"/>
    <x v="3"/>
    <x v="0"/>
    <x v="6"/>
    <x v="1"/>
    <x v="18"/>
    <x v="0"/>
    <n v="0.65"/>
    <n v="0.16"/>
    <x v="4"/>
    <n v="69"/>
    <x v="68"/>
  </r>
  <r>
    <n v="779"/>
    <x v="34"/>
    <x v="21"/>
    <x v="3"/>
    <x v="0"/>
    <x v="6"/>
    <x v="1"/>
    <x v="18"/>
    <x v="0"/>
    <n v="0.7"/>
    <n v="0.16"/>
    <x v="4"/>
    <n v="41"/>
    <x v="74"/>
  </r>
  <r>
    <n v="780"/>
    <x v="34"/>
    <x v="22"/>
    <x v="3"/>
    <x v="0"/>
    <x v="6"/>
    <x v="1"/>
    <x v="18"/>
    <x v="0"/>
    <n v="0.65"/>
    <n v="0.16"/>
    <x v="5"/>
    <n v="45"/>
    <x v="66"/>
  </r>
  <r>
    <n v="781"/>
    <x v="34"/>
    <x v="23"/>
    <x v="3"/>
    <x v="0"/>
    <x v="6"/>
    <x v="1"/>
    <x v="18"/>
    <x v="0"/>
    <n v="0.7"/>
    <n v="0.13"/>
    <x v="5"/>
    <n v="30"/>
    <x v="35"/>
  </r>
  <r>
    <n v="782"/>
    <x v="35"/>
    <x v="0"/>
    <x v="0"/>
    <x v="0"/>
    <x v="0"/>
    <x v="1"/>
    <x v="18"/>
    <x v="0"/>
    <n v="0.7"/>
    <n v="0.16"/>
    <x v="0"/>
    <n v="36"/>
    <x v="21"/>
  </r>
  <r>
    <n v="783"/>
    <x v="35"/>
    <x v="1"/>
    <x v="0"/>
    <x v="0"/>
    <x v="0"/>
    <x v="1"/>
    <x v="18"/>
    <x v="0"/>
    <n v="0.65"/>
    <n v="0.16"/>
    <x v="5"/>
    <n v="17"/>
    <x v="109"/>
  </r>
  <r>
    <n v="784"/>
    <x v="35"/>
    <x v="2"/>
    <x v="0"/>
    <x v="0"/>
    <x v="0"/>
    <x v="1"/>
    <x v="18"/>
    <x v="0"/>
    <n v="0.75"/>
    <n v="0.16"/>
    <x v="2"/>
    <n v="12"/>
    <x v="22"/>
  </r>
  <r>
    <n v="785"/>
    <x v="35"/>
    <x v="3"/>
    <x v="0"/>
    <x v="0"/>
    <x v="0"/>
    <x v="1"/>
    <x v="18"/>
    <x v="0"/>
    <n v="0.75"/>
    <n v="0.16"/>
    <x v="5"/>
    <n v="10"/>
    <x v="62"/>
  </r>
  <r>
    <n v="786"/>
    <x v="35"/>
    <x v="4"/>
    <x v="0"/>
    <x v="0"/>
    <x v="0"/>
    <x v="2"/>
    <x v="11"/>
    <x v="1"/>
    <n v="0.93"/>
    <n v="0.13"/>
    <x v="3"/>
    <n v="8"/>
    <x v="7"/>
  </r>
  <r>
    <n v="787"/>
    <x v="35"/>
    <x v="5"/>
    <x v="0"/>
    <x v="0"/>
    <x v="0"/>
    <x v="2"/>
    <x v="11"/>
    <x v="2"/>
    <n v="1"/>
    <n v="0.09"/>
    <x v="3"/>
    <n v="9"/>
    <x v="23"/>
  </r>
  <r>
    <n v="788"/>
    <x v="35"/>
    <x v="6"/>
    <x v="1"/>
    <x v="0"/>
    <x v="0"/>
    <x v="2"/>
    <x v="2"/>
    <x v="2"/>
    <n v="1"/>
    <n v="0"/>
    <x v="3"/>
    <n v="4"/>
    <x v="48"/>
  </r>
  <r>
    <n v="789"/>
    <x v="35"/>
    <x v="7"/>
    <x v="1"/>
    <x v="0"/>
    <x v="0"/>
    <x v="2"/>
    <x v="2"/>
    <x v="1"/>
    <n v="0.93"/>
    <n v="0.09"/>
    <x v="3"/>
    <n v="4"/>
    <x v="48"/>
  </r>
  <r>
    <n v="790"/>
    <x v="35"/>
    <x v="8"/>
    <x v="1"/>
    <x v="0"/>
    <x v="0"/>
    <x v="2"/>
    <x v="11"/>
    <x v="2"/>
    <n v="1"/>
    <n v="0.09"/>
    <x v="3"/>
    <n v="10"/>
    <x v="98"/>
  </r>
  <r>
    <n v="791"/>
    <x v="35"/>
    <x v="9"/>
    <x v="1"/>
    <x v="0"/>
    <x v="0"/>
    <x v="2"/>
    <x v="11"/>
    <x v="2"/>
    <n v="1"/>
    <n v="0.09"/>
    <x v="0"/>
    <n v="17"/>
    <x v="25"/>
  </r>
  <r>
    <n v="792"/>
    <x v="35"/>
    <x v="10"/>
    <x v="1"/>
    <x v="0"/>
    <x v="0"/>
    <x v="2"/>
    <x v="12"/>
    <x v="2"/>
    <n v="1"/>
    <n v="0.13"/>
    <x v="0"/>
    <n v="31"/>
    <x v="19"/>
  </r>
  <r>
    <n v="793"/>
    <x v="35"/>
    <x v="11"/>
    <x v="1"/>
    <x v="0"/>
    <x v="0"/>
    <x v="2"/>
    <x v="11"/>
    <x v="1"/>
    <n v="1"/>
    <n v="0.13"/>
    <x v="5"/>
    <n v="46"/>
    <x v="105"/>
  </r>
  <r>
    <n v="794"/>
    <x v="35"/>
    <x v="12"/>
    <x v="2"/>
    <x v="0"/>
    <x v="0"/>
    <x v="2"/>
    <x v="11"/>
    <x v="1"/>
    <n v="1"/>
    <n v="0.16"/>
    <x v="22"/>
    <n v="42"/>
    <x v="46"/>
  </r>
  <r>
    <n v="795"/>
    <x v="35"/>
    <x v="13"/>
    <x v="2"/>
    <x v="0"/>
    <x v="0"/>
    <x v="2"/>
    <x v="11"/>
    <x v="1"/>
    <n v="1"/>
    <n v="0.16"/>
    <x v="22"/>
    <n v="62"/>
    <x v="44"/>
  </r>
  <r>
    <n v="796"/>
    <x v="35"/>
    <x v="14"/>
    <x v="2"/>
    <x v="0"/>
    <x v="0"/>
    <x v="2"/>
    <x v="1"/>
    <x v="1"/>
    <n v="1"/>
    <n v="0"/>
    <x v="2"/>
    <n v="50"/>
    <x v="97"/>
  </r>
  <r>
    <n v="797"/>
    <x v="35"/>
    <x v="15"/>
    <x v="2"/>
    <x v="0"/>
    <x v="0"/>
    <x v="2"/>
    <x v="1"/>
    <x v="1"/>
    <n v="1"/>
    <n v="0"/>
    <x v="16"/>
    <n v="49"/>
    <x v="122"/>
  </r>
  <r>
    <n v="798"/>
    <x v="35"/>
    <x v="16"/>
    <x v="2"/>
    <x v="0"/>
    <x v="0"/>
    <x v="2"/>
    <x v="11"/>
    <x v="1"/>
    <n v="1"/>
    <n v="0.13"/>
    <x v="1"/>
    <n v="63"/>
    <x v="68"/>
  </r>
  <r>
    <n v="799"/>
    <x v="35"/>
    <x v="17"/>
    <x v="2"/>
    <x v="0"/>
    <x v="0"/>
    <x v="1"/>
    <x v="12"/>
    <x v="0"/>
    <n v="1"/>
    <n v="0.28000000000000003"/>
    <x v="24"/>
    <n v="64"/>
    <x v="53"/>
  </r>
  <r>
    <n v="800"/>
    <x v="35"/>
    <x v="18"/>
    <x v="3"/>
    <x v="0"/>
    <x v="0"/>
    <x v="1"/>
    <x v="18"/>
    <x v="17"/>
    <n v="0.93"/>
    <n v="0.45"/>
    <x v="4"/>
    <n v="81"/>
    <x v="56"/>
  </r>
  <r>
    <n v="801"/>
    <x v="35"/>
    <x v="19"/>
    <x v="3"/>
    <x v="0"/>
    <x v="0"/>
    <x v="1"/>
    <x v="18"/>
    <x v="17"/>
    <n v="0.93"/>
    <n v="0.45"/>
    <x v="15"/>
    <n v="78"/>
    <x v="11"/>
  </r>
  <r>
    <n v="802"/>
    <x v="35"/>
    <x v="20"/>
    <x v="3"/>
    <x v="0"/>
    <x v="0"/>
    <x v="0"/>
    <x v="0"/>
    <x v="11"/>
    <n v="0.87"/>
    <n v="0.25"/>
    <x v="2"/>
    <n v="64"/>
    <x v="83"/>
  </r>
  <r>
    <n v="803"/>
    <x v="35"/>
    <x v="21"/>
    <x v="3"/>
    <x v="0"/>
    <x v="0"/>
    <x v="0"/>
    <x v="2"/>
    <x v="12"/>
    <n v="1"/>
    <n v="0.19"/>
    <x v="0"/>
    <n v="53"/>
    <x v="10"/>
  </r>
  <r>
    <n v="804"/>
    <x v="35"/>
    <x v="22"/>
    <x v="3"/>
    <x v="0"/>
    <x v="0"/>
    <x v="0"/>
    <x v="1"/>
    <x v="12"/>
    <n v="0.93"/>
    <n v="0.13"/>
    <x v="4"/>
    <n v="43"/>
    <x v="79"/>
  </r>
  <r>
    <n v="805"/>
    <x v="35"/>
    <x v="23"/>
    <x v="3"/>
    <x v="0"/>
    <x v="0"/>
    <x v="0"/>
    <x v="2"/>
    <x v="12"/>
    <n v="0.93"/>
    <n v="0.22"/>
    <x v="18"/>
    <n v="52"/>
    <x v="29"/>
  </r>
  <r>
    <n v="806"/>
    <x v="36"/>
    <x v="0"/>
    <x v="0"/>
    <x v="0"/>
    <x v="1"/>
    <x v="0"/>
    <x v="2"/>
    <x v="12"/>
    <n v="0.7"/>
    <n v="0.19"/>
    <x v="4"/>
    <n v="37"/>
    <x v="21"/>
  </r>
  <r>
    <n v="807"/>
    <x v="36"/>
    <x v="1"/>
    <x v="0"/>
    <x v="0"/>
    <x v="1"/>
    <x v="0"/>
    <x v="11"/>
    <x v="12"/>
    <n v="0.65"/>
    <n v="0.42"/>
    <x v="17"/>
    <n v="40"/>
    <x v="40"/>
  </r>
  <r>
    <n v="808"/>
    <x v="36"/>
    <x v="2"/>
    <x v="0"/>
    <x v="0"/>
    <x v="1"/>
    <x v="0"/>
    <x v="11"/>
    <x v="12"/>
    <n v="0.6"/>
    <n v="0.33"/>
    <x v="3"/>
    <n v="20"/>
    <x v="25"/>
  </r>
  <r>
    <n v="809"/>
    <x v="36"/>
    <x v="3"/>
    <x v="0"/>
    <x v="0"/>
    <x v="1"/>
    <x v="0"/>
    <x v="0"/>
    <x v="12"/>
    <n v="0.6"/>
    <n v="0.09"/>
    <x v="0"/>
    <n v="10"/>
    <x v="3"/>
  </r>
  <r>
    <n v="810"/>
    <x v="36"/>
    <x v="4"/>
    <x v="0"/>
    <x v="0"/>
    <x v="1"/>
    <x v="0"/>
    <x v="11"/>
    <x v="12"/>
    <n v="0.6"/>
    <n v="0.36"/>
    <x v="3"/>
    <n v="2"/>
    <x v="5"/>
  </r>
  <r>
    <n v="811"/>
    <x v="36"/>
    <x v="5"/>
    <x v="0"/>
    <x v="0"/>
    <x v="1"/>
    <x v="0"/>
    <x v="2"/>
    <x v="12"/>
    <n v="0.6"/>
    <n v="0.22"/>
    <x v="3"/>
    <n v="1"/>
    <x v="4"/>
  </r>
  <r>
    <n v="812"/>
    <x v="36"/>
    <x v="6"/>
    <x v="1"/>
    <x v="0"/>
    <x v="1"/>
    <x v="0"/>
    <x v="2"/>
    <x v="12"/>
    <n v="0.6"/>
    <n v="0.22"/>
    <x v="3"/>
    <n v="1"/>
    <x v="4"/>
  </r>
  <r>
    <n v="813"/>
    <x v="36"/>
    <x v="7"/>
    <x v="1"/>
    <x v="0"/>
    <x v="1"/>
    <x v="0"/>
    <x v="18"/>
    <x v="0"/>
    <n v="0.65"/>
    <n v="0.16"/>
    <x v="3"/>
    <n v="8"/>
    <x v="7"/>
  </r>
  <r>
    <n v="814"/>
    <x v="36"/>
    <x v="8"/>
    <x v="1"/>
    <x v="0"/>
    <x v="1"/>
    <x v="0"/>
    <x v="2"/>
    <x v="0"/>
    <n v="0.65"/>
    <n v="0.1"/>
    <x v="4"/>
    <n v="21"/>
    <x v="84"/>
  </r>
  <r>
    <n v="815"/>
    <x v="36"/>
    <x v="9"/>
    <x v="1"/>
    <x v="0"/>
    <x v="1"/>
    <x v="0"/>
    <x v="0"/>
    <x v="17"/>
    <n v="0.56000000000000005"/>
    <n v="0.1"/>
    <x v="18"/>
    <n v="38"/>
    <x v="79"/>
  </r>
  <r>
    <n v="816"/>
    <x v="36"/>
    <x v="10"/>
    <x v="1"/>
    <x v="0"/>
    <x v="1"/>
    <x v="0"/>
    <x v="0"/>
    <x v="11"/>
    <n v="0.52"/>
    <n v="0.25"/>
    <x v="13"/>
    <n v="74"/>
    <x v="70"/>
  </r>
  <r>
    <n v="817"/>
    <x v="36"/>
    <x v="11"/>
    <x v="1"/>
    <x v="0"/>
    <x v="1"/>
    <x v="0"/>
    <x v="24"/>
    <x v="3"/>
    <n v="0.49"/>
    <n v="0.25"/>
    <x v="32"/>
    <n v="89"/>
    <x v="126"/>
  </r>
  <r>
    <n v="818"/>
    <x v="36"/>
    <x v="12"/>
    <x v="2"/>
    <x v="0"/>
    <x v="1"/>
    <x v="0"/>
    <x v="6"/>
    <x v="10"/>
    <n v="0.46"/>
    <n v="0"/>
    <x v="33"/>
    <n v="126"/>
    <x v="177"/>
  </r>
  <r>
    <n v="819"/>
    <x v="36"/>
    <x v="13"/>
    <x v="2"/>
    <x v="0"/>
    <x v="1"/>
    <x v="0"/>
    <x v="29"/>
    <x v="10"/>
    <n v="0.46"/>
    <n v="0"/>
    <x v="9"/>
    <n v="135"/>
    <x v="58"/>
  </r>
  <r>
    <n v="820"/>
    <x v="36"/>
    <x v="14"/>
    <x v="2"/>
    <x v="0"/>
    <x v="1"/>
    <x v="0"/>
    <x v="4"/>
    <x v="10"/>
    <n v="0.46"/>
    <n v="0.09"/>
    <x v="9"/>
    <n v="114"/>
    <x v="143"/>
  </r>
  <r>
    <n v="821"/>
    <x v="36"/>
    <x v="15"/>
    <x v="2"/>
    <x v="0"/>
    <x v="1"/>
    <x v="0"/>
    <x v="4"/>
    <x v="10"/>
    <n v="0.46"/>
    <n v="0.09"/>
    <x v="34"/>
    <n v="130"/>
    <x v="58"/>
  </r>
  <r>
    <n v="822"/>
    <x v="36"/>
    <x v="16"/>
    <x v="2"/>
    <x v="0"/>
    <x v="1"/>
    <x v="0"/>
    <x v="4"/>
    <x v="10"/>
    <n v="0.49"/>
    <n v="0.1"/>
    <x v="35"/>
    <n v="115"/>
    <x v="45"/>
  </r>
  <r>
    <n v="823"/>
    <x v="36"/>
    <x v="17"/>
    <x v="2"/>
    <x v="0"/>
    <x v="1"/>
    <x v="0"/>
    <x v="29"/>
    <x v="10"/>
    <n v="0.46"/>
    <n v="0"/>
    <x v="31"/>
    <n v="97"/>
    <x v="178"/>
  </r>
  <r>
    <n v="824"/>
    <x v="36"/>
    <x v="18"/>
    <x v="3"/>
    <x v="0"/>
    <x v="1"/>
    <x v="0"/>
    <x v="24"/>
    <x v="11"/>
    <n v="0.56000000000000005"/>
    <n v="0.16"/>
    <x v="23"/>
    <n v="65"/>
    <x v="53"/>
  </r>
  <r>
    <n v="825"/>
    <x v="36"/>
    <x v="19"/>
    <x v="3"/>
    <x v="0"/>
    <x v="1"/>
    <x v="0"/>
    <x v="0"/>
    <x v="17"/>
    <n v="0.61"/>
    <n v="0.13"/>
    <x v="5"/>
    <n v="20"/>
    <x v="137"/>
  </r>
  <r>
    <n v="826"/>
    <x v="36"/>
    <x v="20"/>
    <x v="3"/>
    <x v="0"/>
    <x v="1"/>
    <x v="0"/>
    <x v="0"/>
    <x v="17"/>
    <n v="0.61"/>
    <n v="0.1"/>
    <x v="2"/>
    <n v="21"/>
    <x v="132"/>
  </r>
  <r>
    <n v="827"/>
    <x v="36"/>
    <x v="21"/>
    <x v="3"/>
    <x v="0"/>
    <x v="1"/>
    <x v="0"/>
    <x v="24"/>
    <x v="12"/>
    <n v="0.6"/>
    <n v="0"/>
    <x v="2"/>
    <n v="22"/>
    <x v="110"/>
  </r>
  <r>
    <n v="828"/>
    <x v="36"/>
    <x v="22"/>
    <x v="3"/>
    <x v="0"/>
    <x v="1"/>
    <x v="0"/>
    <x v="24"/>
    <x v="12"/>
    <n v="0.6"/>
    <n v="0"/>
    <x v="2"/>
    <n v="57"/>
    <x v="69"/>
  </r>
  <r>
    <n v="829"/>
    <x v="36"/>
    <x v="23"/>
    <x v="3"/>
    <x v="0"/>
    <x v="1"/>
    <x v="0"/>
    <x v="0"/>
    <x v="0"/>
    <n v="0.65"/>
    <n v="0"/>
    <x v="17"/>
    <n v="26"/>
    <x v="33"/>
  </r>
  <r>
    <n v="830"/>
    <x v="37"/>
    <x v="0"/>
    <x v="0"/>
    <x v="0"/>
    <x v="2"/>
    <x v="0"/>
    <x v="0"/>
    <x v="0"/>
    <n v="0.65"/>
    <n v="0"/>
    <x v="5"/>
    <n v="14"/>
    <x v="93"/>
  </r>
  <r>
    <n v="831"/>
    <x v="37"/>
    <x v="1"/>
    <x v="0"/>
    <x v="0"/>
    <x v="2"/>
    <x v="0"/>
    <x v="1"/>
    <x v="1"/>
    <n v="0.75"/>
    <n v="0"/>
    <x v="5"/>
    <n v="4"/>
    <x v="36"/>
  </r>
  <r>
    <n v="832"/>
    <x v="37"/>
    <x v="2"/>
    <x v="0"/>
    <x v="0"/>
    <x v="2"/>
    <x v="0"/>
    <x v="2"/>
    <x v="2"/>
    <n v="0.8"/>
    <n v="0"/>
    <x v="3"/>
    <n v="3"/>
    <x v="6"/>
  </r>
  <r>
    <n v="833"/>
    <x v="37"/>
    <x v="3"/>
    <x v="0"/>
    <x v="0"/>
    <x v="2"/>
    <x v="0"/>
    <x v="2"/>
    <x v="2"/>
    <n v="0.86"/>
    <n v="0"/>
    <x v="3"/>
    <n v="1"/>
    <x v="4"/>
  </r>
  <r>
    <n v="834"/>
    <x v="37"/>
    <x v="4"/>
    <x v="0"/>
    <x v="0"/>
    <x v="2"/>
    <x v="0"/>
    <x v="2"/>
    <x v="2"/>
    <n v="0.86"/>
    <n v="0"/>
    <x v="5"/>
    <n v="1"/>
    <x v="5"/>
  </r>
  <r>
    <n v="835"/>
    <x v="37"/>
    <x v="5"/>
    <x v="0"/>
    <x v="0"/>
    <x v="2"/>
    <x v="0"/>
    <x v="2"/>
    <x v="2"/>
    <n v="0.86"/>
    <n v="0"/>
    <x v="5"/>
    <n v="9"/>
    <x v="98"/>
  </r>
  <r>
    <n v="836"/>
    <x v="37"/>
    <x v="6"/>
    <x v="1"/>
    <x v="0"/>
    <x v="2"/>
    <x v="0"/>
    <x v="18"/>
    <x v="15"/>
    <n v="0.93"/>
    <n v="0"/>
    <x v="5"/>
    <n v="29"/>
    <x v="33"/>
  </r>
  <r>
    <n v="837"/>
    <x v="37"/>
    <x v="7"/>
    <x v="1"/>
    <x v="0"/>
    <x v="2"/>
    <x v="0"/>
    <x v="18"/>
    <x v="15"/>
    <n v="0.86"/>
    <n v="0"/>
    <x v="15"/>
    <n v="89"/>
    <x v="76"/>
  </r>
  <r>
    <n v="838"/>
    <x v="37"/>
    <x v="8"/>
    <x v="1"/>
    <x v="0"/>
    <x v="2"/>
    <x v="1"/>
    <x v="11"/>
    <x v="13"/>
    <n v="1"/>
    <n v="0"/>
    <x v="18"/>
    <n v="223"/>
    <x v="179"/>
  </r>
  <r>
    <n v="839"/>
    <x v="37"/>
    <x v="9"/>
    <x v="1"/>
    <x v="0"/>
    <x v="2"/>
    <x v="0"/>
    <x v="1"/>
    <x v="1"/>
    <n v="0.8"/>
    <n v="0"/>
    <x v="0"/>
    <n v="115"/>
    <x v="130"/>
  </r>
  <r>
    <n v="840"/>
    <x v="37"/>
    <x v="10"/>
    <x v="1"/>
    <x v="0"/>
    <x v="2"/>
    <x v="0"/>
    <x v="2"/>
    <x v="0"/>
    <n v="0.75"/>
    <n v="0.1"/>
    <x v="15"/>
    <n v="49"/>
    <x v="97"/>
  </r>
  <r>
    <n v="841"/>
    <x v="37"/>
    <x v="11"/>
    <x v="1"/>
    <x v="0"/>
    <x v="2"/>
    <x v="0"/>
    <x v="20"/>
    <x v="11"/>
    <n v="0.65"/>
    <n v="0.09"/>
    <x v="16"/>
    <n v="36"/>
    <x v="105"/>
  </r>
  <r>
    <n v="842"/>
    <x v="37"/>
    <x v="12"/>
    <x v="2"/>
    <x v="0"/>
    <x v="2"/>
    <x v="1"/>
    <x v="4"/>
    <x v="3"/>
    <n v="0.62"/>
    <n v="0"/>
    <x v="18"/>
    <n v="59"/>
    <x v="180"/>
  </r>
  <r>
    <n v="843"/>
    <x v="37"/>
    <x v="13"/>
    <x v="2"/>
    <x v="0"/>
    <x v="2"/>
    <x v="1"/>
    <x v="29"/>
    <x v="5"/>
    <n v="0.56999999999999995"/>
    <n v="0.09"/>
    <x v="22"/>
    <n v="54"/>
    <x v="37"/>
  </r>
  <r>
    <n v="844"/>
    <x v="37"/>
    <x v="14"/>
    <x v="2"/>
    <x v="0"/>
    <x v="2"/>
    <x v="1"/>
    <x v="29"/>
    <x v="5"/>
    <n v="0.56999999999999995"/>
    <n v="0.09"/>
    <x v="1"/>
    <n v="52"/>
    <x v="122"/>
  </r>
  <r>
    <n v="845"/>
    <x v="37"/>
    <x v="15"/>
    <x v="2"/>
    <x v="0"/>
    <x v="2"/>
    <x v="1"/>
    <x v="5"/>
    <x v="4"/>
    <n v="0.54"/>
    <n v="0.09"/>
    <x v="17"/>
    <n v="46"/>
    <x v="89"/>
  </r>
  <r>
    <n v="846"/>
    <x v="37"/>
    <x v="16"/>
    <x v="2"/>
    <x v="0"/>
    <x v="2"/>
    <x v="1"/>
    <x v="4"/>
    <x v="5"/>
    <n v="0.56999999999999995"/>
    <n v="0.13"/>
    <x v="19"/>
    <n v="98"/>
    <x v="181"/>
  </r>
  <r>
    <n v="847"/>
    <x v="37"/>
    <x v="17"/>
    <x v="2"/>
    <x v="0"/>
    <x v="2"/>
    <x v="1"/>
    <x v="20"/>
    <x v="3"/>
    <n v="0.7"/>
    <n v="0.16"/>
    <x v="14"/>
    <n v="207"/>
    <x v="182"/>
  </r>
  <r>
    <n v="848"/>
    <x v="37"/>
    <x v="18"/>
    <x v="3"/>
    <x v="0"/>
    <x v="2"/>
    <x v="1"/>
    <x v="6"/>
    <x v="10"/>
    <n v="0.66"/>
    <n v="0.13"/>
    <x v="2"/>
    <n v="170"/>
    <x v="172"/>
  </r>
  <r>
    <n v="849"/>
    <x v="37"/>
    <x v="19"/>
    <x v="3"/>
    <x v="0"/>
    <x v="2"/>
    <x v="1"/>
    <x v="4"/>
    <x v="3"/>
    <n v="0.7"/>
    <n v="0"/>
    <x v="2"/>
    <n v="123"/>
    <x v="116"/>
  </r>
  <r>
    <n v="850"/>
    <x v="37"/>
    <x v="20"/>
    <x v="3"/>
    <x v="0"/>
    <x v="2"/>
    <x v="1"/>
    <x v="6"/>
    <x v="3"/>
    <n v="0.7"/>
    <n v="0.1"/>
    <x v="15"/>
    <n v="82"/>
    <x v="39"/>
  </r>
  <r>
    <n v="851"/>
    <x v="37"/>
    <x v="21"/>
    <x v="3"/>
    <x v="0"/>
    <x v="2"/>
    <x v="0"/>
    <x v="4"/>
    <x v="3"/>
    <n v="0.7"/>
    <n v="0"/>
    <x v="0"/>
    <n v="75"/>
    <x v="53"/>
  </r>
  <r>
    <n v="852"/>
    <x v="37"/>
    <x v="22"/>
    <x v="3"/>
    <x v="0"/>
    <x v="2"/>
    <x v="0"/>
    <x v="24"/>
    <x v="17"/>
    <n v="0.81"/>
    <n v="0.09"/>
    <x v="0"/>
    <n v="34"/>
    <x v="18"/>
  </r>
  <r>
    <n v="853"/>
    <x v="37"/>
    <x v="23"/>
    <x v="3"/>
    <x v="0"/>
    <x v="2"/>
    <x v="1"/>
    <x v="6"/>
    <x v="11"/>
    <n v="0.81"/>
    <n v="0"/>
    <x v="15"/>
    <n v="19"/>
    <x v="94"/>
  </r>
  <r>
    <n v="854"/>
    <x v="38"/>
    <x v="0"/>
    <x v="0"/>
    <x v="0"/>
    <x v="3"/>
    <x v="1"/>
    <x v="20"/>
    <x v="17"/>
    <n v="0.87"/>
    <n v="0"/>
    <x v="17"/>
    <n v="6"/>
    <x v="98"/>
  </r>
  <r>
    <n v="855"/>
    <x v="38"/>
    <x v="1"/>
    <x v="0"/>
    <x v="0"/>
    <x v="3"/>
    <x v="1"/>
    <x v="20"/>
    <x v="17"/>
    <n v="0.87"/>
    <n v="0"/>
    <x v="3"/>
    <n v="4"/>
    <x v="48"/>
  </r>
  <r>
    <n v="856"/>
    <x v="38"/>
    <x v="2"/>
    <x v="0"/>
    <x v="0"/>
    <x v="3"/>
    <x v="1"/>
    <x v="1"/>
    <x v="12"/>
    <n v="0.93"/>
    <n v="0.1"/>
    <x v="5"/>
    <n v="1"/>
    <x v="5"/>
  </r>
  <r>
    <n v="857"/>
    <x v="38"/>
    <x v="3"/>
    <x v="0"/>
    <x v="0"/>
    <x v="3"/>
    <x v="2"/>
    <x v="1"/>
    <x v="17"/>
    <n v="0.93"/>
    <n v="0.16"/>
    <x v="3"/>
    <n v="1"/>
    <x v="4"/>
  </r>
  <r>
    <n v="858"/>
    <x v="38"/>
    <x v="4"/>
    <x v="0"/>
    <x v="0"/>
    <x v="3"/>
    <x v="0"/>
    <x v="2"/>
    <x v="12"/>
    <n v="0.93"/>
    <n v="0.16"/>
    <x v="3"/>
    <n v="3"/>
    <x v="6"/>
  </r>
  <r>
    <n v="859"/>
    <x v="38"/>
    <x v="5"/>
    <x v="0"/>
    <x v="0"/>
    <x v="3"/>
    <x v="0"/>
    <x v="11"/>
    <x v="12"/>
    <n v="0.81"/>
    <n v="0.33"/>
    <x v="3"/>
    <n v="2"/>
    <x v="5"/>
  </r>
  <r>
    <n v="860"/>
    <x v="38"/>
    <x v="6"/>
    <x v="1"/>
    <x v="0"/>
    <x v="3"/>
    <x v="0"/>
    <x v="11"/>
    <x v="12"/>
    <n v="0.7"/>
    <n v="0.33"/>
    <x v="3"/>
    <n v="39"/>
    <x v="21"/>
  </r>
  <r>
    <n v="861"/>
    <x v="38"/>
    <x v="7"/>
    <x v="1"/>
    <x v="0"/>
    <x v="3"/>
    <x v="0"/>
    <x v="3"/>
    <x v="0"/>
    <n v="0.65"/>
    <n v="0.42"/>
    <x v="0"/>
    <n v="97"/>
    <x v="50"/>
  </r>
  <r>
    <n v="862"/>
    <x v="38"/>
    <x v="8"/>
    <x v="1"/>
    <x v="0"/>
    <x v="3"/>
    <x v="0"/>
    <x v="3"/>
    <x v="0"/>
    <n v="0.56000000000000005"/>
    <n v="0.49"/>
    <x v="18"/>
    <n v="236"/>
    <x v="183"/>
  </r>
  <r>
    <n v="863"/>
    <x v="38"/>
    <x v="9"/>
    <x v="1"/>
    <x v="0"/>
    <x v="3"/>
    <x v="0"/>
    <x v="3"/>
    <x v="0"/>
    <n v="0.52"/>
    <n v="0.49"/>
    <x v="18"/>
    <n v="128"/>
    <x v="169"/>
  </r>
  <r>
    <n v="864"/>
    <x v="38"/>
    <x v="10"/>
    <x v="1"/>
    <x v="0"/>
    <x v="3"/>
    <x v="0"/>
    <x v="17"/>
    <x v="1"/>
    <n v="0.47"/>
    <n v="0.55000000000000004"/>
    <x v="17"/>
    <n v="44"/>
    <x v="61"/>
  </r>
  <r>
    <n v="865"/>
    <x v="38"/>
    <x v="11"/>
    <x v="1"/>
    <x v="0"/>
    <x v="3"/>
    <x v="0"/>
    <x v="17"/>
    <x v="1"/>
    <n v="0.47"/>
    <n v="0.46"/>
    <x v="5"/>
    <n v="49"/>
    <x v="89"/>
  </r>
  <r>
    <n v="866"/>
    <x v="38"/>
    <x v="12"/>
    <x v="2"/>
    <x v="0"/>
    <x v="3"/>
    <x v="0"/>
    <x v="3"/>
    <x v="0"/>
    <n v="0.38"/>
    <n v="0.49"/>
    <x v="4"/>
    <n v="63"/>
    <x v="32"/>
  </r>
  <r>
    <n v="867"/>
    <x v="38"/>
    <x v="13"/>
    <x v="2"/>
    <x v="0"/>
    <x v="3"/>
    <x v="1"/>
    <x v="3"/>
    <x v="0"/>
    <n v="0.32"/>
    <n v="0.45"/>
    <x v="4"/>
    <n v="48"/>
    <x v="89"/>
  </r>
  <r>
    <n v="868"/>
    <x v="38"/>
    <x v="14"/>
    <x v="2"/>
    <x v="0"/>
    <x v="3"/>
    <x v="0"/>
    <x v="3"/>
    <x v="1"/>
    <n v="0.37"/>
    <n v="0.42"/>
    <x v="0"/>
    <n v="61"/>
    <x v="37"/>
  </r>
  <r>
    <n v="869"/>
    <x v="38"/>
    <x v="15"/>
    <x v="2"/>
    <x v="0"/>
    <x v="3"/>
    <x v="0"/>
    <x v="3"/>
    <x v="1"/>
    <n v="0.35"/>
    <n v="0.39"/>
    <x v="15"/>
    <n v="45"/>
    <x v="41"/>
  </r>
  <r>
    <n v="870"/>
    <x v="38"/>
    <x v="16"/>
    <x v="2"/>
    <x v="0"/>
    <x v="3"/>
    <x v="0"/>
    <x v="17"/>
    <x v="1"/>
    <n v="0.35"/>
    <n v="0.52"/>
    <x v="17"/>
    <n v="79"/>
    <x v="56"/>
  </r>
  <r>
    <n v="871"/>
    <x v="38"/>
    <x v="17"/>
    <x v="2"/>
    <x v="0"/>
    <x v="3"/>
    <x v="0"/>
    <x v="17"/>
    <x v="1"/>
    <n v="0.32"/>
    <n v="0.57999999999999996"/>
    <x v="17"/>
    <n v="172"/>
    <x v="170"/>
  </r>
  <r>
    <n v="872"/>
    <x v="38"/>
    <x v="18"/>
    <x v="3"/>
    <x v="0"/>
    <x v="3"/>
    <x v="0"/>
    <x v="17"/>
    <x v="2"/>
    <n v="0.32"/>
    <n v="0.39"/>
    <x v="5"/>
    <n v="151"/>
    <x v="148"/>
  </r>
  <r>
    <n v="873"/>
    <x v="38"/>
    <x v="19"/>
    <x v="3"/>
    <x v="0"/>
    <x v="3"/>
    <x v="0"/>
    <x v="15"/>
    <x v="13"/>
    <n v="0.4"/>
    <n v="0.46"/>
    <x v="5"/>
    <n v="100"/>
    <x v="129"/>
  </r>
  <r>
    <n v="874"/>
    <x v="38"/>
    <x v="20"/>
    <x v="3"/>
    <x v="0"/>
    <x v="3"/>
    <x v="0"/>
    <x v="13"/>
    <x v="13"/>
    <n v="0.4"/>
    <n v="0.33"/>
    <x v="0"/>
    <n v="53"/>
    <x v="10"/>
  </r>
  <r>
    <n v="875"/>
    <x v="38"/>
    <x v="21"/>
    <x v="3"/>
    <x v="0"/>
    <x v="3"/>
    <x v="0"/>
    <x v="14"/>
    <x v="14"/>
    <n v="0.33"/>
    <n v="0.46"/>
    <x v="1"/>
    <n v="46"/>
    <x v="60"/>
  </r>
  <r>
    <n v="876"/>
    <x v="38"/>
    <x v="22"/>
    <x v="3"/>
    <x v="0"/>
    <x v="3"/>
    <x v="0"/>
    <x v="14"/>
    <x v="16"/>
    <n v="0.33"/>
    <n v="0.36"/>
    <x v="3"/>
    <n v="29"/>
    <x v="115"/>
  </r>
  <r>
    <n v="877"/>
    <x v="38"/>
    <x v="23"/>
    <x v="3"/>
    <x v="0"/>
    <x v="3"/>
    <x v="0"/>
    <x v="14"/>
    <x v="16"/>
    <n v="0.33"/>
    <n v="0.33"/>
    <x v="0"/>
    <n v="9"/>
    <x v="47"/>
  </r>
  <r>
    <n v="878"/>
    <x v="39"/>
    <x v="0"/>
    <x v="0"/>
    <x v="0"/>
    <x v="4"/>
    <x v="0"/>
    <x v="22"/>
    <x v="18"/>
    <n v="0.36"/>
    <n v="0.36"/>
    <x v="3"/>
    <n v="17"/>
    <x v="22"/>
  </r>
  <r>
    <n v="879"/>
    <x v="39"/>
    <x v="1"/>
    <x v="0"/>
    <x v="0"/>
    <x v="4"/>
    <x v="0"/>
    <x v="14"/>
    <x v="18"/>
    <n v="0.36"/>
    <n v="0.22"/>
    <x v="3"/>
    <n v="7"/>
    <x v="85"/>
  </r>
  <r>
    <n v="880"/>
    <x v="39"/>
    <x v="2"/>
    <x v="0"/>
    <x v="0"/>
    <x v="4"/>
    <x v="0"/>
    <x v="22"/>
    <x v="19"/>
    <n v="0.38"/>
    <n v="0.28000000000000003"/>
    <x v="5"/>
    <n v="2"/>
    <x v="6"/>
  </r>
  <r>
    <n v="881"/>
    <x v="39"/>
    <x v="3"/>
    <x v="0"/>
    <x v="0"/>
    <x v="4"/>
    <x v="0"/>
    <x v="22"/>
    <x v="20"/>
    <n v="0.45"/>
    <n v="0.13"/>
    <x v="3"/>
    <n v="2"/>
    <x v="5"/>
  </r>
  <r>
    <n v="882"/>
    <x v="39"/>
    <x v="5"/>
    <x v="0"/>
    <x v="0"/>
    <x v="4"/>
    <x v="0"/>
    <x v="14"/>
    <x v="20"/>
    <n v="0.45"/>
    <n v="0.1"/>
    <x v="3"/>
    <n v="7"/>
    <x v="85"/>
  </r>
  <r>
    <n v="883"/>
    <x v="39"/>
    <x v="6"/>
    <x v="1"/>
    <x v="0"/>
    <x v="4"/>
    <x v="0"/>
    <x v="19"/>
    <x v="20"/>
    <n v="0.45"/>
    <n v="0"/>
    <x v="3"/>
    <n v="43"/>
    <x v="74"/>
  </r>
  <r>
    <n v="884"/>
    <x v="39"/>
    <x v="7"/>
    <x v="1"/>
    <x v="0"/>
    <x v="4"/>
    <x v="0"/>
    <x v="14"/>
    <x v="20"/>
    <n v="0.49"/>
    <n v="0.1"/>
    <x v="17"/>
    <n v="95"/>
    <x v="111"/>
  </r>
  <r>
    <n v="885"/>
    <x v="39"/>
    <x v="8"/>
    <x v="1"/>
    <x v="0"/>
    <x v="4"/>
    <x v="0"/>
    <x v="13"/>
    <x v="18"/>
    <n v="0.42"/>
    <n v="0"/>
    <x v="5"/>
    <n v="198"/>
    <x v="184"/>
  </r>
  <r>
    <n v="886"/>
    <x v="39"/>
    <x v="9"/>
    <x v="1"/>
    <x v="0"/>
    <x v="4"/>
    <x v="0"/>
    <x v="13"/>
    <x v="16"/>
    <n v="0.39"/>
    <n v="0.16"/>
    <x v="17"/>
    <n v="119"/>
    <x v="92"/>
  </r>
  <r>
    <n v="887"/>
    <x v="39"/>
    <x v="10"/>
    <x v="1"/>
    <x v="0"/>
    <x v="4"/>
    <x v="0"/>
    <x v="17"/>
    <x v="14"/>
    <n v="0.36"/>
    <n v="0"/>
    <x v="1"/>
    <n v="51"/>
    <x v="29"/>
  </r>
  <r>
    <n v="888"/>
    <x v="39"/>
    <x v="11"/>
    <x v="1"/>
    <x v="0"/>
    <x v="4"/>
    <x v="1"/>
    <x v="19"/>
    <x v="14"/>
    <n v="0.43"/>
    <n v="0.16"/>
    <x v="5"/>
    <n v="40"/>
    <x v="102"/>
  </r>
  <r>
    <n v="889"/>
    <x v="39"/>
    <x v="12"/>
    <x v="2"/>
    <x v="0"/>
    <x v="4"/>
    <x v="1"/>
    <x v="17"/>
    <x v="15"/>
    <n v="0.4"/>
    <n v="0.22"/>
    <x v="17"/>
    <n v="57"/>
    <x v="42"/>
  </r>
  <r>
    <n v="890"/>
    <x v="39"/>
    <x v="13"/>
    <x v="2"/>
    <x v="0"/>
    <x v="4"/>
    <x v="0"/>
    <x v="16"/>
    <x v="15"/>
    <n v="0.4"/>
    <n v="0.25"/>
    <x v="4"/>
    <n v="67"/>
    <x v="83"/>
  </r>
  <r>
    <n v="891"/>
    <x v="39"/>
    <x v="14"/>
    <x v="2"/>
    <x v="0"/>
    <x v="4"/>
    <x v="0"/>
    <x v="17"/>
    <x v="2"/>
    <n v="0.34"/>
    <n v="0.3"/>
    <x v="4"/>
    <n v="56"/>
    <x v="154"/>
  </r>
  <r>
    <n v="892"/>
    <x v="39"/>
    <x v="15"/>
    <x v="2"/>
    <x v="0"/>
    <x v="4"/>
    <x v="1"/>
    <x v="17"/>
    <x v="2"/>
    <n v="0.34"/>
    <n v="0.28000000000000003"/>
    <x v="0"/>
    <n v="61"/>
    <x v="37"/>
  </r>
  <r>
    <n v="893"/>
    <x v="39"/>
    <x v="16"/>
    <x v="2"/>
    <x v="0"/>
    <x v="4"/>
    <x v="1"/>
    <x v="3"/>
    <x v="2"/>
    <n v="0.37"/>
    <n v="0.25"/>
    <x v="18"/>
    <n v="72"/>
    <x v="67"/>
  </r>
  <r>
    <n v="894"/>
    <x v="39"/>
    <x v="17"/>
    <x v="2"/>
    <x v="0"/>
    <x v="4"/>
    <x v="1"/>
    <x v="3"/>
    <x v="2"/>
    <n v="0.34"/>
    <n v="0.25"/>
    <x v="14"/>
    <n v="157"/>
    <x v="150"/>
  </r>
  <r>
    <n v="895"/>
    <x v="39"/>
    <x v="18"/>
    <x v="3"/>
    <x v="0"/>
    <x v="4"/>
    <x v="1"/>
    <x v="16"/>
    <x v="15"/>
    <n v="0.47"/>
    <n v="0.3"/>
    <x v="4"/>
    <n v="168"/>
    <x v="185"/>
  </r>
  <r>
    <n v="896"/>
    <x v="39"/>
    <x v="19"/>
    <x v="3"/>
    <x v="0"/>
    <x v="4"/>
    <x v="2"/>
    <x v="15"/>
    <x v="14"/>
    <n v="0.86"/>
    <n v="0.25"/>
    <x v="5"/>
    <n v="87"/>
    <x v="39"/>
  </r>
  <r>
    <n v="897"/>
    <x v="39"/>
    <x v="20"/>
    <x v="3"/>
    <x v="0"/>
    <x v="4"/>
    <x v="2"/>
    <x v="19"/>
    <x v="14"/>
    <n v="0.86"/>
    <n v="0.16"/>
    <x v="3"/>
    <n v="84"/>
    <x v="11"/>
  </r>
  <r>
    <n v="898"/>
    <x v="39"/>
    <x v="21"/>
    <x v="3"/>
    <x v="0"/>
    <x v="4"/>
    <x v="1"/>
    <x v="19"/>
    <x v="14"/>
    <n v="0.86"/>
    <n v="0.16"/>
    <x v="3"/>
    <n v="83"/>
    <x v="56"/>
  </r>
  <r>
    <n v="899"/>
    <x v="39"/>
    <x v="22"/>
    <x v="3"/>
    <x v="0"/>
    <x v="4"/>
    <x v="2"/>
    <x v="16"/>
    <x v="13"/>
    <n v="0.8"/>
    <n v="0.16"/>
    <x v="17"/>
    <n v="42"/>
    <x v="66"/>
  </r>
  <r>
    <n v="900"/>
    <x v="39"/>
    <x v="23"/>
    <x v="3"/>
    <x v="0"/>
    <x v="4"/>
    <x v="2"/>
    <x v="19"/>
    <x v="13"/>
    <n v="0.8"/>
    <n v="0.19"/>
    <x v="3"/>
    <n v="37"/>
    <x v="18"/>
  </r>
  <r>
    <n v="901"/>
    <x v="40"/>
    <x v="0"/>
    <x v="0"/>
    <x v="0"/>
    <x v="5"/>
    <x v="2"/>
    <x v="13"/>
    <x v="14"/>
    <n v="0.86"/>
    <n v="0.19"/>
    <x v="3"/>
    <n v="16"/>
    <x v="0"/>
  </r>
  <r>
    <n v="902"/>
    <x v="40"/>
    <x v="1"/>
    <x v="0"/>
    <x v="0"/>
    <x v="5"/>
    <x v="2"/>
    <x v="19"/>
    <x v="14"/>
    <n v="0.8"/>
    <n v="0.13"/>
    <x v="3"/>
    <n v="7"/>
    <x v="85"/>
  </r>
  <r>
    <n v="903"/>
    <x v="40"/>
    <x v="2"/>
    <x v="0"/>
    <x v="0"/>
    <x v="5"/>
    <x v="2"/>
    <x v="19"/>
    <x v="14"/>
    <n v="0.8"/>
    <n v="0.13"/>
    <x v="3"/>
    <n v="3"/>
    <x v="6"/>
  </r>
  <r>
    <n v="904"/>
    <x v="40"/>
    <x v="4"/>
    <x v="0"/>
    <x v="0"/>
    <x v="5"/>
    <x v="1"/>
    <x v="13"/>
    <x v="14"/>
    <n v="0.59"/>
    <n v="0.22"/>
    <x v="3"/>
    <n v="1"/>
    <x v="4"/>
  </r>
  <r>
    <n v="905"/>
    <x v="40"/>
    <x v="5"/>
    <x v="0"/>
    <x v="0"/>
    <x v="5"/>
    <x v="1"/>
    <x v="15"/>
    <x v="16"/>
    <n v="0.5"/>
    <n v="0.22"/>
    <x v="3"/>
    <n v="6"/>
    <x v="24"/>
  </r>
  <r>
    <n v="906"/>
    <x v="40"/>
    <x v="6"/>
    <x v="1"/>
    <x v="0"/>
    <x v="5"/>
    <x v="1"/>
    <x v="15"/>
    <x v="16"/>
    <n v="0.54"/>
    <n v="0.28000000000000003"/>
    <x v="3"/>
    <n v="26"/>
    <x v="132"/>
  </r>
  <r>
    <n v="907"/>
    <x v="40"/>
    <x v="7"/>
    <x v="1"/>
    <x v="0"/>
    <x v="5"/>
    <x v="0"/>
    <x v="22"/>
    <x v="18"/>
    <n v="0.5"/>
    <n v="0.42"/>
    <x v="3"/>
    <n v="99"/>
    <x v="111"/>
  </r>
  <r>
    <n v="908"/>
    <x v="40"/>
    <x v="8"/>
    <x v="1"/>
    <x v="0"/>
    <x v="5"/>
    <x v="0"/>
    <x v="22"/>
    <x v="18"/>
    <n v="0.49"/>
    <n v="0.33"/>
    <x v="2"/>
    <n v="173"/>
    <x v="106"/>
  </r>
  <r>
    <n v="909"/>
    <x v="40"/>
    <x v="9"/>
    <x v="1"/>
    <x v="0"/>
    <x v="5"/>
    <x v="0"/>
    <x v="14"/>
    <x v="16"/>
    <n v="0.42"/>
    <n v="0.36"/>
    <x v="5"/>
    <n v="121"/>
    <x v="78"/>
  </r>
  <r>
    <n v="910"/>
    <x v="40"/>
    <x v="10"/>
    <x v="1"/>
    <x v="0"/>
    <x v="5"/>
    <x v="0"/>
    <x v="14"/>
    <x v="16"/>
    <n v="0.42"/>
    <n v="0.3"/>
    <x v="5"/>
    <n v="34"/>
    <x v="17"/>
  </r>
  <r>
    <n v="911"/>
    <x v="40"/>
    <x v="11"/>
    <x v="1"/>
    <x v="0"/>
    <x v="5"/>
    <x v="0"/>
    <x v="15"/>
    <x v="14"/>
    <n v="0.39"/>
    <n v="0.36"/>
    <x v="5"/>
    <n v="44"/>
    <x v="79"/>
  </r>
  <r>
    <n v="912"/>
    <x v="40"/>
    <x v="12"/>
    <x v="2"/>
    <x v="0"/>
    <x v="5"/>
    <x v="0"/>
    <x v="13"/>
    <x v="13"/>
    <n v="0.34"/>
    <n v="0.39"/>
    <x v="17"/>
    <n v="65"/>
    <x v="83"/>
  </r>
  <r>
    <n v="913"/>
    <x v="40"/>
    <x v="13"/>
    <x v="2"/>
    <x v="0"/>
    <x v="5"/>
    <x v="0"/>
    <x v="16"/>
    <x v="15"/>
    <n v="0.28999999999999998"/>
    <n v="0.3"/>
    <x v="0"/>
    <n v="59"/>
    <x v="69"/>
  </r>
  <r>
    <n v="914"/>
    <x v="40"/>
    <x v="14"/>
    <x v="2"/>
    <x v="0"/>
    <x v="5"/>
    <x v="0"/>
    <x v="17"/>
    <x v="2"/>
    <n v="0.27"/>
    <n v="0.28000000000000003"/>
    <x v="15"/>
    <n v="42"/>
    <x v="61"/>
  </r>
  <r>
    <n v="915"/>
    <x v="40"/>
    <x v="15"/>
    <x v="2"/>
    <x v="0"/>
    <x v="5"/>
    <x v="0"/>
    <x v="3"/>
    <x v="2"/>
    <n v="0.25"/>
    <n v="0.25"/>
    <x v="3"/>
    <n v="50"/>
    <x v="89"/>
  </r>
  <r>
    <n v="916"/>
    <x v="40"/>
    <x v="16"/>
    <x v="2"/>
    <x v="0"/>
    <x v="5"/>
    <x v="0"/>
    <x v="17"/>
    <x v="2"/>
    <n v="0.27"/>
    <n v="0.3"/>
    <x v="17"/>
    <n v="76"/>
    <x v="138"/>
  </r>
  <r>
    <n v="917"/>
    <x v="40"/>
    <x v="17"/>
    <x v="2"/>
    <x v="0"/>
    <x v="5"/>
    <x v="0"/>
    <x v="17"/>
    <x v="15"/>
    <n v="0.26"/>
    <n v="0.19"/>
    <x v="15"/>
    <n v="159"/>
    <x v="186"/>
  </r>
  <r>
    <n v="918"/>
    <x v="40"/>
    <x v="18"/>
    <x v="3"/>
    <x v="0"/>
    <x v="5"/>
    <x v="0"/>
    <x v="17"/>
    <x v="13"/>
    <n v="0.28000000000000003"/>
    <n v="0.13"/>
    <x v="0"/>
    <n v="157"/>
    <x v="187"/>
  </r>
  <r>
    <n v="919"/>
    <x v="40"/>
    <x v="19"/>
    <x v="3"/>
    <x v="0"/>
    <x v="5"/>
    <x v="0"/>
    <x v="16"/>
    <x v="14"/>
    <n v="0.28000000000000003"/>
    <n v="0.1"/>
    <x v="4"/>
    <n v="110"/>
    <x v="59"/>
  </r>
  <r>
    <n v="920"/>
    <x v="40"/>
    <x v="20"/>
    <x v="3"/>
    <x v="0"/>
    <x v="5"/>
    <x v="0"/>
    <x v="17"/>
    <x v="14"/>
    <n v="0.31"/>
    <n v="0.09"/>
    <x v="17"/>
    <n v="93"/>
    <x v="54"/>
  </r>
  <r>
    <n v="921"/>
    <x v="40"/>
    <x v="21"/>
    <x v="3"/>
    <x v="0"/>
    <x v="5"/>
    <x v="0"/>
    <x v="12"/>
    <x v="14"/>
    <n v="0.39"/>
    <n v="0"/>
    <x v="4"/>
    <n v="70"/>
    <x v="44"/>
  </r>
  <r>
    <n v="922"/>
    <x v="40"/>
    <x v="22"/>
    <x v="3"/>
    <x v="0"/>
    <x v="5"/>
    <x v="0"/>
    <x v="3"/>
    <x v="16"/>
    <n v="0.39"/>
    <n v="0"/>
    <x v="17"/>
    <n v="47"/>
    <x v="41"/>
  </r>
  <r>
    <n v="923"/>
    <x v="40"/>
    <x v="23"/>
    <x v="3"/>
    <x v="0"/>
    <x v="5"/>
    <x v="0"/>
    <x v="19"/>
    <x v="16"/>
    <n v="0.42"/>
    <n v="0.1"/>
    <x v="5"/>
    <n v="33"/>
    <x v="19"/>
  </r>
  <r>
    <n v="924"/>
    <x v="41"/>
    <x v="0"/>
    <x v="0"/>
    <x v="0"/>
    <x v="6"/>
    <x v="0"/>
    <x v="13"/>
    <x v="18"/>
    <n v="0.49"/>
    <n v="0.1"/>
    <x v="4"/>
    <n v="12"/>
    <x v="8"/>
  </r>
  <r>
    <n v="925"/>
    <x v="41"/>
    <x v="1"/>
    <x v="0"/>
    <x v="0"/>
    <x v="6"/>
    <x v="0"/>
    <x v="13"/>
    <x v="18"/>
    <n v="0.54"/>
    <n v="0.09"/>
    <x v="5"/>
    <n v="6"/>
    <x v="85"/>
  </r>
  <r>
    <n v="926"/>
    <x v="41"/>
    <x v="2"/>
    <x v="0"/>
    <x v="0"/>
    <x v="6"/>
    <x v="0"/>
    <x v="13"/>
    <x v="18"/>
    <n v="0.54"/>
    <n v="0.09"/>
    <x v="3"/>
    <n v="3"/>
    <x v="6"/>
  </r>
  <r>
    <n v="927"/>
    <x v="41"/>
    <x v="5"/>
    <x v="0"/>
    <x v="0"/>
    <x v="6"/>
    <x v="0"/>
    <x v="15"/>
    <x v="19"/>
    <n v="0.63"/>
    <n v="0.09"/>
    <x v="3"/>
    <n v="4"/>
    <x v="48"/>
  </r>
  <r>
    <n v="928"/>
    <x v="41"/>
    <x v="6"/>
    <x v="1"/>
    <x v="0"/>
    <x v="6"/>
    <x v="0"/>
    <x v="17"/>
    <x v="18"/>
    <n v="0.68"/>
    <n v="0"/>
    <x v="5"/>
    <n v="23"/>
    <x v="108"/>
  </r>
  <r>
    <n v="929"/>
    <x v="41"/>
    <x v="7"/>
    <x v="1"/>
    <x v="0"/>
    <x v="6"/>
    <x v="0"/>
    <x v="16"/>
    <x v="19"/>
    <n v="0.73"/>
    <n v="0"/>
    <x v="5"/>
    <n v="73"/>
    <x v="30"/>
  </r>
  <r>
    <n v="930"/>
    <x v="41"/>
    <x v="8"/>
    <x v="1"/>
    <x v="0"/>
    <x v="6"/>
    <x v="0"/>
    <x v="15"/>
    <x v="18"/>
    <n v="0.74"/>
    <n v="0.16"/>
    <x v="17"/>
    <n v="212"/>
    <x v="182"/>
  </r>
  <r>
    <n v="931"/>
    <x v="41"/>
    <x v="9"/>
    <x v="1"/>
    <x v="0"/>
    <x v="6"/>
    <x v="0"/>
    <x v="15"/>
    <x v="16"/>
    <n v="0.74"/>
    <n v="0.22"/>
    <x v="1"/>
    <n v="132"/>
    <x v="188"/>
  </r>
  <r>
    <n v="932"/>
    <x v="41"/>
    <x v="10"/>
    <x v="1"/>
    <x v="0"/>
    <x v="6"/>
    <x v="0"/>
    <x v="13"/>
    <x v="14"/>
    <n v="0.69"/>
    <n v="0.19"/>
    <x v="2"/>
    <n v="39"/>
    <x v="40"/>
  </r>
  <r>
    <n v="933"/>
    <x v="41"/>
    <x v="11"/>
    <x v="1"/>
    <x v="0"/>
    <x v="6"/>
    <x v="0"/>
    <x v="11"/>
    <x v="1"/>
    <n v="0.47"/>
    <n v="0.13"/>
    <x v="6"/>
    <n v="52"/>
    <x v="37"/>
  </r>
  <r>
    <n v="934"/>
    <x v="41"/>
    <x v="12"/>
    <x v="2"/>
    <x v="0"/>
    <x v="6"/>
    <x v="0"/>
    <x v="11"/>
    <x v="1"/>
    <n v="0.47"/>
    <n v="0.13"/>
    <x v="18"/>
    <n v="64"/>
    <x v="68"/>
  </r>
  <r>
    <n v="935"/>
    <x v="41"/>
    <x v="13"/>
    <x v="2"/>
    <x v="0"/>
    <x v="6"/>
    <x v="0"/>
    <x v="11"/>
    <x v="0"/>
    <n v="0.35"/>
    <n v="0.19"/>
    <x v="27"/>
    <n v="89"/>
    <x v="14"/>
  </r>
  <r>
    <n v="936"/>
    <x v="41"/>
    <x v="14"/>
    <x v="2"/>
    <x v="0"/>
    <x v="6"/>
    <x v="0"/>
    <x v="0"/>
    <x v="11"/>
    <n v="0.26"/>
    <n v="0.25"/>
    <x v="26"/>
    <n v="67"/>
    <x v="11"/>
  </r>
  <r>
    <n v="937"/>
    <x v="41"/>
    <x v="15"/>
    <x v="2"/>
    <x v="0"/>
    <x v="6"/>
    <x v="0"/>
    <x v="20"/>
    <x v="3"/>
    <n v="0.21"/>
    <n v="0.16"/>
    <x v="6"/>
    <n v="62"/>
    <x v="30"/>
  </r>
  <r>
    <n v="938"/>
    <x v="41"/>
    <x v="16"/>
    <x v="2"/>
    <x v="0"/>
    <x v="6"/>
    <x v="0"/>
    <x v="0"/>
    <x v="11"/>
    <n v="0.28000000000000003"/>
    <n v="0.19"/>
    <x v="24"/>
    <n v="111"/>
    <x v="139"/>
  </r>
  <r>
    <n v="939"/>
    <x v="41"/>
    <x v="17"/>
    <x v="2"/>
    <x v="0"/>
    <x v="6"/>
    <x v="0"/>
    <x v="6"/>
    <x v="11"/>
    <n v="0.24"/>
    <n v="0"/>
    <x v="25"/>
    <n v="193"/>
    <x v="189"/>
  </r>
  <r>
    <n v="940"/>
    <x v="41"/>
    <x v="18"/>
    <x v="3"/>
    <x v="0"/>
    <x v="6"/>
    <x v="0"/>
    <x v="20"/>
    <x v="17"/>
    <n v="0.28000000000000003"/>
    <n v="0"/>
    <x v="14"/>
    <n v="165"/>
    <x v="177"/>
  </r>
  <r>
    <n v="941"/>
    <x v="41"/>
    <x v="19"/>
    <x v="3"/>
    <x v="0"/>
    <x v="6"/>
    <x v="0"/>
    <x v="24"/>
    <x v="12"/>
    <n v="0.33"/>
    <n v="0"/>
    <x v="18"/>
    <n v="94"/>
    <x v="129"/>
  </r>
  <r>
    <n v="942"/>
    <x v="41"/>
    <x v="20"/>
    <x v="3"/>
    <x v="0"/>
    <x v="6"/>
    <x v="0"/>
    <x v="11"/>
    <x v="1"/>
    <n v="0.55000000000000004"/>
    <n v="0.13"/>
    <x v="4"/>
    <n v="61"/>
    <x v="55"/>
  </r>
  <r>
    <n v="943"/>
    <x v="41"/>
    <x v="21"/>
    <x v="3"/>
    <x v="0"/>
    <x v="6"/>
    <x v="0"/>
    <x v="12"/>
    <x v="2"/>
    <n v="0.59"/>
    <n v="0.13"/>
    <x v="5"/>
    <n v="46"/>
    <x v="105"/>
  </r>
  <r>
    <n v="944"/>
    <x v="41"/>
    <x v="22"/>
    <x v="3"/>
    <x v="0"/>
    <x v="6"/>
    <x v="0"/>
    <x v="11"/>
    <x v="2"/>
    <n v="0.64"/>
    <n v="0.09"/>
    <x v="4"/>
    <n v="41"/>
    <x v="74"/>
  </r>
  <r>
    <n v="945"/>
    <x v="41"/>
    <x v="23"/>
    <x v="3"/>
    <x v="0"/>
    <x v="6"/>
    <x v="0"/>
    <x v="18"/>
    <x v="15"/>
    <n v="0.69"/>
    <n v="0"/>
    <x v="2"/>
    <n v="48"/>
    <x v="26"/>
  </r>
  <r>
    <n v="946"/>
    <x v="42"/>
    <x v="0"/>
    <x v="0"/>
    <x v="0"/>
    <x v="0"/>
    <x v="0"/>
    <x v="3"/>
    <x v="13"/>
    <n v="0.69"/>
    <n v="0.09"/>
    <x v="0"/>
    <n v="27"/>
    <x v="33"/>
  </r>
  <r>
    <n v="947"/>
    <x v="42"/>
    <x v="1"/>
    <x v="0"/>
    <x v="0"/>
    <x v="0"/>
    <x v="0"/>
    <x v="12"/>
    <x v="14"/>
    <n v="0.86"/>
    <n v="0"/>
    <x v="4"/>
    <n v="22"/>
    <x v="108"/>
  </r>
  <r>
    <n v="948"/>
    <x v="42"/>
    <x v="2"/>
    <x v="0"/>
    <x v="0"/>
    <x v="0"/>
    <x v="0"/>
    <x v="12"/>
    <x v="14"/>
    <n v="0.8"/>
    <n v="0"/>
    <x v="4"/>
    <n v="13"/>
    <x v="93"/>
  </r>
  <r>
    <n v="949"/>
    <x v="42"/>
    <x v="3"/>
    <x v="0"/>
    <x v="0"/>
    <x v="0"/>
    <x v="0"/>
    <x v="3"/>
    <x v="16"/>
    <n v="0.8"/>
    <n v="0"/>
    <x v="0"/>
    <n v="7"/>
    <x v="98"/>
  </r>
  <r>
    <n v="950"/>
    <x v="42"/>
    <x v="4"/>
    <x v="0"/>
    <x v="0"/>
    <x v="0"/>
    <x v="0"/>
    <x v="16"/>
    <x v="16"/>
    <n v="0.74"/>
    <n v="0.09"/>
    <x v="3"/>
    <n v="4"/>
    <x v="48"/>
  </r>
  <r>
    <n v="951"/>
    <x v="42"/>
    <x v="5"/>
    <x v="0"/>
    <x v="0"/>
    <x v="0"/>
    <x v="0"/>
    <x v="16"/>
    <x v="16"/>
    <n v="0.74"/>
    <n v="0.09"/>
    <x v="3"/>
    <n v="1"/>
    <x v="4"/>
  </r>
  <r>
    <n v="952"/>
    <x v="42"/>
    <x v="6"/>
    <x v="1"/>
    <x v="0"/>
    <x v="0"/>
    <x v="0"/>
    <x v="13"/>
    <x v="16"/>
    <n v="0.93"/>
    <n v="0.19"/>
    <x v="5"/>
    <n v="1"/>
    <x v="5"/>
  </r>
  <r>
    <n v="953"/>
    <x v="42"/>
    <x v="7"/>
    <x v="1"/>
    <x v="0"/>
    <x v="0"/>
    <x v="0"/>
    <x v="19"/>
    <x v="16"/>
    <n v="0.8"/>
    <n v="0.1"/>
    <x v="4"/>
    <n v="9"/>
    <x v="62"/>
  </r>
  <r>
    <n v="954"/>
    <x v="42"/>
    <x v="8"/>
    <x v="1"/>
    <x v="0"/>
    <x v="0"/>
    <x v="0"/>
    <x v="19"/>
    <x v="14"/>
    <n v="0.86"/>
    <n v="0.13"/>
    <x v="4"/>
    <n v="28"/>
    <x v="33"/>
  </r>
  <r>
    <n v="955"/>
    <x v="42"/>
    <x v="9"/>
    <x v="1"/>
    <x v="0"/>
    <x v="0"/>
    <x v="0"/>
    <x v="17"/>
    <x v="13"/>
    <n v="0.64"/>
    <n v="0.13"/>
    <x v="2"/>
    <n v="38"/>
    <x v="74"/>
  </r>
  <r>
    <n v="956"/>
    <x v="42"/>
    <x v="10"/>
    <x v="1"/>
    <x v="0"/>
    <x v="0"/>
    <x v="0"/>
    <x v="12"/>
    <x v="1"/>
    <n v="0.41"/>
    <n v="0.25"/>
    <x v="23"/>
    <n v="71"/>
    <x v="11"/>
  </r>
  <r>
    <n v="957"/>
    <x v="42"/>
    <x v="11"/>
    <x v="1"/>
    <x v="0"/>
    <x v="0"/>
    <x v="0"/>
    <x v="1"/>
    <x v="11"/>
    <n v="0.28000000000000003"/>
    <n v="0.33"/>
    <x v="36"/>
    <n v="84"/>
    <x v="181"/>
  </r>
  <r>
    <n v="958"/>
    <x v="42"/>
    <x v="12"/>
    <x v="2"/>
    <x v="0"/>
    <x v="0"/>
    <x v="0"/>
    <x v="1"/>
    <x v="11"/>
    <n v="0.39"/>
    <n v="0.46"/>
    <x v="37"/>
    <n v="93"/>
    <x v="151"/>
  </r>
  <r>
    <n v="959"/>
    <x v="42"/>
    <x v="13"/>
    <x v="2"/>
    <x v="0"/>
    <x v="0"/>
    <x v="0"/>
    <x v="1"/>
    <x v="11"/>
    <n v="0.39"/>
    <n v="0.42"/>
    <x v="38"/>
    <n v="103"/>
    <x v="169"/>
  </r>
  <r>
    <n v="960"/>
    <x v="42"/>
    <x v="14"/>
    <x v="2"/>
    <x v="0"/>
    <x v="0"/>
    <x v="0"/>
    <x v="20"/>
    <x v="10"/>
    <n v="0.31"/>
    <n v="0.28000000000000003"/>
    <x v="36"/>
    <n v="90"/>
    <x v="151"/>
  </r>
  <r>
    <n v="961"/>
    <x v="42"/>
    <x v="15"/>
    <x v="2"/>
    <x v="0"/>
    <x v="0"/>
    <x v="0"/>
    <x v="24"/>
    <x v="10"/>
    <n v="0.28999999999999998"/>
    <n v="0.42"/>
    <x v="9"/>
    <n v="127"/>
    <x v="177"/>
  </r>
  <r>
    <n v="962"/>
    <x v="42"/>
    <x v="16"/>
    <x v="2"/>
    <x v="0"/>
    <x v="0"/>
    <x v="0"/>
    <x v="24"/>
    <x v="10"/>
    <n v="0.28999999999999998"/>
    <n v="0.42"/>
    <x v="35"/>
    <n v="103"/>
    <x v="190"/>
  </r>
  <r>
    <n v="963"/>
    <x v="42"/>
    <x v="17"/>
    <x v="2"/>
    <x v="0"/>
    <x v="0"/>
    <x v="0"/>
    <x v="0"/>
    <x v="3"/>
    <n v="0.31"/>
    <n v="0.52"/>
    <x v="31"/>
    <n v="113"/>
    <x v="120"/>
  </r>
  <r>
    <n v="964"/>
    <x v="42"/>
    <x v="18"/>
    <x v="3"/>
    <x v="0"/>
    <x v="0"/>
    <x v="0"/>
    <x v="2"/>
    <x v="17"/>
    <n v="0.38"/>
    <n v="0.33"/>
    <x v="17"/>
    <n v="60"/>
    <x v="37"/>
  </r>
  <r>
    <n v="965"/>
    <x v="42"/>
    <x v="19"/>
    <x v="3"/>
    <x v="0"/>
    <x v="0"/>
    <x v="0"/>
    <x v="1"/>
    <x v="17"/>
    <n v="0.38"/>
    <n v="0.16"/>
    <x v="4"/>
    <n v="39"/>
    <x v="102"/>
  </r>
  <r>
    <n v="966"/>
    <x v="42"/>
    <x v="20"/>
    <x v="3"/>
    <x v="0"/>
    <x v="0"/>
    <x v="0"/>
    <x v="2"/>
    <x v="12"/>
    <n v="0.41"/>
    <n v="0.22"/>
    <x v="5"/>
    <n v="39"/>
    <x v="1"/>
  </r>
  <r>
    <n v="967"/>
    <x v="42"/>
    <x v="21"/>
    <x v="3"/>
    <x v="0"/>
    <x v="0"/>
    <x v="0"/>
    <x v="24"/>
    <x v="12"/>
    <n v="0.41"/>
    <n v="0"/>
    <x v="14"/>
    <n v="42"/>
    <x v="41"/>
  </r>
  <r>
    <n v="968"/>
    <x v="42"/>
    <x v="22"/>
    <x v="3"/>
    <x v="0"/>
    <x v="0"/>
    <x v="0"/>
    <x v="2"/>
    <x v="0"/>
    <n v="0.44"/>
    <n v="0.09"/>
    <x v="15"/>
    <n v="39"/>
    <x v="79"/>
  </r>
  <r>
    <n v="969"/>
    <x v="42"/>
    <x v="23"/>
    <x v="3"/>
    <x v="0"/>
    <x v="0"/>
    <x v="0"/>
    <x v="11"/>
    <x v="1"/>
    <n v="0.51"/>
    <n v="0.13"/>
    <x v="5"/>
    <n v="31"/>
    <x v="2"/>
  </r>
  <r>
    <n v="970"/>
    <x v="43"/>
    <x v="0"/>
    <x v="0"/>
    <x v="0"/>
    <x v="1"/>
    <x v="0"/>
    <x v="11"/>
    <x v="2"/>
    <n v="0.64"/>
    <n v="0.1"/>
    <x v="2"/>
    <n v="34"/>
    <x v="21"/>
  </r>
  <r>
    <n v="971"/>
    <x v="43"/>
    <x v="1"/>
    <x v="0"/>
    <x v="0"/>
    <x v="1"/>
    <x v="0"/>
    <x v="11"/>
    <x v="2"/>
    <n v="0.59"/>
    <n v="0.09"/>
    <x v="5"/>
    <n v="23"/>
    <x v="108"/>
  </r>
  <r>
    <n v="972"/>
    <x v="43"/>
    <x v="2"/>
    <x v="0"/>
    <x v="0"/>
    <x v="1"/>
    <x v="1"/>
    <x v="11"/>
    <x v="2"/>
    <n v="0.75"/>
    <n v="0.09"/>
    <x v="5"/>
    <n v="19"/>
    <x v="25"/>
  </r>
  <r>
    <n v="973"/>
    <x v="43"/>
    <x v="3"/>
    <x v="0"/>
    <x v="0"/>
    <x v="1"/>
    <x v="1"/>
    <x v="11"/>
    <x v="2"/>
    <n v="0.69"/>
    <n v="0.1"/>
    <x v="17"/>
    <n v="8"/>
    <x v="47"/>
  </r>
  <r>
    <n v="974"/>
    <x v="43"/>
    <x v="4"/>
    <x v="0"/>
    <x v="0"/>
    <x v="1"/>
    <x v="1"/>
    <x v="12"/>
    <x v="2"/>
    <n v="0.69"/>
    <n v="0.16"/>
    <x v="3"/>
    <n v="2"/>
    <x v="5"/>
  </r>
  <r>
    <n v="975"/>
    <x v="43"/>
    <x v="6"/>
    <x v="1"/>
    <x v="0"/>
    <x v="1"/>
    <x v="1"/>
    <x v="12"/>
    <x v="2"/>
    <n v="0.69"/>
    <n v="0.13"/>
    <x v="4"/>
    <n v="3"/>
    <x v="36"/>
  </r>
  <r>
    <n v="976"/>
    <x v="43"/>
    <x v="7"/>
    <x v="1"/>
    <x v="0"/>
    <x v="1"/>
    <x v="1"/>
    <x v="1"/>
    <x v="1"/>
    <n v="0.55000000000000004"/>
    <n v="0"/>
    <x v="3"/>
    <n v="3"/>
    <x v="6"/>
  </r>
  <r>
    <n v="977"/>
    <x v="43"/>
    <x v="8"/>
    <x v="1"/>
    <x v="0"/>
    <x v="1"/>
    <x v="1"/>
    <x v="11"/>
    <x v="1"/>
    <n v="0.64"/>
    <n v="0.19"/>
    <x v="5"/>
    <n v="11"/>
    <x v="47"/>
  </r>
  <r>
    <n v="978"/>
    <x v="43"/>
    <x v="9"/>
    <x v="1"/>
    <x v="0"/>
    <x v="1"/>
    <x v="1"/>
    <x v="11"/>
    <x v="0"/>
    <n v="0.6"/>
    <n v="0.22"/>
    <x v="6"/>
    <n v="35"/>
    <x v="105"/>
  </r>
  <r>
    <n v="979"/>
    <x v="43"/>
    <x v="10"/>
    <x v="1"/>
    <x v="0"/>
    <x v="1"/>
    <x v="0"/>
    <x v="1"/>
    <x v="11"/>
    <n v="0.45"/>
    <n v="0.33"/>
    <x v="21"/>
    <n v="86"/>
    <x v="136"/>
  </r>
  <r>
    <n v="980"/>
    <x v="43"/>
    <x v="11"/>
    <x v="1"/>
    <x v="0"/>
    <x v="1"/>
    <x v="0"/>
    <x v="0"/>
    <x v="3"/>
    <n v="0.39"/>
    <n v="0.45"/>
    <x v="7"/>
    <n v="86"/>
    <x v="59"/>
  </r>
  <r>
    <n v="981"/>
    <x v="43"/>
    <x v="12"/>
    <x v="2"/>
    <x v="0"/>
    <x v="1"/>
    <x v="0"/>
    <x v="20"/>
    <x v="5"/>
    <n v="0.32"/>
    <n v="0.46"/>
    <x v="39"/>
    <n v="94"/>
    <x v="148"/>
  </r>
  <r>
    <n v="982"/>
    <x v="43"/>
    <x v="13"/>
    <x v="2"/>
    <x v="0"/>
    <x v="1"/>
    <x v="0"/>
    <x v="5"/>
    <x v="4"/>
    <n v="0.28999999999999998"/>
    <n v="0.36"/>
    <x v="40"/>
    <n v="92"/>
    <x v="38"/>
  </r>
  <r>
    <n v="983"/>
    <x v="43"/>
    <x v="14"/>
    <x v="2"/>
    <x v="0"/>
    <x v="1"/>
    <x v="1"/>
    <x v="10"/>
    <x v="9"/>
    <n v="0.3"/>
    <n v="0.42"/>
    <x v="41"/>
    <n v="110"/>
    <x v="143"/>
  </r>
  <r>
    <n v="984"/>
    <x v="43"/>
    <x v="15"/>
    <x v="2"/>
    <x v="0"/>
    <x v="1"/>
    <x v="1"/>
    <x v="10"/>
    <x v="9"/>
    <n v="0.3"/>
    <n v="0.3"/>
    <x v="11"/>
    <n v="122"/>
    <x v="123"/>
  </r>
  <r>
    <n v="985"/>
    <x v="43"/>
    <x v="16"/>
    <x v="2"/>
    <x v="0"/>
    <x v="1"/>
    <x v="1"/>
    <x v="7"/>
    <x v="6"/>
    <n v="0.28000000000000003"/>
    <n v="0.33"/>
    <x v="32"/>
    <n v="106"/>
    <x v="87"/>
  </r>
  <r>
    <n v="986"/>
    <x v="43"/>
    <x v="17"/>
    <x v="2"/>
    <x v="0"/>
    <x v="1"/>
    <x v="0"/>
    <x v="7"/>
    <x v="6"/>
    <n v="0.28000000000000003"/>
    <n v="0.33"/>
    <x v="36"/>
    <n v="95"/>
    <x v="139"/>
  </r>
  <r>
    <n v="987"/>
    <x v="43"/>
    <x v="18"/>
    <x v="3"/>
    <x v="0"/>
    <x v="1"/>
    <x v="0"/>
    <x v="10"/>
    <x v="9"/>
    <n v="0.32"/>
    <n v="0.3"/>
    <x v="26"/>
    <n v="78"/>
    <x v="76"/>
  </r>
  <r>
    <n v="988"/>
    <x v="43"/>
    <x v="19"/>
    <x v="3"/>
    <x v="0"/>
    <x v="1"/>
    <x v="0"/>
    <x v="10"/>
    <x v="9"/>
    <n v="0.35"/>
    <n v="0.28000000000000003"/>
    <x v="16"/>
    <n v="50"/>
    <x v="42"/>
  </r>
  <r>
    <n v="989"/>
    <x v="43"/>
    <x v="20"/>
    <x v="3"/>
    <x v="0"/>
    <x v="1"/>
    <x v="0"/>
    <x v="10"/>
    <x v="9"/>
    <n v="0.35"/>
    <n v="0.33"/>
    <x v="13"/>
    <n v="32"/>
    <x v="105"/>
  </r>
  <r>
    <n v="990"/>
    <x v="43"/>
    <x v="21"/>
    <x v="3"/>
    <x v="0"/>
    <x v="1"/>
    <x v="0"/>
    <x v="10"/>
    <x v="9"/>
    <n v="0.35"/>
    <n v="0.36"/>
    <x v="15"/>
    <n v="45"/>
    <x v="41"/>
  </r>
  <r>
    <n v="991"/>
    <x v="43"/>
    <x v="22"/>
    <x v="3"/>
    <x v="0"/>
    <x v="1"/>
    <x v="0"/>
    <x v="10"/>
    <x v="9"/>
    <n v="0.35"/>
    <n v="0.3"/>
    <x v="2"/>
    <n v="31"/>
    <x v="9"/>
  </r>
  <r>
    <n v="992"/>
    <x v="43"/>
    <x v="23"/>
    <x v="3"/>
    <x v="0"/>
    <x v="1"/>
    <x v="0"/>
    <x v="10"/>
    <x v="9"/>
    <n v="0.35"/>
    <n v="0.36"/>
    <x v="0"/>
    <n v="27"/>
    <x v="33"/>
  </r>
  <r>
    <n v="993"/>
    <x v="44"/>
    <x v="0"/>
    <x v="0"/>
    <x v="0"/>
    <x v="2"/>
    <x v="0"/>
    <x v="5"/>
    <x v="4"/>
    <n v="0.37"/>
    <n v="0.36"/>
    <x v="0"/>
    <n v="8"/>
    <x v="62"/>
  </r>
  <r>
    <n v="994"/>
    <x v="44"/>
    <x v="1"/>
    <x v="0"/>
    <x v="0"/>
    <x v="2"/>
    <x v="0"/>
    <x v="5"/>
    <x v="4"/>
    <n v="0.37"/>
    <n v="0.36"/>
    <x v="5"/>
    <n v="6"/>
    <x v="85"/>
  </r>
  <r>
    <n v="995"/>
    <x v="44"/>
    <x v="2"/>
    <x v="0"/>
    <x v="0"/>
    <x v="2"/>
    <x v="0"/>
    <x v="6"/>
    <x v="5"/>
    <n v="0.4"/>
    <n v="0.3"/>
    <x v="3"/>
    <n v="2"/>
    <x v="5"/>
  </r>
  <r>
    <n v="996"/>
    <x v="44"/>
    <x v="3"/>
    <x v="0"/>
    <x v="0"/>
    <x v="2"/>
    <x v="0"/>
    <x v="20"/>
    <x v="10"/>
    <n v="0.46"/>
    <n v="0.22"/>
    <x v="5"/>
    <n v="1"/>
    <x v="5"/>
  </r>
  <r>
    <n v="997"/>
    <x v="44"/>
    <x v="4"/>
    <x v="0"/>
    <x v="0"/>
    <x v="2"/>
    <x v="0"/>
    <x v="24"/>
    <x v="3"/>
    <n v="0.53"/>
    <n v="0.28000000000000003"/>
    <x v="3"/>
    <n v="2"/>
    <x v="5"/>
  </r>
  <r>
    <n v="998"/>
    <x v="44"/>
    <x v="5"/>
    <x v="0"/>
    <x v="0"/>
    <x v="2"/>
    <x v="0"/>
    <x v="24"/>
    <x v="3"/>
    <n v="0.53"/>
    <n v="0.28000000000000003"/>
    <x v="3"/>
    <n v="3"/>
    <x v="6"/>
  </r>
  <r>
    <n v="999"/>
    <x v="44"/>
    <x v="6"/>
    <x v="1"/>
    <x v="0"/>
    <x v="2"/>
    <x v="0"/>
    <x v="24"/>
    <x v="10"/>
    <n v="0.46"/>
    <n v="0.3"/>
    <x v="5"/>
    <n v="25"/>
    <x v="132"/>
  </r>
  <r>
    <n v="1000"/>
    <x v="44"/>
    <x v="7"/>
    <x v="1"/>
    <x v="0"/>
    <x v="2"/>
    <x v="0"/>
    <x v="24"/>
    <x v="10"/>
    <n v="0.46"/>
    <n v="0.3"/>
    <x v="4"/>
    <n v="96"/>
    <x v="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s v="Night"/>
    <b v="0"/>
    <s v="Saturday"/>
    <s v="Clear Weather"/>
    <n v="0.28999999999999998"/>
    <n v="0.24"/>
    <x v="0"/>
    <x v="0"/>
    <x v="0"/>
    <x v="0"/>
    <x v="0"/>
  </r>
  <r>
    <n v="1"/>
    <s v="Night"/>
    <b v="0"/>
    <s v="Saturday"/>
    <s v="Clear Weather"/>
    <n v="0.27"/>
    <n v="0.22"/>
    <x v="1"/>
    <x v="0"/>
    <x v="1"/>
    <x v="1"/>
    <x v="1"/>
  </r>
  <r>
    <n v="2"/>
    <s v="Night"/>
    <b v="0"/>
    <s v="Saturday"/>
    <s v="Clear Weather"/>
    <n v="0.27"/>
    <n v="0.22"/>
    <x v="1"/>
    <x v="0"/>
    <x v="2"/>
    <x v="2"/>
    <x v="2"/>
  </r>
  <r>
    <n v="3"/>
    <s v="Night"/>
    <b v="0"/>
    <s v="Saturday"/>
    <s v="Clear Weather"/>
    <n v="0.28999999999999998"/>
    <n v="0.24"/>
    <x v="2"/>
    <x v="0"/>
    <x v="0"/>
    <x v="3"/>
    <x v="3"/>
  </r>
  <r>
    <n v="4"/>
    <s v="Night"/>
    <b v="0"/>
    <s v="Saturday"/>
    <s v="Clear Weather"/>
    <n v="0.28999999999999998"/>
    <n v="0.24"/>
    <x v="2"/>
    <x v="0"/>
    <x v="3"/>
    <x v="4"/>
    <x v="4"/>
  </r>
  <r>
    <n v="5"/>
    <s v="Night"/>
    <b v="0"/>
    <s v="Saturday"/>
    <s v="Light Rain"/>
    <n v="0.26"/>
    <n v="0.24"/>
    <x v="2"/>
    <x v="1"/>
    <x v="3"/>
    <x v="4"/>
    <x v="4"/>
  </r>
  <r>
    <n v="6"/>
    <s v="Morning"/>
    <b v="0"/>
    <s v="Saturday"/>
    <s v="Clear Weather"/>
    <n v="0.27"/>
    <n v="0.22"/>
    <x v="1"/>
    <x v="0"/>
    <x v="4"/>
    <x v="5"/>
    <x v="5"/>
  </r>
  <r>
    <n v="7"/>
    <s v="Morning"/>
    <b v="0"/>
    <s v="Saturday"/>
    <s v="Clear Weather"/>
    <n v="0.26"/>
    <n v="0.2"/>
    <x v="3"/>
    <x v="0"/>
    <x v="5"/>
    <x v="6"/>
    <x v="6"/>
  </r>
  <r>
    <n v="8"/>
    <s v="Morning"/>
    <b v="0"/>
    <s v="Saturday"/>
    <s v="Clear Weather"/>
    <n v="0.2"/>
    <n v="0.24"/>
    <x v="2"/>
    <x v="0"/>
    <x v="5"/>
    <x v="7"/>
    <x v="7"/>
  </r>
  <r>
    <n v="9"/>
    <s v="Morning"/>
    <b v="0"/>
    <s v="Saturday"/>
    <s v="Clear Weather"/>
    <n v="0.35"/>
    <n v="0.32"/>
    <x v="4"/>
    <x v="0"/>
    <x v="1"/>
    <x v="8"/>
    <x v="8"/>
  </r>
  <r>
    <n v="10"/>
    <s v="Morning"/>
    <b v="0"/>
    <s v="Saturday"/>
    <s v="Clear Weather"/>
    <n v="0.39"/>
    <n v="0.38"/>
    <x v="4"/>
    <x v="2"/>
    <x v="6"/>
    <x v="9"/>
    <x v="9"/>
  </r>
  <r>
    <n v="11"/>
    <s v="Morning"/>
    <b v="0"/>
    <s v="Saturday"/>
    <s v="Clear Weather"/>
    <n v="0.33"/>
    <n v="0.36"/>
    <x v="0"/>
    <x v="3"/>
    <x v="7"/>
    <x v="10"/>
    <x v="10"/>
  </r>
  <r>
    <n v="12"/>
    <s v="Afternoon"/>
    <b v="0"/>
    <s v="Saturday"/>
    <s v="Clear Weather"/>
    <n v="0.42"/>
    <n v="0.42"/>
    <x v="5"/>
    <x v="3"/>
    <x v="8"/>
    <x v="11"/>
    <x v="11"/>
  </r>
  <r>
    <n v="13"/>
    <s v="Afternoon"/>
    <b v="0"/>
    <s v="Saturday"/>
    <s v="Light Rain"/>
    <n v="0.45"/>
    <n v="0.46"/>
    <x v="6"/>
    <x v="4"/>
    <x v="9"/>
    <x v="12"/>
    <x v="12"/>
  </r>
  <r>
    <n v="14"/>
    <s v="Afternoon"/>
    <b v="0"/>
    <s v="Saturday"/>
    <s v="Light Rain"/>
    <n v="0.45"/>
    <n v="0.46"/>
    <x v="6"/>
    <x v="3"/>
    <x v="10"/>
    <x v="13"/>
    <x v="13"/>
  </r>
  <r>
    <n v="15"/>
    <s v="Afternoon"/>
    <b v="0"/>
    <s v="Saturday"/>
    <s v="Light Rain"/>
    <n v="0.44"/>
    <n v="0.44"/>
    <x v="5"/>
    <x v="4"/>
    <x v="11"/>
    <x v="14"/>
    <x v="14"/>
  </r>
  <r>
    <n v="16"/>
    <s v="Afternoon"/>
    <b v="0"/>
    <s v="Saturday"/>
    <s v="Light Rain"/>
    <n v="0.42"/>
    <n v="0.42"/>
    <x v="7"/>
    <x v="4"/>
    <x v="12"/>
    <x v="15"/>
    <x v="15"/>
  </r>
  <r>
    <n v="17"/>
    <s v="Afternoon"/>
    <b v="0"/>
    <s v="Saturday"/>
    <s v="Light Rain"/>
    <n v="0.2"/>
    <n v="0.44"/>
    <x v="7"/>
    <x v="3"/>
    <x v="13"/>
    <x v="15"/>
    <x v="16"/>
  </r>
  <r>
    <n v="18"/>
    <s v="Evening"/>
    <b v="0"/>
    <s v="Saturday"/>
    <s v="Heavy Rain"/>
    <n v="0.42"/>
    <n v="0.42"/>
    <x v="8"/>
    <x v="2"/>
    <x v="14"/>
    <x v="16"/>
    <x v="17"/>
  </r>
  <r>
    <n v="19"/>
    <s v="Evening"/>
    <b v="0"/>
    <s v="Saturday"/>
    <s v="Heavy Rain"/>
    <n v="0.42"/>
    <n v="0.42"/>
    <x v="8"/>
    <x v="2"/>
    <x v="15"/>
    <x v="17"/>
    <x v="18"/>
  </r>
  <r>
    <n v="20"/>
    <s v="Evening"/>
    <b v="0"/>
    <s v="Saturday"/>
    <s v="Light Rain"/>
    <n v="0.41"/>
    <n v="0.4"/>
    <x v="9"/>
    <x v="2"/>
    <x v="16"/>
    <x v="18"/>
    <x v="9"/>
  </r>
  <r>
    <n v="21"/>
    <s v="Evening"/>
    <b v="0"/>
    <s v="Saturday"/>
    <s v="Light Rain"/>
    <n v="0.41"/>
    <n v="0.4"/>
    <x v="9"/>
    <x v="5"/>
    <x v="0"/>
    <x v="17"/>
    <x v="19"/>
  </r>
  <r>
    <n v="22"/>
    <s v="Evening"/>
    <b v="0"/>
    <s v="Saturday"/>
    <s v="Light Rain"/>
    <n v="0.41"/>
    <n v="0.4"/>
    <x v="10"/>
    <x v="6"/>
    <x v="16"/>
    <x v="19"/>
    <x v="20"/>
  </r>
  <r>
    <n v="23"/>
    <s v="Evening"/>
    <b v="0"/>
    <s v="Saturday"/>
    <s v="Light Rain"/>
    <n v="0.2"/>
    <n v="0.46"/>
    <x v="8"/>
    <x v="4"/>
    <x v="13"/>
    <x v="9"/>
    <x v="21"/>
  </r>
  <r>
    <n v="0"/>
    <s v="Night"/>
    <b v="0"/>
    <s v="Sunday"/>
    <s v="Light Rain"/>
    <n v="0.45"/>
    <n v="0.46"/>
    <x v="8"/>
    <x v="4"/>
    <x v="17"/>
    <x v="0"/>
    <x v="22"/>
  </r>
  <r>
    <n v="1"/>
    <s v="Night"/>
    <b v="0"/>
    <s v="Sunday"/>
    <s v="Light Rain"/>
    <n v="0.44"/>
    <n v="0.44"/>
    <x v="10"/>
    <x v="2"/>
    <x v="5"/>
    <x v="20"/>
    <x v="22"/>
  </r>
  <r>
    <n v="2"/>
    <s v="Night"/>
    <b v="0"/>
    <s v="Sunday"/>
    <s v="Light Rain"/>
    <n v="0.42"/>
    <n v="0.42"/>
    <x v="11"/>
    <x v="3"/>
    <x v="5"/>
    <x v="21"/>
    <x v="23"/>
  </r>
  <r>
    <n v="3"/>
    <s v="Night"/>
    <b v="0"/>
    <s v="Sunday"/>
    <s v="Light Rain"/>
    <n v="0.45"/>
    <n v="0.46"/>
    <x v="10"/>
    <x v="5"/>
    <x v="4"/>
    <x v="22"/>
    <x v="24"/>
  </r>
  <r>
    <n v="4"/>
    <s v="Night"/>
    <b v="0"/>
    <s v="Sunday"/>
    <s v="Light Rain"/>
    <n v="0.2"/>
    <n v="0.46"/>
    <x v="10"/>
    <x v="5"/>
    <x v="4"/>
    <x v="4"/>
    <x v="6"/>
  </r>
  <r>
    <n v="6"/>
    <s v="Morning"/>
    <b v="0"/>
    <s v="Sunday"/>
    <s v="Heavy Rain"/>
    <n v="0.42"/>
    <n v="0.42"/>
    <x v="5"/>
    <x v="4"/>
    <x v="3"/>
    <x v="6"/>
    <x v="5"/>
  </r>
  <r>
    <n v="7"/>
    <s v="Morning"/>
    <b v="0"/>
    <s v="Sunday"/>
    <s v="Light Rain"/>
    <n v="0.41"/>
    <n v="0.4"/>
    <x v="4"/>
    <x v="5"/>
    <x v="3"/>
    <x v="4"/>
    <x v="4"/>
  </r>
  <r>
    <n v="8"/>
    <s v="Morning"/>
    <b v="0"/>
    <s v="Sunday"/>
    <s v="Heavy Rain"/>
    <n v="0.41"/>
    <n v="0.4"/>
    <x v="12"/>
    <x v="6"/>
    <x v="3"/>
    <x v="21"/>
    <x v="7"/>
  </r>
  <r>
    <n v="9"/>
    <s v="Morning"/>
    <b v="0"/>
    <s v="Sunday"/>
    <s v="Light Rain"/>
    <n v="0.2"/>
    <n v="0.38"/>
    <x v="4"/>
    <x v="6"/>
    <x v="5"/>
    <x v="23"/>
    <x v="25"/>
  </r>
  <r>
    <n v="10"/>
    <s v="Morning"/>
    <b v="0"/>
    <s v="Sunday"/>
    <s v="Light Rain"/>
    <n v="0.35"/>
    <n v="0.36"/>
    <x v="0"/>
    <x v="6"/>
    <x v="18"/>
    <x v="24"/>
    <x v="26"/>
  </r>
  <r>
    <n v="11"/>
    <s v="Morning"/>
    <b v="0"/>
    <s v="Sunday"/>
    <s v="Light Rain"/>
    <n v="0.33"/>
    <n v="0.36"/>
    <x v="12"/>
    <x v="2"/>
    <x v="19"/>
    <x v="25"/>
    <x v="27"/>
  </r>
  <r>
    <n v="12"/>
    <s v="Afternoon"/>
    <b v="0"/>
    <s v="Sunday"/>
    <s v="Light Rain"/>
    <n v="0.33"/>
    <n v="0.36"/>
    <x v="13"/>
    <x v="4"/>
    <x v="20"/>
    <x v="26"/>
    <x v="15"/>
  </r>
  <r>
    <n v="13"/>
    <s v="Afternoon"/>
    <b v="0"/>
    <s v="Sunday"/>
    <s v="Light Rain"/>
    <n v="0.35"/>
    <n v="0.36"/>
    <x v="13"/>
    <x v="7"/>
    <x v="16"/>
    <x v="27"/>
    <x v="28"/>
  </r>
  <r>
    <n v="14"/>
    <s v="Afternoon"/>
    <b v="0"/>
    <s v="Sunday"/>
    <s v="Heavy Rain"/>
    <n v="0.2"/>
    <n v="0.36"/>
    <x v="4"/>
    <x v="5"/>
    <x v="17"/>
    <x v="11"/>
    <x v="29"/>
  </r>
  <r>
    <n v="15"/>
    <s v="Afternoon"/>
    <b v="0"/>
    <s v="Sunday"/>
    <s v="Heavy Rain"/>
    <n v="0.33"/>
    <n v="0.34"/>
    <x v="0"/>
    <x v="8"/>
    <x v="21"/>
    <x v="11"/>
    <x v="30"/>
  </r>
  <r>
    <n v="16"/>
    <s v="Afternoon"/>
    <b v="0"/>
    <s v="Sunday"/>
    <s v="Heavy Rain"/>
    <n v="0.33"/>
    <n v="0.34"/>
    <x v="12"/>
    <x v="8"/>
    <x v="14"/>
    <x v="28"/>
    <x v="31"/>
  </r>
  <r>
    <n v="17"/>
    <s v="Afternoon"/>
    <b v="0"/>
    <s v="Sunday"/>
    <s v="Clear Weather"/>
    <n v="0.33"/>
    <n v="0.34"/>
    <x v="14"/>
    <x v="5"/>
    <x v="18"/>
    <x v="29"/>
    <x v="32"/>
  </r>
  <r>
    <n v="18"/>
    <s v="Evening"/>
    <b v="0"/>
    <s v="Sunday"/>
    <s v="Light Rain"/>
    <n v="0.33"/>
    <n v="0.36"/>
    <x v="15"/>
    <x v="9"/>
    <x v="22"/>
    <x v="30"/>
    <x v="26"/>
  </r>
  <r>
    <n v="19"/>
    <s v="Evening"/>
    <b v="0"/>
    <s v="Sunday"/>
    <s v="Clear Weather"/>
    <n v="0.28999999999999998"/>
    <n v="0.32"/>
    <x v="16"/>
    <x v="10"/>
    <x v="5"/>
    <x v="31"/>
    <x v="33"/>
  </r>
  <r>
    <n v="20"/>
    <s v="Evening"/>
    <b v="0"/>
    <s v="Sunday"/>
    <s v="Clear Weather"/>
    <n v="0.2"/>
    <n v="0.3"/>
    <x v="17"/>
    <x v="11"/>
    <x v="2"/>
    <x v="19"/>
    <x v="34"/>
  </r>
  <r>
    <n v="21"/>
    <s v="Evening"/>
    <b v="0"/>
    <s v="Sunday"/>
    <s v="Clear Weather"/>
    <n v="0.23"/>
    <n v="0.26"/>
    <x v="18"/>
    <x v="9"/>
    <x v="16"/>
    <x v="32"/>
    <x v="35"/>
  </r>
  <r>
    <n v="22"/>
    <s v="Evening"/>
    <b v="0"/>
    <s v="Sunday"/>
    <s v="Clear Weather"/>
    <n v="0.21"/>
    <n v="0.24"/>
    <x v="18"/>
    <x v="4"/>
    <x v="3"/>
    <x v="33"/>
    <x v="23"/>
  </r>
  <r>
    <n v="23"/>
    <s v="Evening"/>
    <b v="0"/>
    <s v="Sunday"/>
    <s v="Clear Weather"/>
    <n v="0.23"/>
    <n v="0.22"/>
    <x v="19"/>
    <x v="8"/>
    <x v="3"/>
    <x v="21"/>
    <x v="7"/>
  </r>
  <r>
    <n v="0"/>
    <s v="Night"/>
    <b v="0"/>
    <s v="Monday"/>
    <s v="Clear Weather"/>
    <n v="0.2"/>
    <n v="0.22"/>
    <x v="18"/>
    <x v="11"/>
    <x v="3"/>
    <x v="34"/>
    <x v="36"/>
  </r>
  <r>
    <n v="1"/>
    <s v="Night"/>
    <b v="0"/>
    <s v="Monday"/>
    <s v="Clear Weather"/>
    <n v="0.2"/>
    <n v="0.2"/>
    <x v="18"/>
    <x v="12"/>
    <x v="3"/>
    <x v="6"/>
    <x v="5"/>
  </r>
  <r>
    <n v="4"/>
    <s v="Night"/>
    <b v="0"/>
    <s v="Monday"/>
    <s v="Clear Weather"/>
    <n v="0.14000000000000001"/>
    <n v="0.16"/>
    <x v="19"/>
    <x v="13"/>
    <x v="3"/>
    <x v="4"/>
    <x v="4"/>
  </r>
  <r>
    <n v="5"/>
    <s v="Night"/>
    <b v="0"/>
    <s v="Monday"/>
    <s v="Clear Weather"/>
    <n v="0.14000000000000001"/>
    <n v="0.16"/>
    <x v="19"/>
    <x v="3"/>
    <x v="3"/>
    <x v="35"/>
    <x v="6"/>
  </r>
  <r>
    <n v="6"/>
    <s v="Morning"/>
    <b v="0"/>
    <s v="Monday"/>
    <s v="Clear Weather"/>
    <n v="0.11"/>
    <n v="0.14000000000000001"/>
    <x v="20"/>
    <x v="13"/>
    <x v="3"/>
    <x v="10"/>
    <x v="33"/>
  </r>
  <r>
    <n v="7"/>
    <s v="Morning"/>
    <b v="0"/>
    <s v="Monday"/>
    <s v="Clear Weather"/>
    <n v="0.14000000000000001"/>
    <n v="0.14000000000000001"/>
    <x v="20"/>
    <x v="5"/>
    <x v="5"/>
    <x v="36"/>
    <x v="37"/>
  </r>
  <r>
    <n v="8"/>
    <s v="Morning"/>
    <b v="0"/>
    <s v="Monday"/>
    <s v="Clear Weather"/>
    <n v="0.12"/>
    <n v="0.14000000000000001"/>
    <x v="20"/>
    <x v="3"/>
    <x v="5"/>
    <x v="37"/>
    <x v="38"/>
  </r>
  <r>
    <n v="9"/>
    <s v="Morning"/>
    <b v="0"/>
    <s v="Monday"/>
    <s v="Clear Weather"/>
    <n v="0.14000000000000001"/>
    <n v="0.16"/>
    <x v="21"/>
    <x v="13"/>
    <x v="18"/>
    <x v="38"/>
    <x v="39"/>
  </r>
  <r>
    <n v="10"/>
    <s v="Morning"/>
    <b v="0"/>
    <s v="Monday"/>
    <s v="Clear Weather"/>
    <n v="0.17"/>
    <n v="0.18"/>
    <x v="21"/>
    <x v="2"/>
    <x v="16"/>
    <x v="39"/>
    <x v="40"/>
  </r>
  <r>
    <n v="11"/>
    <s v="Morning"/>
    <b v="0"/>
    <s v="Monday"/>
    <s v="Clear Weather"/>
    <n v="0.18"/>
    <n v="0.2"/>
    <x v="22"/>
    <x v="9"/>
    <x v="22"/>
    <x v="40"/>
    <x v="41"/>
  </r>
  <r>
    <n v="12"/>
    <s v="Afternoon"/>
    <b v="0"/>
    <s v="Monday"/>
    <s v="Clear Weather"/>
    <n v="0.21"/>
    <n v="0.22"/>
    <x v="23"/>
    <x v="4"/>
    <x v="23"/>
    <x v="41"/>
    <x v="42"/>
  </r>
  <r>
    <n v="13"/>
    <s v="Afternoon"/>
    <b v="0"/>
    <s v="Monday"/>
    <s v="Clear Weather"/>
    <n v="0.2"/>
    <n v="0.24"/>
    <x v="23"/>
    <x v="3"/>
    <x v="1"/>
    <x v="42"/>
    <x v="42"/>
  </r>
  <r>
    <n v="14"/>
    <s v="Afternoon"/>
    <b v="0"/>
    <s v="Monday"/>
    <s v="Clear Weather"/>
    <n v="0.24"/>
    <n v="0.26"/>
    <x v="24"/>
    <x v="3"/>
    <x v="16"/>
    <x v="43"/>
    <x v="43"/>
  </r>
  <r>
    <n v="15"/>
    <s v="Afternoon"/>
    <b v="0"/>
    <s v="Monday"/>
    <s v="Clear Weather"/>
    <n v="0.24"/>
    <n v="0.26"/>
    <x v="24"/>
    <x v="2"/>
    <x v="24"/>
    <x v="29"/>
    <x v="44"/>
  </r>
  <r>
    <n v="16"/>
    <s v="Afternoon"/>
    <b v="0"/>
    <s v="Monday"/>
    <s v="Clear Weather"/>
    <n v="0.24"/>
    <n v="0.26"/>
    <x v="24"/>
    <x v="2"/>
    <x v="14"/>
    <x v="28"/>
    <x v="31"/>
  </r>
  <r>
    <n v="17"/>
    <s v="Afternoon"/>
    <b v="0"/>
    <s v="Monday"/>
    <s v="Clear Weather"/>
    <n v="0.23"/>
    <n v="0.24"/>
    <x v="24"/>
    <x v="6"/>
    <x v="16"/>
    <x v="44"/>
    <x v="45"/>
  </r>
  <r>
    <n v="18"/>
    <s v="Evening"/>
    <b v="0"/>
    <s v="Monday"/>
    <s v="Clear Weather"/>
    <n v="0.26"/>
    <n v="0.24"/>
    <x v="25"/>
    <x v="14"/>
    <x v="14"/>
    <x v="45"/>
    <x v="45"/>
  </r>
  <r>
    <n v="19"/>
    <s v="Evening"/>
    <b v="0"/>
    <s v="Monday"/>
    <s v="Clear Weather"/>
    <n v="0.26"/>
    <n v="0.2"/>
    <x v="19"/>
    <x v="0"/>
    <x v="1"/>
    <x v="46"/>
    <x v="14"/>
  </r>
  <r>
    <n v="20"/>
    <s v="Evening"/>
    <b v="0"/>
    <s v="Monday"/>
    <s v="Clear Weather"/>
    <n v="0.2"/>
    <n v="0.2"/>
    <x v="19"/>
    <x v="14"/>
    <x v="0"/>
    <x v="47"/>
    <x v="46"/>
  </r>
  <r>
    <n v="21"/>
    <s v="Evening"/>
    <b v="0"/>
    <s v="Monday"/>
    <s v="Clear Weather"/>
    <n v="0.2"/>
    <n v="0.18"/>
    <x v="26"/>
    <x v="7"/>
    <x v="0"/>
    <x v="47"/>
    <x v="46"/>
  </r>
  <r>
    <n v="22"/>
    <s v="Evening"/>
    <b v="0"/>
    <s v="Monday"/>
    <s v="Clear Weather"/>
    <n v="0.15"/>
    <n v="0.14000000000000001"/>
    <x v="27"/>
    <x v="7"/>
    <x v="3"/>
    <x v="32"/>
    <x v="25"/>
  </r>
  <r>
    <n v="23"/>
    <s v="Evening"/>
    <b v="0"/>
    <s v="Monday"/>
    <s v="Clear Weather"/>
    <n v="0.21"/>
    <n v="0.18"/>
    <x v="28"/>
    <x v="14"/>
    <x v="5"/>
    <x v="48"/>
    <x v="47"/>
  </r>
  <r>
    <n v="0"/>
    <s v="Night"/>
    <b v="0"/>
    <s v="Tuesday"/>
    <s v="Clear Weather"/>
    <n v="0.2"/>
    <n v="0.16"/>
    <x v="28"/>
    <x v="14"/>
    <x v="3"/>
    <x v="34"/>
    <x v="36"/>
  </r>
  <r>
    <n v="1"/>
    <s v="Night"/>
    <b v="0"/>
    <s v="Tuesday"/>
    <s v="Clear Weather"/>
    <n v="0.18"/>
    <n v="0.16"/>
    <x v="29"/>
    <x v="14"/>
    <x v="3"/>
    <x v="6"/>
    <x v="5"/>
  </r>
  <r>
    <n v="2"/>
    <s v="Night"/>
    <b v="0"/>
    <s v="Tuesday"/>
    <s v="Clear Weather"/>
    <n v="0.15"/>
    <n v="0.14000000000000001"/>
    <x v="30"/>
    <x v="7"/>
    <x v="3"/>
    <x v="4"/>
    <x v="4"/>
  </r>
  <r>
    <n v="4"/>
    <s v="Night"/>
    <b v="0"/>
    <s v="Tuesday"/>
    <s v="Clear Weather"/>
    <n v="0.18"/>
    <n v="0.14000000000000001"/>
    <x v="30"/>
    <x v="1"/>
    <x v="3"/>
    <x v="6"/>
    <x v="5"/>
  </r>
  <r>
    <n v="5"/>
    <s v="Night"/>
    <b v="0"/>
    <s v="Tuesday"/>
    <s v="Clear Weather"/>
    <n v="0.15"/>
    <n v="0.12"/>
    <x v="31"/>
    <x v="14"/>
    <x v="3"/>
    <x v="22"/>
    <x v="48"/>
  </r>
  <r>
    <n v="6"/>
    <s v="Morning"/>
    <b v="0"/>
    <s v="Tuesday"/>
    <s v="Clear Weather"/>
    <n v="0.15"/>
    <n v="0.12"/>
    <x v="32"/>
    <x v="14"/>
    <x v="3"/>
    <x v="49"/>
    <x v="9"/>
  </r>
  <r>
    <n v="7"/>
    <s v="Morning"/>
    <b v="0"/>
    <s v="Tuesday"/>
    <s v="Clear Weather"/>
    <n v="0.15"/>
    <n v="0.12"/>
    <x v="32"/>
    <x v="7"/>
    <x v="4"/>
    <x v="50"/>
    <x v="12"/>
  </r>
  <r>
    <n v="8"/>
    <s v="Morning"/>
    <b v="0"/>
    <s v="Tuesday"/>
    <s v="Clear Weather"/>
    <n v="0.15"/>
    <n v="0.14000000000000001"/>
    <x v="27"/>
    <x v="8"/>
    <x v="4"/>
    <x v="51"/>
    <x v="49"/>
  </r>
  <r>
    <n v="9"/>
    <s v="Morning"/>
    <b v="0"/>
    <s v="Tuesday"/>
    <s v="Clear Weather"/>
    <n v="0.15"/>
    <n v="0.16"/>
    <x v="26"/>
    <x v="6"/>
    <x v="4"/>
    <x v="52"/>
    <x v="50"/>
  </r>
  <r>
    <n v="10"/>
    <s v="Morning"/>
    <b v="0"/>
    <s v="Tuesday"/>
    <s v="Light Rain"/>
    <n v="0.14000000000000001"/>
    <n v="0.16"/>
    <x v="27"/>
    <x v="9"/>
    <x v="2"/>
    <x v="53"/>
    <x v="51"/>
  </r>
  <r>
    <n v="11"/>
    <s v="Morning"/>
    <b v="0"/>
    <s v="Tuesday"/>
    <s v="Clear Weather"/>
    <n v="0.21"/>
    <n v="0.22"/>
    <x v="33"/>
    <x v="4"/>
    <x v="18"/>
    <x v="54"/>
    <x v="52"/>
  </r>
  <r>
    <n v="12"/>
    <s v="Afternoon"/>
    <b v="0"/>
    <s v="Tuesday"/>
    <s v="Clear Weather"/>
    <n v="0.23"/>
    <n v="0.22"/>
    <x v="33"/>
    <x v="8"/>
    <x v="6"/>
    <x v="43"/>
    <x v="53"/>
  </r>
  <r>
    <n v="13"/>
    <s v="Afternoon"/>
    <b v="0"/>
    <s v="Tuesday"/>
    <s v="Clear Weather"/>
    <n v="0.23"/>
    <n v="0.24"/>
    <x v="34"/>
    <x v="5"/>
    <x v="25"/>
    <x v="55"/>
    <x v="54"/>
  </r>
  <r>
    <n v="14"/>
    <s v="Afternoon"/>
    <b v="0"/>
    <s v="Tuesday"/>
    <s v="Clear Weather"/>
    <n v="0.26"/>
    <n v="0.26"/>
    <x v="35"/>
    <x v="6"/>
    <x v="14"/>
    <x v="25"/>
    <x v="55"/>
  </r>
  <r>
    <n v="15"/>
    <s v="Afternoon"/>
    <b v="0"/>
    <s v="Tuesday"/>
    <s v="Clear Weather"/>
    <n v="0.27"/>
    <n v="0.28000000000000003"/>
    <x v="35"/>
    <x v="2"/>
    <x v="26"/>
    <x v="41"/>
    <x v="32"/>
  </r>
  <r>
    <n v="16"/>
    <s v="Afternoon"/>
    <b v="0"/>
    <s v="Tuesday"/>
    <s v="Clear Weather"/>
    <n v="0.28999999999999998"/>
    <n v="0.3"/>
    <x v="36"/>
    <x v="2"/>
    <x v="13"/>
    <x v="56"/>
    <x v="56"/>
  </r>
  <r>
    <n v="17"/>
    <s v="Afternoon"/>
    <b v="0"/>
    <s v="Tuesday"/>
    <s v="Clear Weather"/>
    <n v="0.27"/>
    <n v="0.28000000000000003"/>
    <x v="37"/>
    <x v="6"/>
    <x v="22"/>
    <x v="57"/>
    <x v="57"/>
  </r>
  <r>
    <n v="18"/>
    <s v="Evening"/>
    <b v="0"/>
    <s v="Tuesday"/>
    <s v="Clear Weather"/>
    <n v="0.26"/>
    <n v="0.26"/>
    <x v="37"/>
    <x v="5"/>
    <x v="0"/>
    <x v="58"/>
    <x v="58"/>
  </r>
  <r>
    <n v="19"/>
    <s v="Evening"/>
    <b v="0"/>
    <s v="Tuesday"/>
    <s v="Clear Weather"/>
    <n v="0.26"/>
    <n v="0.24"/>
    <x v="37"/>
    <x v="14"/>
    <x v="4"/>
    <x v="59"/>
    <x v="59"/>
  </r>
  <r>
    <n v="20"/>
    <s v="Evening"/>
    <b v="0"/>
    <s v="Tuesday"/>
    <s v="Clear Weather"/>
    <n v="0.26"/>
    <n v="0.24"/>
    <x v="37"/>
    <x v="14"/>
    <x v="5"/>
    <x v="42"/>
    <x v="60"/>
  </r>
  <r>
    <n v="21"/>
    <s v="Evening"/>
    <b v="0"/>
    <s v="Tuesday"/>
    <s v="Clear Weather"/>
    <n v="0.27"/>
    <n v="0.22"/>
    <x v="26"/>
    <x v="0"/>
    <x v="3"/>
    <x v="41"/>
    <x v="61"/>
  </r>
  <r>
    <n v="22"/>
    <s v="Evening"/>
    <b v="0"/>
    <s v="Tuesday"/>
    <s v="Clear Weather"/>
    <n v="0.26"/>
    <n v="0.22"/>
    <x v="26"/>
    <x v="1"/>
    <x v="5"/>
    <x v="60"/>
    <x v="17"/>
  </r>
  <r>
    <n v="23"/>
    <s v="Evening"/>
    <b v="0"/>
    <s v="Tuesday"/>
    <s v="Clear Weather"/>
    <n v="0.23"/>
    <n v="0.2"/>
    <x v="27"/>
    <x v="1"/>
    <x v="4"/>
    <x v="33"/>
    <x v="62"/>
  </r>
  <r>
    <n v="0"/>
    <s v="Night"/>
    <b v="0"/>
    <s v="Wednesday"/>
    <s v="Clear Weather"/>
    <n v="0.26"/>
    <n v="0.2"/>
    <x v="26"/>
    <x v="0"/>
    <x v="3"/>
    <x v="8"/>
    <x v="24"/>
  </r>
  <r>
    <n v="1"/>
    <s v="Night"/>
    <b v="0"/>
    <s v="Wednesday"/>
    <s v="Clear Weather"/>
    <n v="0.2"/>
    <n v="0.16"/>
    <x v="32"/>
    <x v="1"/>
    <x v="3"/>
    <x v="8"/>
    <x v="24"/>
  </r>
  <r>
    <n v="2"/>
    <s v="Night"/>
    <b v="0"/>
    <s v="Wednesday"/>
    <s v="Clear Weather"/>
    <n v="0.2"/>
    <n v="0.16"/>
    <x v="32"/>
    <x v="1"/>
    <x v="3"/>
    <x v="6"/>
    <x v="5"/>
  </r>
  <r>
    <n v="4"/>
    <s v="Night"/>
    <b v="0"/>
    <s v="Wednesday"/>
    <s v="Clear Weather"/>
    <n v="0.23"/>
    <n v="0.24"/>
    <x v="37"/>
    <x v="6"/>
    <x v="3"/>
    <x v="6"/>
    <x v="5"/>
  </r>
  <r>
    <n v="5"/>
    <s v="Night"/>
    <b v="0"/>
    <s v="Wednesday"/>
    <s v="Clear Weather"/>
    <n v="0.23"/>
    <n v="0.22"/>
    <x v="19"/>
    <x v="8"/>
    <x v="3"/>
    <x v="35"/>
    <x v="6"/>
  </r>
  <r>
    <n v="6"/>
    <s v="Morning"/>
    <b v="0"/>
    <s v="Wednesday"/>
    <s v="Clear Weather"/>
    <n v="0.2"/>
    <n v="0.2"/>
    <x v="19"/>
    <x v="6"/>
    <x v="3"/>
    <x v="39"/>
    <x v="63"/>
  </r>
  <r>
    <n v="7"/>
    <s v="Morning"/>
    <b v="0"/>
    <s v="Wednesday"/>
    <s v="Clear Weather"/>
    <n v="0.18"/>
    <n v="0.18"/>
    <x v="21"/>
    <x v="5"/>
    <x v="5"/>
    <x v="61"/>
    <x v="39"/>
  </r>
  <r>
    <n v="8"/>
    <s v="Morning"/>
    <b v="0"/>
    <s v="Wednesday"/>
    <s v="Clear Weather"/>
    <n v="0.18"/>
    <n v="0.2"/>
    <x v="22"/>
    <x v="4"/>
    <x v="0"/>
    <x v="62"/>
    <x v="64"/>
  </r>
  <r>
    <n v="9"/>
    <s v="Morning"/>
    <b v="0"/>
    <s v="Wednesday"/>
    <s v="Clear Weather"/>
    <n v="0.2"/>
    <n v="0.22"/>
    <x v="38"/>
    <x v="9"/>
    <x v="15"/>
    <x v="63"/>
    <x v="65"/>
  </r>
  <r>
    <n v="10"/>
    <s v="Morning"/>
    <b v="0"/>
    <s v="Wednesday"/>
    <s v="Clear Weather"/>
    <n v="0.2"/>
    <n v="0.22"/>
    <x v="38"/>
    <x v="9"/>
    <x v="17"/>
    <x v="42"/>
    <x v="52"/>
  </r>
  <r>
    <n v="11"/>
    <s v="Morning"/>
    <b v="0"/>
    <s v="Wednesday"/>
    <s v="Clear Weather"/>
    <n v="0.23"/>
    <n v="0.26"/>
    <x v="39"/>
    <x v="9"/>
    <x v="6"/>
    <x v="60"/>
    <x v="66"/>
  </r>
  <r>
    <n v="12"/>
    <s v="Afternoon"/>
    <b v="0"/>
    <s v="Wednesday"/>
    <s v="Clear Weather"/>
    <n v="0.23"/>
    <n v="0.26"/>
    <x v="39"/>
    <x v="9"/>
    <x v="2"/>
    <x v="64"/>
    <x v="67"/>
  </r>
  <r>
    <n v="13"/>
    <s v="Afternoon"/>
    <b v="0"/>
    <s v="Wednesday"/>
    <s v="Clear Weather"/>
    <n v="0.26"/>
    <n v="0.28000000000000003"/>
    <x v="24"/>
    <x v="4"/>
    <x v="15"/>
    <x v="65"/>
    <x v="68"/>
  </r>
  <r>
    <n v="14"/>
    <s v="Afternoon"/>
    <b v="0"/>
    <s v="Wednesday"/>
    <s v="Clear Weather"/>
    <n v="0.28999999999999998"/>
    <n v="0.3"/>
    <x v="40"/>
    <x v="5"/>
    <x v="22"/>
    <x v="15"/>
    <x v="69"/>
  </r>
  <r>
    <n v="15"/>
    <s v="Afternoon"/>
    <b v="0"/>
    <s v="Wednesday"/>
    <s v="Clear Weather"/>
    <n v="0.28999999999999998"/>
    <n v="0.3"/>
    <x v="40"/>
    <x v="5"/>
    <x v="18"/>
    <x v="11"/>
    <x v="69"/>
  </r>
  <r>
    <n v="16"/>
    <s v="Afternoon"/>
    <b v="0"/>
    <s v="Wednesday"/>
    <s v="Clear Weather"/>
    <n v="0.32"/>
    <n v="0.3"/>
    <x v="40"/>
    <x v="1"/>
    <x v="17"/>
    <x v="66"/>
    <x v="70"/>
  </r>
  <r>
    <n v="17"/>
    <s v="Afternoon"/>
    <b v="0"/>
    <s v="Wednesday"/>
    <s v="Clear Weather"/>
    <n v="0.23"/>
    <n v="0.24"/>
    <x v="41"/>
    <x v="5"/>
    <x v="17"/>
    <x v="67"/>
    <x v="71"/>
  </r>
  <r>
    <n v="18"/>
    <s v="Evening"/>
    <b v="0"/>
    <s v="Wednesday"/>
    <s v="Clear Weather"/>
    <n v="0.24"/>
    <n v="0.24"/>
    <x v="41"/>
    <x v="7"/>
    <x v="0"/>
    <x v="68"/>
    <x v="72"/>
  </r>
  <r>
    <n v="19"/>
    <s v="Evening"/>
    <b v="0"/>
    <s v="Wednesday"/>
    <s v="Clear Weather"/>
    <n v="0.26"/>
    <n v="0.24"/>
    <x v="41"/>
    <x v="14"/>
    <x v="2"/>
    <x v="69"/>
    <x v="73"/>
  </r>
  <r>
    <n v="20"/>
    <s v="Evening"/>
    <b v="0"/>
    <s v="Wednesday"/>
    <s v="Clear Weather"/>
    <n v="0.23"/>
    <n v="0.22"/>
    <x v="19"/>
    <x v="8"/>
    <x v="18"/>
    <x v="70"/>
    <x v="70"/>
  </r>
  <r>
    <n v="21"/>
    <s v="Evening"/>
    <b v="0"/>
    <s v="Wednesday"/>
    <s v="Clear Weather"/>
    <n v="0.2"/>
    <n v="0.2"/>
    <x v="33"/>
    <x v="5"/>
    <x v="0"/>
    <x v="71"/>
    <x v="74"/>
  </r>
  <r>
    <n v="22"/>
    <s v="Evening"/>
    <b v="0"/>
    <s v="Wednesday"/>
    <s v="Clear Weather"/>
    <n v="0.2"/>
    <n v="0.18"/>
    <x v="28"/>
    <x v="7"/>
    <x v="5"/>
    <x v="40"/>
    <x v="51"/>
  </r>
  <r>
    <n v="23"/>
    <s v="Evening"/>
    <b v="0"/>
    <s v="Wednesday"/>
    <s v="Clear Weather"/>
    <n v="0.26"/>
    <n v="0.2"/>
    <x v="19"/>
    <x v="0"/>
    <x v="5"/>
    <x v="72"/>
    <x v="75"/>
  </r>
  <r>
    <n v="0"/>
    <s v="Night"/>
    <b v="0"/>
    <s v="Thursday"/>
    <s v="Clear Weather"/>
    <n v="0.24"/>
    <n v="0.18"/>
    <x v="28"/>
    <x v="0"/>
    <x v="3"/>
    <x v="48"/>
    <x v="62"/>
  </r>
  <r>
    <n v="1"/>
    <s v="Night"/>
    <b v="0"/>
    <s v="Thursday"/>
    <s v="Clear Weather"/>
    <n v="0.23"/>
    <n v="0.16"/>
    <x v="26"/>
    <x v="0"/>
    <x v="3"/>
    <x v="22"/>
    <x v="48"/>
  </r>
  <r>
    <n v="2"/>
    <s v="Night"/>
    <b v="0"/>
    <s v="Thursday"/>
    <s v="Clear Weather"/>
    <n v="0.23"/>
    <n v="0.16"/>
    <x v="26"/>
    <x v="0"/>
    <x v="3"/>
    <x v="6"/>
    <x v="5"/>
  </r>
  <r>
    <n v="4"/>
    <s v="Night"/>
    <b v="0"/>
    <s v="Thursday"/>
    <s v="Light Rain"/>
    <n v="0.2"/>
    <n v="0.16"/>
    <x v="26"/>
    <x v="1"/>
    <x v="3"/>
    <x v="4"/>
    <x v="4"/>
  </r>
  <r>
    <n v="5"/>
    <s v="Night"/>
    <b v="0"/>
    <s v="Thursday"/>
    <s v="Light Rain"/>
    <n v="0.18"/>
    <n v="0.14000000000000001"/>
    <x v="27"/>
    <x v="1"/>
    <x v="3"/>
    <x v="22"/>
    <x v="48"/>
  </r>
  <r>
    <n v="6"/>
    <s v="Morning"/>
    <b v="0"/>
    <s v="Thursday"/>
    <s v="Light Rain"/>
    <n v="0.17"/>
    <n v="0.14000000000000001"/>
    <x v="30"/>
    <x v="14"/>
    <x v="3"/>
    <x v="49"/>
    <x v="9"/>
  </r>
  <r>
    <n v="7"/>
    <s v="Morning"/>
    <b v="0"/>
    <s v="Thursday"/>
    <s v="Light Rain"/>
    <n v="0.23"/>
    <n v="0.16"/>
    <x v="29"/>
    <x v="0"/>
    <x v="3"/>
    <x v="73"/>
    <x v="76"/>
  </r>
  <r>
    <n v="8"/>
    <s v="Morning"/>
    <b v="0"/>
    <s v="Thursday"/>
    <s v="Clear Weather"/>
    <n v="0.23"/>
    <n v="0.16"/>
    <x v="29"/>
    <x v="0"/>
    <x v="0"/>
    <x v="74"/>
    <x v="77"/>
  </r>
  <r>
    <n v="9"/>
    <s v="Morning"/>
    <b v="0"/>
    <s v="Thursday"/>
    <s v="Light Rain"/>
    <n v="0.24"/>
    <n v="0.18"/>
    <x v="33"/>
    <x v="0"/>
    <x v="15"/>
    <x v="75"/>
    <x v="78"/>
  </r>
  <r>
    <n v="10"/>
    <s v="Morning"/>
    <b v="0"/>
    <s v="Thursday"/>
    <s v="Clear Weather"/>
    <n v="0.26"/>
    <n v="0.2"/>
    <x v="19"/>
    <x v="0"/>
    <x v="0"/>
    <x v="76"/>
    <x v="79"/>
  </r>
  <r>
    <n v="11"/>
    <s v="Morning"/>
    <b v="0"/>
    <s v="Thursday"/>
    <s v="Clear Weather"/>
    <n v="0.26"/>
    <n v="0.22"/>
    <x v="18"/>
    <x v="1"/>
    <x v="4"/>
    <x v="77"/>
    <x v="29"/>
  </r>
  <r>
    <n v="12"/>
    <s v="Afternoon"/>
    <b v="0"/>
    <s v="Thursday"/>
    <s v="Clear Weather"/>
    <n v="0.28999999999999998"/>
    <n v="0.26"/>
    <x v="23"/>
    <x v="0"/>
    <x v="15"/>
    <x v="78"/>
    <x v="11"/>
  </r>
  <r>
    <n v="13"/>
    <s v="Afternoon"/>
    <b v="0"/>
    <s v="Thursday"/>
    <s v="Clear Weather"/>
    <n v="0.27"/>
    <n v="0.26"/>
    <x v="23"/>
    <x v="14"/>
    <x v="6"/>
    <x v="11"/>
    <x v="16"/>
  </r>
  <r>
    <n v="14"/>
    <s v="Afternoon"/>
    <b v="0"/>
    <s v="Thursday"/>
    <s v="Clear Weather"/>
    <n v="0.27"/>
    <n v="0.28000000000000003"/>
    <x v="42"/>
    <x v="8"/>
    <x v="16"/>
    <x v="79"/>
    <x v="27"/>
  </r>
  <r>
    <n v="15"/>
    <s v="Afternoon"/>
    <b v="0"/>
    <s v="Thursday"/>
    <s v="Clear Weather"/>
    <n v="0.27"/>
    <n v="0.28000000000000003"/>
    <x v="42"/>
    <x v="0"/>
    <x v="1"/>
    <x v="25"/>
    <x v="69"/>
  </r>
  <r>
    <n v="16"/>
    <s v="Afternoon"/>
    <b v="0"/>
    <s v="Thursday"/>
    <s v="Clear Weather"/>
    <n v="0.26"/>
    <n v="0.26"/>
    <x v="41"/>
    <x v="8"/>
    <x v="6"/>
    <x v="64"/>
    <x v="80"/>
  </r>
  <r>
    <n v="17"/>
    <s v="Afternoon"/>
    <b v="0"/>
    <s v="Thursday"/>
    <s v="Clear Weather"/>
    <n v="0.23"/>
    <n v="0.22"/>
    <x v="33"/>
    <x v="8"/>
    <x v="14"/>
    <x v="80"/>
    <x v="81"/>
  </r>
  <r>
    <n v="18"/>
    <s v="Evening"/>
    <b v="0"/>
    <s v="Thursday"/>
    <s v="Clear Weather"/>
    <n v="0.23"/>
    <n v="0.22"/>
    <x v="33"/>
    <x v="7"/>
    <x v="2"/>
    <x v="81"/>
    <x v="82"/>
  </r>
  <r>
    <n v="19"/>
    <s v="Evening"/>
    <b v="0"/>
    <s v="Thursday"/>
    <s v="Clear Weather"/>
    <n v="0.26"/>
    <n v="0.22"/>
    <x v="28"/>
    <x v="1"/>
    <x v="0"/>
    <x v="63"/>
    <x v="59"/>
  </r>
  <r>
    <n v="20"/>
    <s v="Evening"/>
    <b v="0"/>
    <s v="Thursday"/>
    <s v="Clear Weather"/>
    <n v="0.21"/>
    <n v="0.2"/>
    <x v="33"/>
    <x v="8"/>
    <x v="0"/>
    <x v="43"/>
    <x v="83"/>
  </r>
  <r>
    <n v="21"/>
    <s v="Evening"/>
    <b v="0"/>
    <s v="Thursday"/>
    <s v="Light Rain"/>
    <n v="0.21"/>
    <n v="0.22"/>
    <x v="28"/>
    <x v="6"/>
    <x v="3"/>
    <x v="41"/>
    <x v="61"/>
  </r>
  <r>
    <n v="22"/>
    <s v="Evening"/>
    <b v="0"/>
    <s v="Thursday"/>
    <s v="Light Rain"/>
    <n v="0.21"/>
    <n v="0.22"/>
    <x v="33"/>
    <x v="3"/>
    <x v="5"/>
    <x v="82"/>
    <x v="46"/>
  </r>
  <r>
    <n v="23"/>
    <s v="Evening"/>
    <b v="0"/>
    <s v="Thursday"/>
    <s v="Light Rain"/>
    <n v="0.2"/>
    <n v="0.2"/>
    <x v="29"/>
    <x v="5"/>
    <x v="17"/>
    <x v="23"/>
    <x v="84"/>
  </r>
  <r>
    <n v="0"/>
    <s v="Night"/>
    <b v="0"/>
    <s v="Friday"/>
    <s v="Light Rain"/>
    <n v="0.2"/>
    <n v="0.2"/>
    <x v="26"/>
    <x v="5"/>
    <x v="17"/>
    <x v="0"/>
    <x v="22"/>
  </r>
  <r>
    <n v="1"/>
    <s v="Night"/>
    <b v="0"/>
    <s v="Friday"/>
    <s v="Light Rain"/>
    <n v="0.2"/>
    <n v="0.2"/>
    <x v="27"/>
    <x v="6"/>
    <x v="4"/>
    <x v="34"/>
    <x v="85"/>
  </r>
  <r>
    <n v="2"/>
    <s v="Night"/>
    <b v="0"/>
    <s v="Friday"/>
    <s v="Light Rain"/>
    <n v="0.2"/>
    <n v="0.2"/>
    <x v="27"/>
    <x v="6"/>
    <x v="3"/>
    <x v="4"/>
    <x v="4"/>
  </r>
  <r>
    <n v="4"/>
    <s v="Night"/>
    <b v="0"/>
    <s v="Friday"/>
    <s v="Light Rain"/>
    <n v="0.21"/>
    <n v="0.2"/>
    <x v="27"/>
    <x v="7"/>
    <x v="3"/>
    <x v="4"/>
    <x v="4"/>
  </r>
  <r>
    <n v="5"/>
    <s v="Night"/>
    <b v="0"/>
    <s v="Friday"/>
    <s v="Heavy Rain"/>
    <n v="0.27"/>
    <n v="0.22"/>
    <x v="28"/>
    <x v="0"/>
    <x v="3"/>
    <x v="34"/>
    <x v="36"/>
  </r>
  <r>
    <n v="6"/>
    <s v="Morning"/>
    <b v="0"/>
    <s v="Friday"/>
    <s v="Light Rain"/>
    <n v="0.26"/>
    <n v="0.2"/>
    <x v="27"/>
    <x v="0"/>
    <x v="1"/>
    <x v="16"/>
    <x v="19"/>
  </r>
  <r>
    <n v="7"/>
    <s v="Morning"/>
    <b v="0"/>
    <s v="Friday"/>
    <s v="Clear Weather"/>
    <n v="0.21"/>
    <n v="0.2"/>
    <x v="27"/>
    <x v="7"/>
    <x v="1"/>
    <x v="83"/>
    <x v="11"/>
  </r>
  <r>
    <n v="8"/>
    <s v="Morning"/>
    <b v="0"/>
    <s v="Friday"/>
    <s v="Clear Weather"/>
    <n v="0.2"/>
    <n v="0.2"/>
    <x v="33"/>
    <x v="2"/>
    <x v="20"/>
    <x v="84"/>
    <x v="86"/>
  </r>
  <r>
    <n v="9"/>
    <s v="Morning"/>
    <b v="0"/>
    <s v="Friday"/>
    <s v="Clear Weather"/>
    <n v="0.18"/>
    <n v="0.2"/>
    <x v="19"/>
    <x v="4"/>
    <x v="14"/>
    <x v="85"/>
    <x v="87"/>
  </r>
  <r>
    <n v="10"/>
    <s v="Morning"/>
    <b v="0"/>
    <s v="Friday"/>
    <s v="Clear Weather"/>
    <n v="0.2"/>
    <n v="0.22"/>
    <x v="38"/>
    <x v="9"/>
    <x v="19"/>
    <x v="12"/>
    <x v="55"/>
  </r>
  <r>
    <n v="11"/>
    <s v="Morning"/>
    <b v="0"/>
    <s v="Friday"/>
    <s v="Light Rain"/>
    <n v="0.2"/>
    <n v="0.2"/>
    <x v="22"/>
    <x v="6"/>
    <x v="21"/>
    <x v="41"/>
    <x v="16"/>
  </r>
  <r>
    <n v="12"/>
    <s v="Afternoon"/>
    <b v="0"/>
    <s v="Friday"/>
    <s v="Light Rain"/>
    <n v="0.2"/>
    <n v="0.2"/>
    <x v="38"/>
    <x v="2"/>
    <x v="14"/>
    <x v="54"/>
    <x v="29"/>
  </r>
  <r>
    <n v="13"/>
    <s v="Afternoon"/>
    <b v="0"/>
    <s v="Friday"/>
    <s v="Light Rain"/>
    <n v="0.18"/>
    <n v="0.2"/>
    <x v="38"/>
    <x v="3"/>
    <x v="14"/>
    <x v="27"/>
    <x v="88"/>
  </r>
  <r>
    <n v="14"/>
    <s v="Afternoon"/>
    <b v="0"/>
    <s v="Friday"/>
    <s v="Light Rain"/>
    <n v="0.2"/>
    <n v="0.2"/>
    <x v="22"/>
    <x v="2"/>
    <x v="18"/>
    <x v="30"/>
    <x v="89"/>
  </r>
  <r>
    <n v="15"/>
    <s v="Afternoon"/>
    <b v="0"/>
    <s v="Friday"/>
    <s v="Light Rain"/>
    <n v="0.21"/>
    <n v="0.2"/>
    <x v="38"/>
    <x v="8"/>
    <x v="14"/>
    <x v="36"/>
    <x v="44"/>
  </r>
  <r>
    <n v="16"/>
    <s v="Afternoon"/>
    <b v="0"/>
    <s v="Friday"/>
    <s v="Light Rain"/>
    <n v="0.21"/>
    <n v="0.2"/>
    <x v="38"/>
    <x v="8"/>
    <x v="2"/>
    <x v="70"/>
    <x v="90"/>
  </r>
  <r>
    <n v="17"/>
    <s v="Afternoon"/>
    <b v="0"/>
    <s v="Friday"/>
    <s v="Light Rain"/>
    <n v="0.26"/>
    <n v="0.2"/>
    <x v="38"/>
    <x v="0"/>
    <x v="14"/>
    <x v="86"/>
    <x v="91"/>
  </r>
  <r>
    <n v="18"/>
    <s v="Evening"/>
    <b v="0"/>
    <s v="Friday"/>
    <s v="Clear Weather"/>
    <n v="0.23"/>
    <n v="0.2"/>
    <x v="22"/>
    <x v="1"/>
    <x v="18"/>
    <x v="75"/>
    <x v="92"/>
  </r>
  <r>
    <n v="19"/>
    <s v="Evening"/>
    <b v="0"/>
    <s v="Friday"/>
    <s v="Clear Weather"/>
    <n v="0.2"/>
    <n v="0.16"/>
    <x v="28"/>
    <x v="1"/>
    <x v="0"/>
    <x v="50"/>
    <x v="76"/>
  </r>
  <r>
    <n v="20"/>
    <s v="Evening"/>
    <b v="0"/>
    <s v="Friday"/>
    <s v="Clear Weather"/>
    <n v="0.21"/>
    <n v="0.18"/>
    <x v="19"/>
    <x v="14"/>
    <x v="5"/>
    <x v="54"/>
    <x v="41"/>
  </r>
  <r>
    <n v="21"/>
    <s v="Evening"/>
    <b v="0"/>
    <s v="Friday"/>
    <s v="Clear Weather"/>
    <n v="0.2"/>
    <n v="0.18"/>
    <x v="19"/>
    <x v="7"/>
    <x v="3"/>
    <x v="87"/>
    <x v="21"/>
  </r>
  <r>
    <n v="22"/>
    <s v="Evening"/>
    <b v="0"/>
    <s v="Friday"/>
    <s v="Light Rain"/>
    <n v="0.2"/>
    <n v="0.18"/>
    <x v="21"/>
    <x v="8"/>
    <x v="4"/>
    <x v="60"/>
    <x v="9"/>
  </r>
  <r>
    <n v="23"/>
    <s v="Evening"/>
    <b v="0"/>
    <s v="Friday"/>
    <s v="Light Rain"/>
    <n v="0.2"/>
    <n v="0.18"/>
    <x v="33"/>
    <x v="8"/>
    <x v="5"/>
    <x v="88"/>
    <x v="93"/>
  </r>
  <r>
    <n v="0"/>
    <s v="Night"/>
    <b v="0"/>
    <s v="Saturday"/>
    <s v="Light Rain"/>
    <n v="0.2"/>
    <n v="0.18"/>
    <x v="33"/>
    <x v="8"/>
    <x v="5"/>
    <x v="9"/>
    <x v="94"/>
  </r>
  <r>
    <n v="1"/>
    <s v="Night"/>
    <b v="0"/>
    <s v="Saturday"/>
    <s v="Light Rain"/>
    <n v="0.21"/>
    <n v="0.18"/>
    <x v="28"/>
    <x v="1"/>
    <x v="5"/>
    <x v="89"/>
    <x v="0"/>
  </r>
  <r>
    <n v="2"/>
    <s v="Night"/>
    <b v="0"/>
    <s v="Saturday"/>
    <s v="Light Rain"/>
    <n v="0.24"/>
    <n v="0.18"/>
    <x v="28"/>
    <x v="0"/>
    <x v="0"/>
    <x v="0"/>
    <x v="0"/>
  </r>
  <r>
    <n v="3"/>
    <s v="Night"/>
    <b v="0"/>
    <s v="Saturday"/>
    <s v="Heavy Rain"/>
    <n v="0.2"/>
    <n v="0.18"/>
    <x v="28"/>
    <x v="8"/>
    <x v="3"/>
    <x v="7"/>
    <x v="85"/>
  </r>
  <r>
    <n v="4"/>
    <s v="Night"/>
    <b v="0"/>
    <s v="Saturday"/>
    <s v="Heavy Rain"/>
    <n v="0.2"/>
    <n v="0.18"/>
    <x v="28"/>
    <x v="8"/>
    <x v="3"/>
    <x v="4"/>
    <x v="4"/>
  </r>
  <r>
    <n v="5"/>
    <s v="Night"/>
    <b v="0"/>
    <s v="Saturday"/>
    <s v="Light Rain"/>
    <n v="0.17"/>
    <n v="0.16"/>
    <x v="32"/>
    <x v="8"/>
    <x v="3"/>
    <x v="34"/>
    <x v="36"/>
  </r>
  <r>
    <n v="6"/>
    <s v="Morning"/>
    <b v="0"/>
    <s v="Saturday"/>
    <s v="Light Rain"/>
    <n v="0.17"/>
    <n v="0.16"/>
    <x v="32"/>
    <x v="8"/>
    <x v="3"/>
    <x v="6"/>
    <x v="5"/>
  </r>
  <r>
    <n v="7"/>
    <s v="Morning"/>
    <b v="0"/>
    <s v="Saturday"/>
    <s v="Light Rain"/>
    <n v="0.18"/>
    <n v="0.16"/>
    <x v="32"/>
    <x v="14"/>
    <x v="5"/>
    <x v="21"/>
    <x v="23"/>
  </r>
  <r>
    <n v="8"/>
    <s v="Morning"/>
    <b v="0"/>
    <s v="Saturday"/>
    <s v="Heavy Rain"/>
    <n v="0.18"/>
    <n v="0.16"/>
    <x v="43"/>
    <x v="14"/>
    <x v="3"/>
    <x v="89"/>
    <x v="93"/>
  </r>
  <r>
    <n v="9"/>
    <s v="Morning"/>
    <b v="0"/>
    <s v="Saturday"/>
    <s v="Heavy Rain"/>
    <n v="0.18"/>
    <n v="0.16"/>
    <x v="43"/>
    <x v="14"/>
    <x v="3"/>
    <x v="32"/>
    <x v="25"/>
  </r>
  <r>
    <n v="10"/>
    <s v="Morning"/>
    <b v="0"/>
    <s v="Saturday"/>
    <s v="Light Rain"/>
    <n v="0.2"/>
    <n v="0.18"/>
    <x v="1"/>
    <x v="8"/>
    <x v="2"/>
    <x v="90"/>
    <x v="42"/>
  </r>
  <r>
    <n v="11"/>
    <s v="Morning"/>
    <b v="0"/>
    <s v="Saturday"/>
    <s v="Light Rain"/>
    <n v="0.18"/>
    <n v="0.2"/>
    <x v="27"/>
    <x v="13"/>
    <x v="4"/>
    <x v="91"/>
    <x v="69"/>
  </r>
  <r>
    <n v="12"/>
    <s v="Afternoon"/>
    <b v="0"/>
    <s v="Saturday"/>
    <s v="Light Rain"/>
    <n v="0.18"/>
    <n v="0.2"/>
    <x v="29"/>
    <x v="11"/>
    <x v="1"/>
    <x v="92"/>
    <x v="95"/>
  </r>
  <r>
    <n v="13"/>
    <s v="Afternoon"/>
    <b v="0"/>
    <s v="Saturday"/>
    <s v="Clear Weather"/>
    <n v="0.18"/>
    <n v="0.2"/>
    <x v="18"/>
    <x v="9"/>
    <x v="18"/>
    <x v="73"/>
    <x v="96"/>
  </r>
  <r>
    <n v="14"/>
    <s v="Afternoon"/>
    <b v="0"/>
    <s v="Saturday"/>
    <s v="Clear Weather"/>
    <n v="0.17"/>
    <n v="0.2"/>
    <x v="25"/>
    <x v="15"/>
    <x v="6"/>
    <x v="93"/>
    <x v="76"/>
  </r>
  <r>
    <n v="15"/>
    <s v="Afternoon"/>
    <b v="0"/>
    <s v="Saturday"/>
    <s v="Clear Weather"/>
    <n v="0.17"/>
    <n v="0.2"/>
    <x v="25"/>
    <x v="10"/>
    <x v="2"/>
    <x v="94"/>
    <x v="30"/>
  </r>
  <r>
    <n v="16"/>
    <s v="Afternoon"/>
    <b v="0"/>
    <s v="Saturday"/>
    <s v="Clear Weather"/>
    <n v="0.14000000000000001"/>
    <n v="0.18"/>
    <x v="44"/>
    <x v="10"/>
    <x v="1"/>
    <x v="56"/>
    <x v="31"/>
  </r>
  <r>
    <n v="17"/>
    <s v="Afternoon"/>
    <b v="0"/>
    <s v="Saturday"/>
    <s v="Clear Weather"/>
    <n v="0.12"/>
    <n v="0.16"/>
    <x v="38"/>
    <x v="16"/>
    <x v="2"/>
    <x v="27"/>
    <x v="83"/>
  </r>
  <r>
    <n v="18"/>
    <s v="Evening"/>
    <b v="0"/>
    <s v="Saturday"/>
    <s v="Clear Weather"/>
    <n v="0.12"/>
    <n v="0.14000000000000001"/>
    <x v="17"/>
    <x v="4"/>
    <x v="0"/>
    <x v="15"/>
    <x v="97"/>
  </r>
  <r>
    <n v="19"/>
    <s v="Evening"/>
    <b v="0"/>
    <s v="Saturday"/>
    <s v="Clear Weather"/>
    <n v="0.12"/>
    <n v="0.14000000000000001"/>
    <x v="42"/>
    <x v="2"/>
    <x v="17"/>
    <x v="16"/>
    <x v="33"/>
  </r>
  <r>
    <n v="20"/>
    <s v="Evening"/>
    <b v="0"/>
    <s v="Saturday"/>
    <s v="Clear Weather"/>
    <n v="0.12"/>
    <n v="0.12"/>
    <x v="42"/>
    <x v="2"/>
    <x v="3"/>
    <x v="95"/>
    <x v="20"/>
  </r>
  <r>
    <n v="21"/>
    <s v="Evening"/>
    <b v="0"/>
    <s v="Saturday"/>
    <s v="Clear Weather"/>
    <n v="0.11"/>
    <n v="0.12"/>
    <x v="17"/>
    <x v="11"/>
    <x v="4"/>
    <x v="96"/>
    <x v="18"/>
  </r>
  <r>
    <n v="22"/>
    <s v="Evening"/>
    <b v="0"/>
    <s v="Saturday"/>
    <s v="Clear Weather"/>
    <n v="0.11"/>
    <n v="0.12"/>
    <x v="42"/>
    <x v="13"/>
    <x v="5"/>
    <x v="39"/>
    <x v="19"/>
  </r>
  <r>
    <n v="23"/>
    <s v="Evening"/>
    <b v="0"/>
    <s v="Saturday"/>
    <s v="Clear Weather"/>
    <n v="0.06"/>
    <n v="0.1"/>
    <x v="17"/>
    <x v="10"/>
    <x v="3"/>
    <x v="97"/>
    <x v="34"/>
  </r>
  <r>
    <n v="0"/>
    <s v="Night"/>
    <b v="0"/>
    <s v="Sunday"/>
    <s v="Clear Weather"/>
    <n v="0.08"/>
    <n v="0.1"/>
    <x v="16"/>
    <x v="13"/>
    <x v="5"/>
    <x v="9"/>
    <x v="94"/>
  </r>
  <r>
    <n v="1"/>
    <s v="Night"/>
    <b v="0"/>
    <s v="Sunday"/>
    <s v="Clear Weather"/>
    <n v="0.06"/>
    <n v="0.1"/>
    <x v="16"/>
    <x v="17"/>
    <x v="3"/>
    <x v="98"/>
    <x v="47"/>
  </r>
  <r>
    <n v="2"/>
    <s v="Night"/>
    <b v="0"/>
    <s v="Sunday"/>
    <s v="Clear Weather"/>
    <n v="0.06"/>
    <n v="0.1"/>
    <x v="15"/>
    <x v="17"/>
    <x v="3"/>
    <x v="48"/>
    <x v="62"/>
  </r>
  <r>
    <n v="3"/>
    <s v="Night"/>
    <b v="0"/>
    <s v="Sunday"/>
    <s v="Clear Weather"/>
    <n v="0.08"/>
    <n v="0.1"/>
    <x v="15"/>
    <x v="12"/>
    <x v="3"/>
    <x v="22"/>
    <x v="48"/>
  </r>
  <r>
    <n v="4"/>
    <s v="Night"/>
    <b v="0"/>
    <s v="Sunday"/>
    <s v="Clear Weather"/>
    <n v="0.09"/>
    <n v="0.08"/>
    <x v="45"/>
    <x v="5"/>
    <x v="3"/>
    <x v="4"/>
    <x v="4"/>
  </r>
  <r>
    <n v="5"/>
    <s v="Night"/>
    <b v="0"/>
    <s v="Sunday"/>
    <s v="Clear Weather"/>
    <n v="0.09"/>
    <n v="0.08"/>
    <x v="45"/>
    <x v="5"/>
    <x v="3"/>
    <x v="4"/>
    <x v="4"/>
  </r>
  <r>
    <n v="6"/>
    <s v="Morning"/>
    <b v="0"/>
    <s v="Sunday"/>
    <s v="Clear Weather"/>
    <n v="0.09"/>
    <n v="0.1"/>
    <x v="36"/>
    <x v="3"/>
    <x v="3"/>
    <x v="4"/>
    <x v="4"/>
  </r>
  <r>
    <n v="7"/>
    <s v="Morning"/>
    <b v="0"/>
    <s v="Sunday"/>
    <s v="Clear Weather"/>
    <n v="0.09"/>
    <n v="0.08"/>
    <x v="45"/>
    <x v="5"/>
    <x v="5"/>
    <x v="34"/>
    <x v="24"/>
  </r>
  <r>
    <n v="8"/>
    <s v="Morning"/>
    <b v="0"/>
    <s v="Sunday"/>
    <s v="Clear Weather"/>
    <n v="0.09"/>
    <n v="0.1"/>
    <x v="36"/>
    <x v="3"/>
    <x v="3"/>
    <x v="3"/>
    <x v="98"/>
  </r>
  <r>
    <n v="9"/>
    <s v="Morning"/>
    <b v="0"/>
    <s v="Sunday"/>
    <s v="Clear Weather"/>
    <n v="0.08"/>
    <n v="0.12"/>
    <x v="15"/>
    <x v="18"/>
    <x v="3"/>
    <x v="23"/>
    <x v="75"/>
  </r>
  <r>
    <n v="10"/>
    <s v="Morning"/>
    <b v="0"/>
    <s v="Sunday"/>
    <s v="Clear Weather"/>
    <n v="0.11"/>
    <n v="0.14000000000000001"/>
    <x v="21"/>
    <x v="13"/>
    <x v="3"/>
    <x v="47"/>
    <x v="99"/>
  </r>
  <r>
    <n v="11"/>
    <s v="Morning"/>
    <b v="0"/>
    <s v="Sunday"/>
    <s v="Clear Weather"/>
    <n v="0.12"/>
    <n v="0.16"/>
    <x v="22"/>
    <x v="18"/>
    <x v="4"/>
    <x v="12"/>
    <x v="99"/>
  </r>
  <r>
    <n v="12"/>
    <s v="Afternoon"/>
    <b v="0"/>
    <s v="Sunday"/>
    <s v="Clear Weather"/>
    <n v="0.14000000000000001"/>
    <n v="0.18"/>
    <x v="38"/>
    <x v="10"/>
    <x v="17"/>
    <x v="55"/>
    <x v="56"/>
  </r>
  <r>
    <n v="13"/>
    <s v="Afternoon"/>
    <b v="0"/>
    <s v="Sunday"/>
    <s v="Clear Weather"/>
    <n v="0.17"/>
    <n v="0.2"/>
    <x v="46"/>
    <x v="10"/>
    <x v="15"/>
    <x v="94"/>
    <x v="28"/>
  </r>
  <r>
    <n v="14"/>
    <s v="Afternoon"/>
    <b v="0"/>
    <s v="Sunday"/>
    <s v="Clear Weather"/>
    <n v="0.18"/>
    <n v="0.22"/>
    <x v="25"/>
    <x v="17"/>
    <x v="1"/>
    <x v="27"/>
    <x v="44"/>
  </r>
  <r>
    <n v="15"/>
    <s v="Afternoon"/>
    <b v="0"/>
    <s v="Sunday"/>
    <s v="Clear Weather"/>
    <n v="0.2"/>
    <n v="0.22"/>
    <x v="23"/>
    <x v="11"/>
    <x v="2"/>
    <x v="99"/>
    <x v="100"/>
  </r>
  <r>
    <n v="16"/>
    <s v="Afternoon"/>
    <b v="0"/>
    <s v="Sunday"/>
    <s v="Clear Weather"/>
    <n v="0.17"/>
    <n v="0.2"/>
    <x v="46"/>
    <x v="10"/>
    <x v="23"/>
    <x v="55"/>
    <x v="101"/>
  </r>
  <r>
    <n v="17"/>
    <s v="Afternoon"/>
    <b v="0"/>
    <s v="Sunday"/>
    <s v="Clear Weather"/>
    <n v="0.15"/>
    <n v="0.18"/>
    <x v="38"/>
    <x v="13"/>
    <x v="0"/>
    <x v="79"/>
    <x v="69"/>
  </r>
  <r>
    <n v="18"/>
    <s v="Evening"/>
    <b v="0"/>
    <s v="Sunday"/>
    <s v="Clear Weather"/>
    <n v="0.14000000000000001"/>
    <n v="0.16"/>
    <x v="22"/>
    <x v="9"/>
    <x v="17"/>
    <x v="100"/>
    <x v="61"/>
  </r>
  <r>
    <n v="19"/>
    <s v="Evening"/>
    <b v="0"/>
    <s v="Sunday"/>
    <s v="Clear Weather"/>
    <n v="0.14000000000000001"/>
    <n v="0.16"/>
    <x v="21"/>
    <x v="9"/>
    <x v="5"/>
    <x v="71"/>
    <x v="102"/>
  </r>
  <r>
    <n v="20"/>
    <s v="Evening"/>
    <b v="0"/>
    <s v="Sunday"/>
    <s v="Clear Weather"/>
    <n v="0.12"/>
    <n v="0.14000000000000001"/>
    <x v="15"/>
    <x v="2"/>
    <x v="3"/>
    <x v="101"/>
    <x v="103"/>
  </r>
  <r>
    <n v="21"/>
    <s v="Evening"/>
    <b v="0"/>
    <s v="Sunday"/>
    <s v="Clear Weather"/>
    <n v="0.11"/>
    <n v="0.14000000000000001"/>
    <x v="15"/>
    <x v="12"/>
    <x v="5"/>
    <x v="23"/>
    <x v="25"/>
  </r>
  <r>
    <n v="22"/>
    <s v="Evening"/>
    <b v="0"/>
    <s v="Sunday"/>
    <s v="Clear Weather"/>
    <n v="0.12"/>
    <n v="0.14000000000000001"/>
    <x v="15"/>
    <x v="4"/>
    <x v="2"/>
    <x v="3"/>
    <x v="93"/>
  </r>
  <r>
    <n v="23"/>
    <s v="Evening"/>
    <b v="0"/>
    <s v="Sunday"/>
    <s v="Clear Weather"/>
    <n v="0.14000000000000001"/>
    <n v="0.12"/>
    <x v="20"/>
    <x v="5"/>
    <x v="3"/>
    <x v="8"/>
    <x v="24"/>
  </r>
  <r>
    <n v="0"/>
    <s v="Night"/>
    <b v="0"/>
    <s v="Monday"/>
    <s v="Clear Weather"/>
    <n v="0.12"/>
    <n v="0.12"/>
    <x v="20"/>
    <x v="3"/>
    <x v="4"/>
    <x v="35"/>
    <x v="36"/>
  </r>
  <r>
    <n v="1"/>
    <s v="Night"/>
    <b v="0"/>
    <s v="Monday"/>
    <s v="Clear Weather"/>
    <n v="0.12"/>
    <n v="0.12"/>
    <x v="20"/>
    <x v="3"/>
    <x v="5"/>
    <x v="5"/>
    <x v="4"/>
  </r>
  <r>
    <n v="2"/>
    <s v="Night"/>
    <b v="0"/>
    <s v="Monday"/>
    <s v="Clear Weather"/>
    <n v="0.12"/>
    <n v="0.12"/>
    <x v="20"/>
    <x v="6"/>
    <x v="3"/>
    <x v="35"/>
    <x v="6"/>
  </r>
  <r>
    <n v="3"/>
    <s v="Night"/>
    <b v="0"/>
    <s v="Monday"/>
    <s v="Clear Weather"/>
    <n v="0.12"/>
    <n v="0.12"/>
    <x v="20"/>
    <x v="6"/>
    <x v="3"/>
    <x v="4"/>
    <x v="4"/>
  </r>
  <r>
    <n v="4"/>
    <s v="Night"/>
    <b v="0"/>
    <s v="Monday"/>
    <s v="Clear Weather"/>
    <n v="0.12"/>
    <n v="0.1"/>
    <x v="47"/>
    <x v="7"/>
    <x v="5"/>
    <x v="6"/>
    <x v="6"/>
  </r>
  <r>
    <n v="5"/>
    <s v="Night"/>
    <b v="0"/>
    <s v="Monday"/>
    <s v="Clear Weather"/>
    <n v="0.11"/>
    <n v="0.1"/>
    <x v="47"/>
    <x v="2"/>
    <x v="3"/>
    <x v="35"/>
    <x v="6"/>
  </r>
  <r>
    <n v="6"/>
    <s v="Morning"/>
    <b v="0"/>
    <s v="Monday"/>
    <s v="Clear Weather"/>
    <n v="0.12"/>
    <n v="0.12"/>
    <x v="20"/>
    <x v="3"/>
    <x v="3"/>
    <x v="17"/>
    <x v="35"/>
  </r>
  <r>
    <n v="7"/>
    <s v="Morning"/>
    <b v="0"/>
    <s v="Monday"/>
    <s v="Clear Weather"/>
    <n v="0.12"/>
    <n v="0.12"/>
    <x v="20"/>
    <x v="6"/>
    <x v="4"/>
    <x v="102"/>
    <x v="43"/>
  </r>
  <r>
    <n v="8"/>
    <s v="Morning"/>
    <b v="0"/>
    <s v="Monday"/>
    <s v="Light Rain"/>
    <n v="0.12"/>
    <n v="0.12"/>
    <x v="20"/>
    <x v="3"/>
    <x v="17"/>
    <x v="103"/>
    <x v="104"/>
  </r>
  <r>
    <n v="9"/>
    <s v="Morning"/>
    <b v="0"/>
    <s v="Monday"/>
    <s v="Light Rain"/>
    <n v="0.12"/>
    <n v="0.14000000000000001"/>
    <x v="20"/>
    <x v="2"/>
    <x v="4"/>
    <x v="50"/>
    <x v="12"/>
  </r>
  <r>
    <n v="10"/>
    <s v="Morning"/>
    <b v="0"/>
    <s v="Monday"/>
    <s v="Light Rain"/>
    <n v="0.12"/>
    <n v="0.14000000000000001"/>
    <x v="20"/>
    <x v="4"/>
    <x v="3"/>
    <x v="17"/>
    <x v="35"/>
  </r>
  <r>
    <n v="11"/>
    <s v="Morning"/>
    <b v="0"/>
    <s v="Monday"/>
    <s v="Light Rain"/>
    <n v="0.14000000000000001"/>
    <n v="0.16"/>
    <x v="19"/>
    <x v="3"/>
    <x v="4"/>
    <x v="95"/>
    <x v="33"/>
  </r>
  <r>
    <n v="12"/>
    <s v="Afternoon"/>
    <b v="0"/>
    <s v="Monday"/>
    <s v="Light Rain"/>
    <n v="0.18"/>
    <n v="0.2"/>
    <x v="22"/>
    <x v="3"/>
    <x v="2"/>
    <x v="12"/>
    <x v="46"/>
  </r>
  <r>
    <n v="13"/>
    <s v="Afternoon"/>
    <b v="0"/>
    <s v="Monday"/>
    <s v="Light Rain"/>
    <n v="0.18"/>
    <n v="0.2"/>
    <x v="22"/>
    <x v="3"/>
    <x v="17"/>
    <x v="54"/>
    <x v="60"/>
  </r>
  <r>
    <n v="14"/>
    <s v="Afternoon"/>
    <b v="0"/>
    <s v="Monday"/>
    <s v="Light Rain"/>
    <n v="0.2"/>
    <n v="0.2"/>
    <x v="22"/>
    <x v="6"/>
    <x v="3"/>
    <x v="12"/>
    <x v="105"/>
  </r>
  <r>
    <n v="15"/>
    <s v="Afternoon"/>
    <b v="0"/>
    <s v="Monday"/>
    <s v="Light Rain"/>
    <n v="0.2"/>
    <n v="0.2"/>
    <x v="22"/>
    <x v="6"/>
    <x v="4"/>
    <x v="30"/>
    <x v="79"/>
  </r>
  <r>
    <n v="16"/>
    <s v="Afternoon"/>
    <b v="0"/>
    <s v="Monday"/>
    <s v="Clear Weather"/>
    <n v="0.21"/>
    <n v="0.2"/>
    <x v="22"/>
    <x v="7"/>
    <x v="17"/>
    <x v="14"/>
    <x v="30"/>
  </r>
  <r>
    <n v="17"/>
    <s v="Afternoon"/>
    <b v="0"/>
    <s v="Monday"/>
    <s v="Clear Weather"/>
    <n v="0.23"/>
    <n v="0.2"/>
    <x v="22"/>
    <x v="14"/>
    <x v="17"/>
    <x v="104"/>
    <x v="106"/>
  </r>
  <r>
    <n v="18"/>
    <s v="Evening"/>
    <b v="0"/>
    <s v="Monday"/>
    <s v="Clear Weather"/>
    <n v="0.2"/>
    <n v="0.2"/>
    <x v="22"/>
    <x v="6"/>
    <x v="5"/>
    <x v="105"/>
    <x v="107"/>
  </r>
  <r>
    <n v="19"/>
    <s v="Evening"/>
    <b v="0"/>
    <s v="Monday"/>
    <s v="Clear Weather"/>
    <n v="0.17"/>
    <n v="0.16"/>
    <x v="19"/>
    <x v="8"/>
    <x v="0"/>
    <x v="50"/>
    <x v="76"/>
  </r>
  <r>
    <n v="20"/>
    <s v="Evening"/>
    <b v="0"/>
    <s v="Monday"/>
    <s v="Clear Weather"/>
    <n v="0.17"/>
    <n v="0.16"/>
    <x v="20"/>
    <x v="8"/>
    <x v="5"/>
    <x v="26"/>
    <x v="30"/>
  </r>
  <r>
    <n v="21"/>
    <s v="Evening"/>
    <b v="0"/>
    <s v="Monday"/>
    <s v="Clear Weather"/>
    <n v="0.14000000000000001"/>
    <n v="0.14000000000000001"/>
    <x v="29"/>
    <x v="5"/>
    <x v="5"/>
    <x v="53"/>
    <x v="103"/>
  </r>
  <r>
    <n v="22"/>
    <s v="Evening"/>
    <b v="0"/>
    <s v="Monday"/>
    <s v="Clear Weather"/>
    <n v="0.15"/>
    <n v="0.14000000000000001"/>
    <x v="29"/>
    <x v="8"/>
    <x v="4"/>
    <x v="97"/>
    <x v="108"/>
  </r>
  <r>
    <n v="23"/>
    <s v="Evening"/>
    <b v="0"/>
    <s v="Monday"/>
    <s v="Clear Weather"/>
    <n v="0.15"/>
    <n v="0.14000000000000001"/>
    <x v="29"/>
    <x v="8"/>
    <x v="3"/>
    <x v="72"/>
    <x v="109"/>
  </r>
  <r>
    <n v="0"/>
    <s v="Night"/>
    <b v="0"/>
    <s v="Tuesday"/>
    <s v="Clear Weather"/>
    <n v="0.17"/>
    <n v="0.14000000000000001"/>
    <x v="29"/>
    <x v="14"/>
    <x v="4"/>
    <x v="3"/>
    <x v="47"/>
  </r>
  <r>
    <n v="1"/>
    <s v="Night"/>
    <b v="0"/>
    <s v="Tuesday"/>
    <s v="Clear Weather"/>
    <n v="0.15"/>
    <n v="0.14000000000000001"/>
    <x v="29"/>
    <x v="8"/>
    <x v="3"/>
    <x v="35"/>
    <x v="6"/>
  </r>
  <r>
    <n v="2"/>
    <s v="Night"/>
    <b v="0"/>
    <s v="Tuesday"/>
    <s v="Light Rain"/>
    <n v="0.15"/>
    <n v="0.16"/>
    <x v="28"/>
    <x v="5"/>
    <x v="3"/>
    <x v="35"/>
    <x v="6"/>
  </r>
  <r>
    <n v="5"/>
    <s v="Night"/>
    <b v="0"/>
    <s v="Tuesday"/>
    <s v="Light Rain"/>
    <n v="0.18"/>
    <n v="0.16"/>
    <x v="28"/>
    <x v="7"/>
    <x v="3"/>
    <x v="8"/>
    <x v="24"/>
  </r>
  <r>
    <n v="6"/>
    <s v="Morning"/>
    <b v="0"/>
    <s v="Tuesday"/>
    <s v="Light Rain"/>
    <n v="0.18"/>
    <n v="0.16"/>
    <x v="28"/>
    <x v="7"/>
    <x v="3"/>
    <x v="2"/>
    <x v="110"/>
  </r>
  <r>
    <n v="7"/>
    <s v="Morning"/>
    <b v="0"/>
    <s v="Tuesday"/>
    <s v="Light Rain"/>
    <n v="0.23"/>
    <n v="0.16"/>
    <x v="28"/>
    <x v="0"/>
    <x v="4"/>
    <x v="106"/>
    <x v="111"/>
  </r>
  <r>
    <n v="8"/>
    <s v="Morning"/>
    <b v="0"/>
    <s v="Tuesday"/>
    <s v="Light Rain"/>
    <n v="0.21"/>
    <n v="0.18"/>
    <x v="33"/>
    <x v="1"/>
    <x v="0"/>
    <x v="107"/>
    <x v="112"/>
  </r>
  <r>
    <n v="9"/>
    <s v="Morning"/>
    <b v="0"/>
    <s v="Tuesday"/>
    <s v="Light Rain"/>
    <n v="0.2"/>
    <n v="0.18"/>
    <x v="33"/>
    <x v="8"/>
    <x v="0"/>
    <x v="69"/>
    <x v="113"/>
  </r>
  <r>
    <n v="10"/>
    <s v="Morning"/>
    <b v="0"/>
    <s v="Tuesday"/>
    <s v="Light Rain"/>
    <n v="0.21"/>
    <n v="0.2"/>
    <x v="33"/>
    <x v="8"/>
    <x v="0"/>
    <x v="82"/>
    <x v="60"/>
  </r>
  <r>
    <n v="11"/>
    <s v="Morning"/>
    <b v="0"/>
    <s v="Tuesday"/>
    <s v="Light Rain"/>
    <n v="0.21"/>
    <n v="0.2"/>
    <x v="19"/>
    <x v="7"/>
    <x v="17"/>
    <x v="17"/>
    <x v="17"/>
  </r>
  <r>
    <n v="12"/>
    <s v="Afternoon"/>
    <b v="0"/>
    <s v="Tuesday"/>
    <s v="Light Rain"/>
    <n v="0.23"/>
    <n v="0.2"/>
    <x v="33"/>
    <x v="14"/>
    <x v="4"/>
    <x v="11"/>
    <x v="52"/>
  </r>
  <r>
    <n v="13"/>
    <s v="Afternoon"/>
    <b v="0"/>
    <s v="Tuesday"/>
    <s v="Light Rain"/>
    <n v="0.23"/>
    <n v="0.2"/>
    <x v="29"/>
    <x v="1"/>
    <x v="15"/>
    <x v="24"/>
    <x v="46"/>
  </r>
  <r>
    <n v="14"/>
    <s v="Afternoon"/>
    <b v="0"/>
    <s v="Tuesday"/>
    <s v="Light Rain"/>
    <n v="0.23"/>
    <n v="0.2"/>
    <x v="29"/>
    <x v="1"/>
    <x v="0"/>
    <x v="91"/>
    <x v="55"/>
  </r>
  <r>
    <n v="15"/>
    <s v="Afternoon"/>
    <b v="0"/>
    <s v="Tuesday"/>
    <s v="Light Rain"/>
    <n v="0.2"/>
    <n v="0.16"/>
    <x v="1"/>
    <x v="1"/>
    <x v="4"/>
    <x v="108"/>
    <x v="105"/>
  </r>
  <r>
    <n v="16"/>
    <s v="Afternoon"/>
    <b v="0"/>
    <s v="Tuesday"/>
    <s v="Light Rain"/>
    <n v="0.15"/>
    <n v="0.16"/>
    <x v="3"/>
    <x v="6"/>
    <x v="17"/>
    <x v="109"/>
    <x v="31"/>
  </r>
  <r>
    <n v="17"/>
    <s v="Afternoon"/>
    <b v="0"/>
    <s v="Tuesday"/>
    <s v="Light Rain"/>
    <n v="0.15"/>
    <n v="0.16"/>
    <x v="3"/>
    <x v="6"/>
    <x v="15"/>
    <x v="110"/>
    <x v="114"/>
  </r>
  <r>
    <n v="18"/>
    <s v="Evening"/>
    <b v="0"/>
    <s v="Tuesday"/>
    <s v="Heavy Rain"/>
    <n v="0.18"/>
    <n v="0.16"/>
    <x v="43"/>
    <x v="14"/>
    <x v="5"/>
    <x v="111"/>
    <x v="76"/>
  </r>
  <r>
    <n v="19"/>
    <s v="Evening"/>
    <b v="0"/>
    <s v="Tuesday"/>
    <s v="Heavy Rain"/>
    <n v="0.23"/>
    <n v="0.16"/>
    <x v="43"/>
    <x v="0"/>
    <x v="3"/>
    <x v="82"/>
    <x v="41"/>
  </r>
  <r>
    <n v="20"/>
    <s v="Evening"/>
    <b v="0"/>
    <s v="Tuesday"/>
    <s v="Heavy Rain"/>
    <n v="0.15"/>
    <n v="0.16"/>
    <x v="43"/>
    <x v="5"/>
    <x v="3"/>
    <x v="1"/>
    <x v="2"/>
  </r>
  <r>
    <n v="21"/>
    <s v="Evening"/>
    <b v="0"/>
    <s v="Tuesday"/>
    <s v="Heavy Rain"/>
    <n v="0.2"/>
    <n v="0.16"/>
    <x v="3"/>
    <x v="1"/>
    <x v="3"/>
    <x v="32"/>
    <x v="25"/>
  </r>
  <r>
    <n v="22"/>
    <s v="Evening"/>
    <b v="0"/>
    <s v="Tuesday"/>
    <s v="Heavy Rain"/>
    <n v="0.18"/>
    <n v="0.16"/>
    <x v="43"/>
    <x v="14"/>
    <x v="5"/>
    <x v="95"/>
    <x v="115"/>
  </r>
  <r>
    <n v="23"/>
    <s v="Evening"/>
    <b v="0"/>
    <s v="Tuesday"/>
    <s v="Heavy Rain"/>
    <n v="0.2"/>
    <n v="0.16"/>
    <x v="43"/>
    <x v="1"/>
    <x v="5"/>
    <x v="72"/>
    <x v="75"/>
  </r>
  <r>
    <n v="0"/>
    <s v="Night"/>
    <b v="0"/>
    <s v="Wednesday"/>
    <s v="Light Rain"/>
    <n v="0.2"/>
    <n v="0.16"/>
    <x v="3"/>
    <x v="1"/>
    <x v="3"/>
    <x v="7"/>
    <x v="85"/>
  </r>
  <r>
    <n v="1"/>
    <s v="Night"/>
    <b v="0"/>
    <s v="Wednesday"/>
    <s v="Light Rain"/>
    <n v="0.18"/>
    <n v="0.16"/>
    <x v="3"/>
    <x v="14"/>
    <x v="3"/>
    <x v="8"/>
    <x v="24"/>
  </r>
  <r>
    <n v="2"/>
    <s v="Night"/>
    <b v="0"/>
    <s v="Wednesday"/>
    <s v="Clear Weather"/>
    <n v="0.15"/>
    <n v="0.14000000000000001"/>
    <x v="3"/>
    <x v="7"/>
    <x v="3"/>
    <x v="4"/>
    <x v="4"/>
  </r>
  <r>
    <n v="5"/>
    <s v="Night"/>
    <b v="0"/>
    <s v="Wednesday"/>
    <s v="Clear Weather"/>
    <n v="0.15"/>
    <n v="0.14000000000000001"/>
    <x v="3"/>
    <x v="8"/>
    <x v="3"/>
    <x v="34"/>
    <x v="36"/>
  </r>
  <r>
    <n v="6"/>
    <s v="Morning"/>
    <b v="0"/>
    <s v="Wednesday"/>
    <s v="Clear Weather"/>
    <n v="0.15"/>
    <n v="0.12"/>
    <x v="43"/>
    <x v="7"/>
    <x v="3"/>
    <x v="20"/>
    <x v="0"/>
  </r>
  <r>
    <n v="7"/>
    <s v="Morning"/>
    <b v="0"/>
    <s v="Wednesday"/>
    <s v="Clear Weather"/>
    <n v="0.15"/>
    <n v="0.14000000000000001"/>
    <x v="27"/>
    <x v="7"/>
    <x v="3"/>
    <x v="25"/>
    <x v="60"/>
  </r>
  <r>
    <n v="8"/>
    <s v="Morning"/>
    <b v="0"/>
    <s v="Wednesday"/>
    <s v="Clear Weather"/>
    <n v="0.17"/>
    <n v="0.16"/>
    <x v="29"/>
    <x v="8"/>
    <x v="0"/>
    <x v="85"/>
    <x v="116"/>
  </r>
  <r>
    <n v="9"/>
    <s v="Morning"/>
    <b v="0"/>
    <s v="Wednesday"/>
    <s v="Clear Weather"/>
    <n v="0.14000000000000001"/>
    <n v="0.16"/>
    <x v="29"/>
    <x v="9"/>
    <x v="0"/>
    <x v="78"/>
    <x v="117"/>
  </r>
  <r>
    <n v="10"/>
    <s v="Morning"/>
    <b v="0"/>
    <s v="Wednesday"/>
    <s v="Clear Weather"/>
    <n v="0.18"/>
    <n v="0.18"/>
    <x v="28"/>
    <x v="6"/>
    <x v="3"/>
    <x v="87"/>
    <x v="21"/>
  </r>
  <r>
    <n v="11"/>
    <s v="Morning"/>
    <b v="0"/>
    <s v="Wednesday"/>
    <s v="Clear Weather"/>
    <n v="0.18"/>
    <n v="0.2"/>
    <x v="33"/>
    <x v="13"/>
    <x v="0"/>
    <x v="1"/>
    <x v="17"/>
  </r>
  <r>
    <n v="12"/>
    <s v="Afternoon"/>
    <b v="0"/>
    <s v="Wednesday"/>
    <s v="Clear Weather"/>
    <n v="0.15"/>
    <n v="0.2"/>
    <x v="19"/>
    <x v="19"/>
    <x v="0"/>
    <x v="15"/>
    <x v="97"/>
  </r>
  <r>
    <n v="13"/>
    <s v="Afternoon"/>
    <b v="0"/>
    <s v="Wednesday"/>
    <s v="Clear Weather"/>
    <n v="0.2"/>
    <n v="0.22"/>
    <x v="18"/>
    <x v="11"/>
    <x v="3"/>
    <x v="47"/>
    <x v="99"/>
  </r>
  <r>
    <n v="14"/>
    <s v="Afternoon"/>
    <b v="0"/>
    <s v="Wednesday"/>
    <s v="Clear Weather"/>
    <n v="0.18"/>
    <n v="0.2"/>
    <x v="19"/>
    <x v="9"/>
    <x v="3"/>
    <x v="100"/>
    <x v="40"/>
  </r>
  <r>
    <n v="15"/>
    <s v="Afternoon"/>
    <b v="0"/>
    <s v="Wednesday"/>
    <s v="Clear Weather"/>
    <n v="0.17"/>
    <n v="0.2"/>
    <x v="19"/>
    <x v="12"/>
    <x v="5"/>
    <x v="41"/>
    <x v="99"/>
  </r>
  <r>
    <n v="16"/>
    <s v="Afternoon"/>
    <b v="0"/>
    <s v="Wednesday"/>
    <s v="Clear Weather"/>
    <n v="0.2"/>
    <n v="0.22"/>
    <x v="18"/>
    <x v="9"/>
    <x v="2"/>
    <x v="36"/>
    <x v="118"/>
  </r>
  <r>
    <n v="17"/>
    <s v="Afternoon"/>
    <b v="0"/>
    <s v="Wednesday"/>
    <s v="Clear Weather"/>
    <n v="0.18"/>
    <n v="0.2"/>
    <x v="19"/>
    <x v="11"/>
    <x v="3"/>
    <x v="112"/>
    <x v="119"/>
  </r>
  <r>
    <n v="18"/>
    <s v="Evening"/>
    <b v="0"/>
    <s v="Wednesday"/>
    <s v="Clear Weather"/>
    <n v="0.15"/>
    <n v="0.2"/>
    <x v="19"/>
    <x v="18"/>
    <x v="4"/>
    <x v="113"/>
    <x v="120"/>
  </r>
  <r>
    <n v="19"/>
    <s v="Evening"/>
    <b v="0"/>
    <s v="Wednesday"/>
    <s v="Clear Weather"/>
    <n v="0.15"/>
    <n v="0.18"/>
    <x v="19"/>
    <x v="12"/>
    <x v="5"/>
    <x v="70"/>
    <x v="56"/>
  </r>
  <r>
    <n v="20"/>
    <s v="Evening"/>
    <b v="0"/>
    <s v="Wednesday"/>
    <s v="Clear Weather"/>
    <n v="0.14000000000000001"/>
    <n v="0.16"/>
    <x v="20"/>
    <x v="9"/>
    <x v="4"/>
    <x v="25"/>
    <x v="10"/>
  </r>
  <r>
    <n v="21"/>
    <s v="Evening"/>
    <b v="0"/>
    <s v="Wednesday"/>
    <s v="Clear Weather"/>
    <n v="0.14000000000000001"/>
    <n v="0.16"/>
    <x v="28"/>
    <x v="9"/>
    <x v="3"/>
    <x v="77"/>
    <x v="52"/>
  </r>
  <r>
    <n v="22"/>
    <s v="Evening"/>
    <b v="0"/>
    <s v="Wednesday"/>
    <s v="Clear Weather"/>
    <n v="0.12"/>
    <n v="0.16"/>
    <x v="28"/>
    <x v="10"/>
    <x v="5"/>
    <x v="1"/>
    <x v="63"/>
  </r>
  <r>
    <n v="23"/>
    <s v="Evening"/>
    <b v="0"/>
    <s v="Wednesday"/>
    <s v="Clear Weather"/>
    <n v="0.11"/>
    <n v="0.14000000000000001"/>
    <x v="29"/>
    <x v="12"/>
    <x v="5"/>
    <x v="23"/>
    <x v="25"/>
  </r>
  <r>
    <n v="0"/>
    <s v="Night"/>
    <b v="0"/>
    <s v="Thursday"/>
    <s v="Clear Weather"/>
    <n v="0.12"/>
    <n v="0.14000000000000001"/>
    <x v="29"/>
    <x v="3"/>
    <x v="5"/>
    <x v="8"/>
    <x v="85"/>
  </r>
  <r>
    <n v="1"/>
    <s v="Night"/>
    <b v="0"/>
    <s v="Thursday"/>
    <s v="Clear Weather"/>
    <n v="0.12"/>
    <n v="0.14000000000000001"/>
    <x v="20"/>
    <x v="3"/>
    <x v="3"/>
    <x v="6"/>
    <x v="5"/>
  </r>
  <r>
    <n v="2"/>
    <s v="Night"/>
    <b v="0"/>
    <s v="Thursday"/>
    <s v="Clear Weather"/>
    <n v="0.12"/>
    <n v="0.14000000000000001"/>
    <x v="20"/>
    <x v="11"/>
    <x v="3"/>
    <x v="6"/>
    <x v="5"/>
  </r>
  <r>
    <n v="3"/>
    <s v="Night"/>
    <b v="0"/>
    <s v="Thursday"/>
    <s v="Clear Weather"/>
    <n v="0.12"/>
    <n v="0.14000000000000001"/>
    <x v="20"/>
    <x v="9"/>
    <x v="3"/>
    <x v="35"/>
    <x v="6"/>
  </r>
  <r>
    <n v="4"/>
    <s v="Night"/>
    <b v="0"/>
    <s v="Thursday"/>
    <s v="Clear Weather"/>
    <n v="0.12"/>
    <n v="0.14000000000000001"/>
    <x v="20"/>
    <x v="2"/>
    <x v="3"/>
    <x v="22"/>
    <x v="48"/>
  </r>
  <r>
    <n v="5"/>
    <s v="Night"/>
    <b v="0"/>
    <s v="Thursday"/>
    <s v="Clear Weather"/>
    <n v="0.12"/>
    <n v="0.14000000000000001"/>
    <x v="20"/>
    <x v="4"/>
    <x v="3"/>
    <x v="35"/>
    <x v="6"/>
  </r>
  <r>
    <n v="6"/>
    <s v="Morning"/>
    <b v="0"/>
    <s v="Thursday"/>
    <s v="Clear Weather"/>
    <n v="0.15"/>
    <n v="0.12"/>
    <x v="47"/>
    <x v="7"/>
    <x v="3"/>
    <x v="95"/>
    <x v="20"/>
  </r>
  <r>
    <n v="7"/>
    <s v="Morning"/>
    <b v="0"/>
    <s v="Thursday"/>
    <s v="Clear Weather"/>
    <n v="0.15"/>
    <n v="0.12"/>
    <x v="47"/>
    <x v="7"/>
    <x v="3"/>
    <x v="109"/>
    <x v="44"/>
  </r>
  <r>
    <n v="8"/>
    <s v="Morning"/>
    <b v="0"/>
    <s v="Thursday"/>
    <s v="Clear Weather"/>
    <n v="0.14000000000000001"/>
    <n v="0.14000000000000001"/>
    <x v="20"/>
    <x v="5"/>
    <x v="2"/>
    <x v="114"/>
    <x v="121"/>
  </r>
  <r>
    <n v="9"/>
    <s v="Morning"/>
    <b v="0"/>
    <s v="Thursday"/>
    <s v="Clear Weather"/>
    <n v="0.12"/>
    <n v="0.14000000000000001"/>
    <x v="20"/>
    <x v="9"/>
    <x v="4"/>
    <x v="115"/>
    <x v="119"/>
  </r>
  <r>
    <n v="10"/>
    <s v="Morning"/>
    <b v="0"/>
    <s v="Thursday"/>
    <s v="Light Rain"/>
    <n v="0.14000000000000001"/>
    <n v="0.16"/>
    <x v="20"/>
    <x v="11"/>
    <x v="4"/>
    <x v="49"/>
    <x v="103"/>
  </r>
  <r>
    <n v="11"/>
    <s v="Morning"/>
    <b v="0"/>
    <s v="Thursday"/>
    <s v="Light Rain"/>
    <n v="0.17"/>
    <n v="0.2"/>
    <x v="18"/>
    <x v="10"/>
    <x v="17"/>
    <x v="39"/>
    <x v="18"/>
  </r>
  <r>
    <n v="12"/>
    <s v="Afternoon"/>
    <b v="0"/>
    <s v="Thursday"/>
    <s v="Clear Weather"/>
    <n v="0.17"/>
    <n v="0.2"/>
    <x v="18"/>
    <x v="12"/>
    <x v="0"/>
    <x v="47"/>
    <x v="46"/>
  </r>
  <r>
    <n v="13"/>
    <s v="Afternoon"/>
    <b v="0"/>
    <s v="Thursday"/>
    <s v="Clear Weather"/>
    <n v="0.2"/>
    <n v="0.22"/>
    <x v="48"/>
    <x v="10"/>
    <x v="4"/>
    <x v="38"/>
    <x v="56"/>
  </r>
  <r>
    <n v="14"/>
    <s v="Afternoon"/>
    <b v="0"/>
    <s v="Thursday"/>
    <s v="Clear Weather"/>
    <n v="0.2"/>
    <n v="0.22"/>
    <x v="48"/>
    <x v="13"/>
    <x v="0"/>
    <x v="87"/>
    <x v="51"/>
  </r>
  <r>
    <n v="15"/>
    <s v="Afternoon"/>
    <b v="0"/>
    <s v="Thursday"/>
    <s v="Clear Weather"/>
    <n v="0.21"/>
    <n v="0.24"/>
    <x v="41"/>
    <x v="4"/>
    <x v="2"/>
    <x v="11"/>
    <x v="122"/>
  </r>
  <r>
    <n v="16"/>
    <s v="Afternoon"/>
    <b v="0"/>
    <s v="Thursday"/>
    <s v="Clear Weather"/>
    <n v="0.21"/>
    <n v="0.24"/>
    <x v="41"/>
    <x v="11"/>
    <x v="4"/>
    <x v="83"/>
    <x v="53"/>
  </r>
  <r>
    <n v="17"/>
    <s v="Afternoon"/>
    <b v="0"/>
    <s v="Thursday"/>
    <s v="Clear Weather"/>
    <n v="0.18"/>
    <n v="0.2"/>
    <x v="22"/>
    <x v="3"/>
    <x v="17"/>
    <x v="81"/>
    <x v="123"/>
  </r>
  <r>
    <n v="18"/>
    <s v="Evening"/>
    <b v="0"/>
    <s v="Thursday"/>
    <s v="Clear Weather"/>
    <n v="0.18"/>
    <n v="0.2"/>
    <x v="22"/>
    <x v="9"/>
    <x v="0"/>
    <x v="116"/>
    <x v="124"/>
  </r>
  <r>
    <n v="19"/>
    <s v="Evening"/>
    <b v="0"/>
    <s v="Thursday"/>
    <s v="Clear Weather"/>
    <n v="0.15"/>
    <n v="0.16"/>
    <x v="19"/>
    <x v="2"/>
    <x v="5"/>
    <x v="52"/>
    <x v="111"/>
  </r>
  <r>
    <n v="20"/>
    <s v="Evening"/>
    <b v="0"/>
    <s v="Thursday"/>
    <s v="Clear Weather"/>
    <n v="0.15"/>
    <n v="0.16"/>
    <x v="19"/>
    <x v="6"/>
    <x v="3"/>
    <x v="27"/>
    <x v="37"/>
  </r>
  <r>
    <n v="21"/>
    <s v="Evening"/>
    <b v="0"/>
    <s v="Thursday"/>
    <s v="Clear Weather"/>
    <n v="0.12"/>
    <n v="0.14000000000000001"/>
    <x v="15"/>
    <x v="4"/>
    <x v="3"/>
    <x v="71"/>
    <x v="1"/>
  </r>
  <r>
    <n v="22"/>
    <s v="Evening"/>
    <b v="0"/>
    <s v="Thursday"/>
    <s v="Clear Weather"/>
    <n v="0.12"/>
    <n v="0.14000000000000001"/>
    <x v="15"/>
    <x v="9"/>
    <x v="3"/>
    <x v="10"/>
    <x v="33"/>
  </r>
  <r>
    <n v="23"/>
    <s v="Evening"/>
    <b v="0"/>
    <s v="Thursday"/>
    <s v="Clear Weather"/>
    <n v="0.14000000000000001"/>
    <n v="0.12"/>
    <x v="20"/>
    <x v="5"/>
    <x v="5"/>
    <x v="88"/>
    <x v="93"/>
  </r>
  <r>
    <n v="0"/>
    <s v="Night"/>
    <b v="0"/>
    <s v="Friday"/>
    <s v="Clear Weather"/>
    <n v="0.14000000000000001"/>
    <n v="0.12"/>
    <x v="20"/>
    <x v="5"/>
    <x v="3"/>
    <x v="88"/>
    <x v="8"/>
  </r>
  <r>
    <n v="1"/>
    <s v="Night"/>
    <b v="0"/>
    <s v="Friday"/>
    <s v="Clear Weather"/>
    <n v="0.12"/>
    <n v="0.1"/>
    <x v="47"/>
    <x v="8"/>
    <x v="3"/>
    <x v="34"/>
    <x v="36"/>
  </r>
  <r>
    <n v="2"/>
    <s v="Night"/>
    <b v="0"/>
    <s v="Friday"/>
    <s v="Clear Weather"/>
    <n v="0.12"/>
    <n v="0.1"/>
    <x v="47"/>
    <x v="7"/>
    <x v="3"/>
    <x v="4"/>
    <x v="4"/>
  </r>
  <r>
    <n v="3"/>
    <s v="Night"/>
    <b v="0"/>
    <s v="Friday"/>
    <s v="Clear Weather"/>
    <n v="0.14000000000000001"/>
    <n v="0.1"/>
    <x v="47"/>
    <x v="14"/>
    <x v="3"/>
    <x v="4"/>
    <x v="4"/>
  </r>
  <r>
    <n v="5"/>
    <s v="Night"/>
    <b v="0"/>
    <s v="Friday"/>
    <s v="Clear Weather"/>
    <n v="0.14000000000000001"/>
    <n v="0.1"/>
    <x v="47"/>
    <x v="1"/>
    <x v="3"/>
    <x v="21"/>
    <x v="7"/>
  </r>
  <r>
    <n v="6"/>
    <s v="Morning"/>
    <b v="0"/>
    <s v="Friday"/>
    <s v="Clear Weather"/>
    <n v="0.18"/>
    <n v="0.1"/>
    <x v="47"/>
    <x v="0"/>
    <x v="3"/>
    <x v="19"/>
    <x v="22"/>
  </r>
  <r>
    <n v="7"/>
    <s v="Morning"/>
    <b v="0"/>
    <s v="Friday"/>
    <s v="Clear Weather"/>
    <n v="0.12"/>
    <n v="0.1"/>
    <x v="32"/>
    <x v="8"/>
    <x v="3"/>
    <x v="14"/>
    <x v="27"/>
  </r>
  <r>
    <n v="8"/>
    <s v="Morning"/>
    <b v="0"/>
    <s v="Friday"/>
    <s v="Clear Weather"/>
    <n v="0.17"/>
    <n v="0.12"/>
    <x v="31"/>
    <x v="0"/>
    <x v="4"/>
    <x v="117"/>
    <x v="125"/>
  </r>
  <r>
    <n v="9"/>
    <s v="Morning"/>
    <b v="0"/>
    <s v="Friday"/>
    <s v="Clear Weather"/>
    <n v="0.15"/>
    <n v="0.14000000000000001"/>
    <x v="27"/>
    <x v="7"/>
    <x v="3"/>
    <x v="118"/>
    <x v="126"/>
  </r>
  <r>
    <n v="10"/>
    <s v="Morning"/>
    <b v="0"/>
    <s v="Friday"/>
    <s v="Clear Weather"/>
    <n v="0.18"/>
    <n v="0.18"/>
    <x v="28"/>
    <x v="5"/>
    <x v="17"/>
    <x v="71"/>
    <x v="40"/>
  </r>
  <r>
    <n v="11"/>
    <s v="Morning"/>
    <b v="0"/>
    <s v="Friday"/>
    <s v="Clear Weather"/>
    <n v="0.17"/>
    <n v="0.18"/>
    <x v="33"/>
    <x v="3"/>
    <x v="15"/>
    <x v="12"/>
    <x v="26"/>
  </r>
  <r>
    <n v="12"/>
    <s v="Afternoon"/>
    <b v="0"/>
    <s v="Friday"/>
    <s v="Clear Weather"/>
    <n v="0.2"/>
    <n v="0.2"/>
    <x v="18"/>
    <x v="2"/>
    <x v="4"/>
    <x v="79"/>
    <x v="42"/>
  </r>
  <r>
    <n v="13"/>
    <s v="Afternoon"/>
    <b v="0"/>
    <s v="Friday"/>
    <s v="Clear Weather"/>
    <n v="0.2"/>
    <n v="0.22"/>
    <x v="38"/>
    <x v="13"/>
    <x v="17"/>
    <x v="26"/>
    <x v="43"/>
  </r>
  <r>
    <n v="14"/>
    <s v="Afternoon"/>
    <b v="0"/>
    <s v="Friday"/>
    <s v="Clear Weather"/>
    <n v="0.21"/>
    <n v="0.22"/>
    <x v="48"/>
    <x v="3"/>
    <x v="2"/>
    <x v="79"/>
    <x v="37"/>
  </r>
  <r>
    <n v="15"/>
    <s v="Afternoon"/>
    <b v="0"/>
    <s v="Friday"/>
    <s v="Clear Weather"/>
    <n v="0.24"/>
    <n v="0.24"/>
    <x v="41"/>
    <x v="8"/>
    <x v="14"/>
    <x v="79"/>
    <x v="118"/>
  </r>
  <r>
    <n v="16"/>
    <s v="Afternoon"/>
    <b v="0"/>
    <s v="Friday"/>
    <s v="Clear Weather"/>
    <n v="0.24"/>
    <n v="0.22"/>
    <x v="48"/>
    <x v="14"/>
    <x v="0"/>
    <x v="61"/>
    <x v="127"/>
  </r>
  <r>
    <n v="17"/>
    <s v="Afternoon"/>
    <b v="0"/>
    <s v="Friday"/>
    <s v="Clear Weather"/>
    <n v="0.23"/>
    <n v="0.22"/>
    <x v="48"/>
    <x v="8"/>
    <x v="17"/>
    <x v="119"/>
    <x v="128"/>
  </r>
  <r>
    <n v="18"/>
    <s v="Evening"/>
    <b v="0"/>
    <s v="Friday"/>
    <s v="Clear Weather"/>
    <n v="0.26"/>
    <n v="0.2"/>
    <x v="19"/>
    <x v="0"/>
    <x v="2"/>
    <x v="120"/>
    <x v="119"/>
  </r>
  <r>
    <n v="19"/>
    <s v="Evening"/>
    <b v="0"/>
    <s v="Friday"/>
    <s v="Clear Weather"/>
    <n v="0.2"/>
    <n v="0.16"/>
    <x v="29"/>
    <x v="1"/>
    <x v="0"/>
    <x v="121"/>
    <x v="101"/>
  </r>
  <r>
    <n v="20"/>
    <s v="Evening"/>
    <b v="0"/>
    <s v="Friday"/>
    <s v="Clear Weather"/>
    <n v="0.24"/>
    <n v="0.18"/>
    <x v="29"/>
    <x v="0"/>
    <x v="3"/>
    <x v="56"/>
    <x v="118"/>
  </r>
  <r>
    <n v="21"/>
    <s v="Evening"/>
    <b v="0"/>
    <s v="Friday"/>
    <s v="Clear Weather"/>
    <n v="0.23"/>
    <n v="0.16"/>
    <x v="27"/>
    <x v="0"/>
    <x v="17"/>
    <x v="41"/>
    <x v="46"/>
  </r>
  <r>
    <n v="22"/>
    <s v="Evening"/>
    <b v="0"/>
    <s v="Friday"/>
    <s v="Light Rain"/>
    <n v="0.23"/>
    <n v="0.16"/>
    <x v="27"/>
    <x v="0"/>
    <x v="4"/>
    <x v="60"/>
    <x v="9"/>
  </r>
  <r>
    <n v="23"/>
    <s v="Evening"/>
    <b v="0"/>
    <s v="Friday"/>
    <s v="Light Rain"/>
    <n v="0.24"/>
    <n v="0.18"/>
    <x v="28"/>
    <x v="0"/>
    <x v="5"/>
    <x v="16"/>
    <x v="110"/>
  </r>
  <r>
    <n v="0"/>
    <s v="Night"/>
    <b v="0"/>
    <s v="Saturday"/>
    <s v="Clear Weather"/>
    <n v="0.24"/>
    <n v="0.18"/>
    <x v="28"/>
    <x v="0"/>
    <x v="0"/>
    <x v="18"/>
    <x v="20"/>
  </r>
  <r>
    <n v="1"/>
    <s v="Night"/>
    <b v="0"/>
    <s v="Saturday"/>
    <s v="Light Rain"/>
    <n v="0.2"/>
    <n v="0.16"/>
    <x v="29"/>
    <x v="1"/>
    <x v="4"/>
    <x v="72"/>
    <x v="25"/>
  </r>
  <r>
    <n v="2"/>
    <s v="Night"/>
    <b v="0"/>
    <s v="Saturday"/>
    <s v="Light Rain"/>
    <n v="0.2"/>
    <n v="0.16"/>
    <x v="29"/>
    <x v="1"/>
    <x v="3"/>
    <x v="98"/>
    <x v="47"/>
  </r>
  <r>
    <n v="3"/>
    <s v="Night"/>
    <b v="0"/>
    <s v="Saturday"/>
    <s v="Light Rain"/>
    <n v="0.23"/>
    <n v="0.16"/>
    <x v="29"/>
    <x v="0"/>
    <x v="5"/>
    <x v="7"/>
    <x v="7"/>
  </r>
  <r>
    <n v="4"/>
    <s v="Night"/>
    <b v="0"/>
    <s v="Saturday"/>
    <s v="Light Rain"/>
    <n v="0.23"/>
    <n v="0.16"/>
    <x v="29"/>
    <x v="0"/>
    <x v="3"/>
    <x v="34"/>
    <x v="36"/>
  </r>
  <r>
    <n v="5"/>
    <s v="Night"/>
    <b v="0"/>
    <s v="Saturday"/>
    <s v="Clear Weather"/>
    <n v="0.23"/>
    <n v="0.16"/>
    <x v="29"/>
    <x v="0"/>
    <x v="3"/>
    <x v="4"/>
    <x v="4"/>
  </r>
  <r>
    <n v="6"/>
    <s v="Morning"/>
    <b v="0"/>
    <s v="Saturday"/>
    <s v="Clear Weather"/>
    <n v="0.17"/>
    <n v="0.14000000000000001"/>
    <x v="30"/>
    <x v="14"/>
    <x v="5"/>
    <x v="6"/>
    <x v="6"/>
  </r>
  <r>
    <n v="7"/>
    <s v="Morning"/>
    <b v="0"/>
    <s v="Saturday"/>
    <s v="Clear Weather"/>
    <n v="0.21"/>
    <n v="0.14000000000000001"/>
    <x v="30"/>
    <x v="0"/>
    <x v="5"/>
    <x v="33"/>
    <x v="98"/>
  </r>
  <r>
    <n v="8"/>
    <s v="Morning"/>
    <b v="0"/>
    <s v="Saturday"/>
    <s v="Clear Weather"/>
    <n v="0.15"/>
    <n v="0.14000000000000001"/>
    <x v="30"/>
    <x v="7"/>
    <x v="5"/>
    <x v="97"/>
    <x v="84"/>
  </r>
  <r>
    <n v="9"/>
    <s v="Morning"/>
    <b v="0"/>
    <s v="Saturday"/>
    <s v="Clear Weather"/>
    <n v="0.18"/>
    <n v="0.16"/>
    <x v="26"/>
    <x v="7"/>
    <x v="4"/>
    <x v="17"/>
    <x v="63"/>
  </r>
  <r>
    <n v="10"/>
    <s v="Morning"/>
    <b v="0"/>
    <s v="Saturday"/>
    <s v="Clear Weather"/>
    <n v="0.2"/>
    <n v="0.18"/>
    <x v="29"/>
    <x v="8"/>
    <x v="4"/>
    <x v="77"/>
    <x v="29"/>
  </r>
  <r>
    <n v="11"/>
    <s v="Morning"/>
    <b v="0"/>
    <s v="Saturday"/>
    <s v="Clear Weather"/>
    <n v="0.2"/>
    <n v="0.2"/>
    <x v="28"/>
    <x v="6"/>
    <x v="25"/>
    <x v="25"/>
    <x v="44"/>
  </r>
  <r>
    <n v="12"/>
    <s v="Afternoon"/>
    <b v="0"/>
    <s v="Saturday"/>
    <s v="Clear Weather"/>
    <n v="0.23"/>
    <n v="0.24"/>
    <x v="37"/>
    <x v="6"/>
    <x v="13"/>
    <x v="64"/>
    <x v="70"/>
  </r>
  <r>
    <n v="13"/>
    <s v="Afternoon"/>
    <b v="0"/>
    <s v="Saturday"/>
    <s v="Clear Weather"/>
    <n v="0.26"/>
    <n v="0.28000000000000003"/>
    <x v="41"/>
    <x v="4"/>
    <x v="27"/>
    <x v="122"/>
    <x v="129"/>
  </r>
  <r>
    <n v="14"/>
    <s v="Afternoon"/>
    <b v="0"/>
    <s v="Saturday"/>
    <s v="Clear Weather"/>
    <n v="0.28999999999999998"/>
    <n v="0.3"/>
    <x v="17"/>
    <x v="3"/>
    <x v="7"/>
    <x v="50"/>
    <x v="130"/>
  </r>
  <r>
    <n v="15"/>
    <s v="Afternoon"/>
    <b v="0"/>
    <s v="Saturday"/>
    <s v="Light Rain"/>
    <n v="0.32"/>
    <n v="0.32"/>
    <x v="42"/>
    <x v="5"/>
    <x v="27"/>
    <x v="123"/>
    <x v="131"/>
  </r>
  <r>
    <n v="16"/>
    <s v="Afternoon"/>
    <b v="0"/>
    <s v="Saturday"/>
    <s v="Light Rain"/>
    <n v="0.33"/>
    <n v="0.34"/>
    <x v="46"/>
    <x v="5"/>
    <x v="28"/>
    <x v="73"/>
    <x v="116"/>
  </r>
  <r>
    <n v="17"/>
    <s v="Afternoon"/>
    <b v="0"/>
    <s v="Saturday"/>
    <s v="Light Rain"/>
    <n v="0.3"/>
    <n v="0.32"/>
    <x v="42"/>
    <x v="3"/>
    <x v="8"/>
    <x v="25"/>
    <x v="56"/>
  </r>
  <r>
    <n v="18"/>
    <s v="Evening"/>
    <b v="0"/>
    <s v="Saturday"/>
    <s v="Light Rain"/>
    <n v="0.28999999999999998"/>
    <n v="0.3"/>
    <x v="49"/>
    <x v="2"/>
    <x v="13"/>
    <x v="94"/>
    <x v="11"/>
  </r>
  <r>
    <n v="19"/>
    <s v="Evening"/>
    <b v="0"/>
    <s v="Saturday"/>
    <s v="Light Rain"/>
    <n v="0.3"/>
    <n v="0.32"/>
    <x v="17"/>
    <x v="2"/>
    <x v="24"/>
    <x v="91"/>
    <x v="30"/>
  </r>
  <r>
    <n v="20"/>
    <s v="Evening"/>
    <b v="0"/>
    <s v="Saturday"/>
    <s v="Light Rain"/>
    <n v="0.3"/>
    <n v="0.32"/>
    <x v="17"/>
    <x v="2"/>
    <x v="15"/>
    <x v="96"/>
    <x v="102"/>
  </r>
  <r>
    <n v="21"/>
    <s v="Evening"/>
    <b v="0"/>
    <s v="Saturday"/>
    <s v="Light Rain"/>
    <n v="0.3"/>
    <n v="0.32"/>
    <x v="17"/>
    <x v="6"/>
    <x v="15"/>
    <x v="82"/>
    <x v="52"/>
  </r>
  <r>
    <n v="22"/>
    <s v="Evening"/>
    <b v="0"/>
    <s v="Saturday"/>
    <s v="Light Rain"/>
    <n v="0.32"/>
    <n v="0.3"/>
    <x v="16"/>
    <x v="14"/>
    <x v="3"/>
    <x v="16"/>
    <x v="132"/>
  </r>
  <r>
    <n v="23"/>
    <s v="Evening"/>
    <b v="0"/>
    <s v="Saturday"/>
    <s v="Clear Weather"/>
    <n v="0.28999999999999998"/>
    <n v="0.3"/>
    <x v="49"/>
    <x v="3"/>
    <x v="2"/>
    <x v="87"/>
    <x v="40"/>
  </r>
  <r>
    <n v="0"/>
    <s v="Night"/>
    <b v="0"/>
    <s v="Sunday"/>
    <s v="Clear Weather"/>
    <n v="0.3"/>
    <n v="0.26"/>
    <x v="34"/>
    <x v="0"/>
    <x v="15"/>
    <x v="39"/>
    <x v="21"/>
  </r>
  <r>
    <n v="1"/>
    <s v="Night"/>
    <b v="0"/>
    <s v="Sunday"/>
    <s v="Clear Weather"/>
    <n v="0.27"/>
    <n v="0.26"/>
    <x v="34"/>
    <x v="7"/>
    <x v="17"/>
    <x v="23"/>
    <x v="84"/>
  </r>
  <r>
    <n v="2"/>
    <s v="Night"/>
    <b v="0"/>
    <s v="Sunday"/>
    <s v="Clear Weather"/>
    <n v="0.28999999999999998"/>
    <n v="0.26"/>
    <x v="34"/>
    <x v="1"/>
    <x v="0"/>
    <x v="0"/>
    <x v="0"/>
  </r>
  <r>
    <n v="3"/>
    <s v="Night"/>
    <b v="0"/>
    <s v="Sunday"/>
    <s v="Clear Weather"/>
    <n v="0.27"/>
    <n v="0.22"/>
    <x v="27"/>
    <x v="0"/>
    <x v="14"/>
    <x v="8"/>
    <x v="93"/>
  </r>
  <r>
    <n v="4"/>
    <s v="Night"/>
    <b v="0"/>
    <s v="Sunday"/>
    <s v="Clear Weather"/>
    <n v="0.26"/>
    <n v="0.26"/>
    <x v="34"/>
    <x v="8"/>
    <x v="3"/>
    <x v="4"/>
    <x v="4"/>
  </r>
  <r>
    <n v="5"/>
    <s v="Night"/>
    <b v="0"/>
    <s v="Sunday"/>
    <s v="Light Rain"/>
    <n v="0.26"/>
    <n v="0.26"/>
    <x v="34"/>
    <x v="8"/>
    <x v="5"/>
    <x v="4"/>
    <x v="5"/>
  </r>
  <r>
    <n v="6"/>
    <s v="Morning"/>
    <b v="0"/>
    <s v="Sunday"/>
    <s v="Light Rain"/>
    <n v="0.26"/>
    <n v="0.26"/>
    <x v="34"/>
    <x v="8"/>
    <x v="3"/>
    <x v="4"/>
    <x v="4"/>
  </r>
  <r>
    <n v="7"/>
    <s v="Morning"/>
    <b v="0"/>
    <s v="Sunday"/>
    <s v="Light Rain"/>
    <n v="0.21"/>
    <n v="0.24"/>
    <x v="34"/>
    <x v="4"/>
    <x v="3"/>
    <x v="35"/>
    <x v="6"/>
  </r>
  <r>
    <n v="8"/>
    <s v="Morning"/>
    <b v="0"/>
    <s v="Sunday"/>
    <s v="Clear Weather"/>
    <n v="0.21"/>
    <n v="0.22"/>
    <x v="28"/>
    <x v="3"/>
    <x v="3"/>
    <x v="72"/>
    <x v="109"/>
  </r>
  <r>
    <n v="9"/>
    <s v="Morning"/>
    <b v="0"/>
    <s v="Sunday"/>
    <s v="Clear Weather"/>
    <n v="0.21"/>
    <n v="0.22"/>
    <x v="33"/>
    <x v="2"/>
    <x v="0"/>
    <x v="31"/>
    <x v="2"/>
  </r>
  <r>
    <n v="10"/>
    <s v="Morning"/>
    <b v="0"/>
    <s v="Sunday"/>
    <s v="Clear Weather"/>
    <n v="0.21"/>
    <n v="0.22"/>
    <x v="33"/>
    <x v="3"/>
    <x v="1"/>
    <x v="13"/>
    <x v="67"/>
  </r>
  <r>
    <n v="11"/>
    <s v="Morning"/>
    <b v="0"/>
    <s v="Sunday"/>
    <s v="Clear Weather"/>
    <n v="0.23"/>
    <n v="0.24"/>
    <x v="18"/>
    <x v="2"/>
    <x v="29"/>
    <x v="14"/>
    <x v="15"/>
  </r>
  <r>
    <n v="12"/>
    <s v="Afternoon"/>
    <b v="0"/>
    <s v="Sunday"/>
    <s v="Clear Weather"/>
    <n v="0.21"/>
    <n v="0.24"/>
    <x v="48"/>
    <x v="3"/>
    <x v="8"/>
    <x v="102"/>
    <x v="133"/>
  </r>
  <r>
    <n v="13"/>
    <s v="Afternoon"/>
    <b v="0"/>
    <s v="Sunday"/>
    <s v="Clear Weather"/>
    <n v="0.23"/>
    <n v="0.26"/>
    <x v="23"/>
    <x v="4"/>
    <x v="29"/>
    <x v="73"/>
    <x v="130"/>
  </r>
  <r>
    <n v="14"/>
    <s v="Afternoon"/>
    <b v="0"/>
    <s v="Sunday"/>
    <s v="Clear Weather"/>
    <n v="0.27"/>
    <n v="0.28000000000000003"/>
    <x v="42"/>
    <x v="2"/>
    <x v="30"/>
    <x v="94"/>
    <x v="134"/>
  </r>
  <r>
    <n v="15"/>
    <s v="Afternoon"/>
    <b v="0"/>
    <s v="Sunday"/>
    <s v="Clear Weather"/>
    <n v="0.24"/>
    <n v="0.26"/>
    <x v="41"/>
    <x v="2"/>
    <x v="10"/>
    <x v="78"/>
    <x v="135"/>
  </r>
  <r>
    <n v="16"/>
    <s v="Afternoon"/>
    <b v="0"/>
    <s v="Sunday"/>
    <s v="Clear Weather"/>
    <n v="0.23"/>
    <n v="0.24"/>
    <x v="41"/>
    <x v="6"/>
    <x v="30"/>
    <x v="99"/>
    <x v="111"/>
  </r>
  <r>
    <n v="17"/>
    <s v="Afternoon"/>
    <b v="0"/>
    <s v="Sunday"/>
    <s v="Clear Weather"/>
    <n v="0.21"/>
    <n v="0.22"/>
    <x v="38"/>
    <x v="2"/>
    <x v="29"/>
    <x v="70"/>
    <x v="136"/>
  </r>
  <r>
    <n v="18"/>
    <s v="Evening"/>
    <b v="0"/>
    <s v="Sunday"/>
    <s v="Clear Weather"/>
    <n v="0.21"/>
    <n v="0.2"/>
    <x v="22"/>
    <x v="8"/>
    <x v="16"/>
    <x v="90"/>
    <x v="16"/>
  </r>
  <r>
    <n v="19"/>
    <s v="Evening"/>
    <b v="0"/>
    <s v="Sunday"/>
    <s v="Clear Weather"/>
    <n v="0.2"/>
    <n v="0.18"/>
    <x v="19"/>
    <x v="7"/>
    <x v="24"/>
    <x v="12"/>
    <x v="42"/>
  </r>
  <r>
    <n v="20"/>
    <s v="Evening"/>
    <b v="0"/>
    <s v="Sunday"/>
    <s v="Clear Weather"/>
    <n v="0.2"/>
    <n v="0.18"/>
    <x v="19"/>
    <x v="8"/>
    <x v="18"/>
    <x v="54"/>
    <x v="52"/>
  </r>
  <r>
    <n v="21"/>
    <s v="Evening"/>
    <b v="0"/>
    <s v="Sunday"/>
    <s v="Clear Weather"/>
    <n v="0.2"/>
    <n v="0.18"/>
    <x v="33"/>
    <x v="8"/>
    <x v="15"/>
    <x v="97"/>
    <x v="20"/>
  </r>
  <r>
    <n v="22"/>
    <s v="Evening"/>
    <b v="0"/>
    <s v="Sunday"/>
    <s v="Light Rain"/>
    <n v="0.21"/>
    <n v="0.2"/>
    <x v="36"/>
    <x v="7"/>
    <x v="4"/>
    <x v="23"/>
    <x v="137"/>
  </r>
  <r>
    <n v="23"/>
    <s v="Evening"/>
    <b v="0"/>
    <s v="Sunday"/>
    <s v="Light Rain"/>
    <n v="0.23"/>
    <n v="0.2"/>
    <x v="22"/>
    <x v="14"/>
    <x v="3"/>
    <x v="72"/>
    <x v="109"/>
  </r>
  <r>
    <n v="0"/>
    <s v="Night"/>
    <b v="1"/>
    <s v="Monday"/>
    <s v="Light Rain"/>
    <n v="0.2"/>
    <n v="0.2"/>
    <x v="19"/>
    <x v="6"/>
    <x v="5"/>
    <x v="20"/>
    <x v="22"/>
  </r>
  <r>
    <n v="1"/>
    <s v="Night"/>
    <b v="1"/>
    <s v="Monday"/>
    <s v="Light Rain"/>
    <n v="0.2"/>
    <n v="0.2"/>
    <x v="18"/>
    <x v="5"/>
    <x v="5"/>
    <x v="89"/>
    <x v="0"/>
  </r>
  <r>
    <n v="2"/>
    <s v="Night"/>
    <b v="1"/>
    <s v="Monday"/>
    <s v="Light Rain"/>
    <n v="0.17"/>
    <n v="0.18"/>
    <x v="21"/>
    <x v="2"/>
    <x v="3"/>
    <x v="21"/>
    <x v="7"/>
  </r>
  <r>
    <n v="3"/>
    <s v="Night"/>
    <b v="1"/>
    <s v="Monday"/>
    <s v="Light Rain"/>
    <n v="0.18"/>
    <n v="0.18"/>
    <x v="21"/>
    <x v="5"/>
    <x v="3"/>
    <x v="6"/>
    <x v="5"/>
  </r>
  <r>
    <n v="4"/>
    <s v="Night"/>
    <b v="1"/>
    <s v="Monday"/>
    <s v="Light Rain"/>
    <n v="0.2"/>
    <n v="0.18"/>
    <x v="21"/>
    <x v="7"/>
    <x v="5"/>
    <x v="6"/>
    <x v="6"/>
  </r>
  <r>
    <n v="5"/>
    <s v="Night"/>
    <b v="1"/>
    <s v="Monday"/>
    <s v="Light Rain"/>
    <n v="0.2"/>
    <n v="0.18"/>
    <x v="21"/>
    <x v="8"/>
    <x v="3"/>
    <x v="4"/>
    <x v="4"/>
  </r>
  <r>
    <n v="6"/>
    <s v="Morning"/>
    <b v="1"/>
    <s v="Monday"/>
    <s v="Light Rain"/>
    <n v="0.18"/>
    <n v="0.18"/>
    <x v="21"/>
    <x v="5"/>
    <x v="3"/>
    <x v="34"/>
    <x v="36"/>
  </r>
  <r>
    <n v="7"/>
    <s v="Morning"/>
    <b v="1"/>
    <s v="Monday"/>
    <s v="Light Rain"/>
    <n v="0.18"/>
    <n v="0.16"/>
    <x v="20"/>
    <x v="7"/>
    <x v="17"/>
    <x v="33"/>
    <x v="3"/>
  </r>
  <r>
    <n v="8"/>
    <s v="Morning"/>
    <b v="1"/>
    <s v="Monday"/>
    <s v="Light Rain"/>
    <n v="0.15"/>
    <n v="0.16"/>
    <x v="19"/>
    <x v="6"/>
    <x v="0"/>
    <x v="10"/>
    <x v="63"/>
  </r>
  <r>
    <n v="9"/>
    <s v="Morning"/>
    <b v="1"/>
    <s v="Monday"/>
    <s v="Light Rain"/>
    <n v="0.15"/>
    <n v="0.16"/>
    <x v="19"/>
    <x v="6"/>
    <x v="1"/>
    <x v="87"/>
    <x v="105"/>
  </r>
  <r>
    <n v="10"/>
    <s v="Morning"/>
    <b v="1"/>
    <s v="Monday"/>
    <s v="Light Rain"/>
    <n v="0.15"/>
    <n v="0.16"/>
    <x v="20"/>
    <x v="2"/>
    <x v="18"/>
    <x v="54"/>
    <x v="52"/>
  </r>
  <r>
    <n v="11"/>
    <s v="Morning"/>
    <b v="1"/>
    <s v="Monday"/>
    <s v="Light Rain"/>
    <n v="0.15"/>
    <n v="0.16"/>
    <x v="28"/>
    <x v="5"/>
    <x v="14"/>
    <x v="11"/>
    <x v="37"/>
  </r>
  <r>
    <n v="12"/>
    <s v="Afternoon"/>
    <b v="1"/>
    <s v="Monday"/>
    <s v="Light Rain"/>
    <n v="0.2"/>
    <n v="0.18"/>
    <x v="19"/>
    <x v="7"/>
    <x v="22"/>
    <x v="14"/>
    <x v="138"/>
  </r>
  <r>
    <n v="13"/>
    <s v="Afternoon"/>
    <b v="1"/>
    <s v="Monday"/>
    <s v="Light Rain"/>
    <n v="0.2"/>
    <n v="0.18"/>
    <x v="19"/>
    <x v="7"/>
    <x v="23"/>
    <x v="122"/>
    <x v="15"/>
  </r>
  <r>
    <n v="14"/>
    <s v="Afternoon"/>
    <b v="1"/>
    <s v="Monday"/>
    <s v="Light Rain"/>
    <n v="0.21"/>
    <n v="0.18"/>
    <x v="21"/>
    <x v="14"/>
    <x v="6"/>
    <x v="64"/>
    <x v="80"/>
  </r>
  <r>
    <n v="15"/>
    <s v="Afternoon"/>
    <b v="1"/>
    <s v="Monday"/>
    <s v="Light Rain"/>
    <n v="0.21"/>
    <n v="0.2"/>
    <x v="19"/>
    <x v="8"/>
    <x v="27"/>
    <x v="109"/>
    <x v="15"/>
  </r>
  <r>
    <n v="16"/>
    <s v="Afternoon"/>
    <b v="1"/>
    <s v="Monday"/>
    <s v="Light Rain"/>
    <n v="0.21"/>
    <n v="0.2"/>
    <x v="19"/>
    <x v="8"/>
    <x v="15"/>
    <x v="83"/>
    <x v="100"/>
  </r>
  <r>
    <n v="17"/>
    <s v="Afternoon"/>
    <b v="1"/>
    <s v="Monday"/>
    <s v="Clear Weather"/>
    <n v="0.2"/>
    <n v="0.2"/>
    <x v="33"/>
    <x v="5"/>
    <x v="17"/>
    <x v="28"/>
    <x v="68"/>
  </r>
  <r>
    <n v="18"/>
    <s v="Evening"/>
    <b v="1"/>
    <s v="Monday"/>
    <s v="Light Rain"/>
    <n v="0.17"/>
    <n v="0.18"/>
    <x v="28"/>
    <x v="2"/>
    <x v="18"/>
    <x v="66"/>
    <x v="101"/>
  </r>
  <r>
    <n v="19"/>
    <s v="Evening"/>
    <b v="1"/>
    <s v="Monday"/>
    <s v="Heavy Rain"/>
    <n v="0.18"/>
    <n v="0.18"/>
    <x v="29"/>
    <x v="5"/>
    <x v="4"/>
    <x v="29"/>
    <x v="122"/>
  </r>
  <r>
    <n v="20"/>
    <s v="Evening"/>
    <b v="1"/>
    <s v="Monday"/>
    <s v="Heavy Rain"/>
    <n v="0.15"/>
    <n v="0.16"/>
    <x v="1"/>
    <x v="5"/>
    <x v="17"/>
    <x v="31"/>
    <x v="63"/>
  </r>
  <r>
    <n v="21"/>
    <s v="Evening"/>
    <b v="1"/>
    <s v="Monday"/>
    <s v="Heavy Rain"/>
    <n v="0.15"/>
    <n v="0.16"/>
    <x v="1"/>
    <x v="5"/>
    <x v="0"/>
    <x v="9"/>
    <x v="110"/>
  </r>
  <r>
    <n v="22"/>
    <s v="Evening"/>
    <b v="1"/>
    <s v="Monday"/>
    <s v="Heavy Rain"/>
    <n v="0.12"/>
    <n v="0.14000000000000001"/>
    <x v="43"/>
    <x v="2"/>
    <x v="3"/>
    <x v="0"/>
    <x v="3"/>
  </r>
  <r>
    <n v="23"/>
    <s v="Evening"/>
    <b v="1"/>
    <s v="Monday"/>
    <s v="Heavy Rain"/>
    <n v="0.14000000000000001"/>
    <n v="0.16"/>
    <x v="3"/>
    <x v="3"/>
    <x v="5"/>
    <x v="35"/>
    <x v="48"/>
  </r>
  <r>
    <n v="12"/>
    <s v="Afternoon"/>
    <b v="0"/>
    <s v="Tuesday"/>
    <s v="Light Rain"/>
    <n v="0.18"/>
    <n v="0.2"/>
    <x v="3"/>
    <x v="9"/>
    <x v="3"/>
    <x v="35"/>
    <x v="6"/>
  </r>
  <r>
    <n v="13"/>
    <s v="Afternoon"/>
    <b v="0"/>
    <s v="Tuesday"/>
    <s v="Light Rain"/>
    <n v="0.2"/>
    <n v="0.2"/>
    <x v="3"/>
    <x v="6"/>
    <x v="3"/>
    <x v="97"/>
    <x v="34"/>
  </r>
  <r>
    <n v="14"/>
    <s v="Afternoon"/>
    <b v="0"/>
    <s v="Tuesday"/>
    <s v="Light Rain"/>
    <n v="0.23"/>
    <n v="0.22"/>
    <x v="1"/>
    <x v="8"/>
    <x v="4"/>
    <x v="16"/>
    <x v="20"/>
  </r>
  <r>
    <n v="15"/>
    <s v="Afternoon"/>
    <b v="0"/>
    <s v="Tuesday"/>
    <s v="Light Rain"/>
    <n v="0.23"/>
    <n v="0.22"/>
    <x v="9"/>
    <x v="8"/>
    <x v="0"/>
    <x v="1"/>
    <x v="17"/>
  </r>
  <r>
    <n v="16"/>
    <s v="Afternoon"/>
    <b v="0"/>
    <s v="Tuesday"/>
    <s v="Light Rain"/>
    <n v="0.23"/>
    <n v="0.22"/>
    <x v="9"/>
    <x v="5"/>
    <x v="3"/>
    <x v="124"/>
    <x v="42"/>
  </r>
  <r>
    <n v="17"/>
    <s v="Afternoon"/>
    <b v="0"/>
    <s v="Tuesday"/>
    <s v="Light Rain"/>
    <n v="0.23"/>
    <n v="0.22"/>
    <x v="7"/>
    <x v="5"/>
    <x v="5"/>
    <x v="125"/>
    <x v="139"/>
  </r>
  <r>
    <n v="18"/>
    <s v="Evening"/>
    <b v="0"/>
    <s v="Tuesday"/>
    <s v="Light Rain"/>
    <n v="0.23"/>
    <n v="0.22"/>
    <x v="1"/>
    <x v="8"/>
    <x v="5"/>
    <x v="126"/>
    <x v="140"/>
  </r>
  <r>
    <n v="19"/>
    <s v="Evening"/>
    <b v="0"/>
    <s v="Tuesday"/>
    <s v="Light Rain"/>
    <n v="0.23"/>
    <n v="0.22"/>
    <x v="1"/>
    <x v="7"/>
    <x v="5"/>
    <x v="52"/>
    <x v="111"/>
  </r>
  <r>
    <n v="20"/>
    <s v="Evening"/>
    <b v="0"/>
    <s v="Tuesday"/>
    <s v="Light Rain"/>
    <n v="0.27"/>
    <n v="0.22"/>
    <x v="9"/>
    <x v="0"/>
    <x v="3"/>
    <x v="93"/>
    <x v="56"/>
  </r>
  <r>
    <n v="21"/>
    <s v="Evening"/>
    <b v="0"/>
    <s v="Tuesday"/>
    <s v="Light Rain"/>
    <n v="0.24"/>
    <n v="0.22"/>
    <x v="43"/>
    <x v="14"/>
    <x v="3"/>
    <x v="40"/>
    <x v="102"/>
  </r>
  <r>
    <n v="22"/>
    <s v="Evening"/>
    <b v="0"/>
    <s v="Tuesday"/>
    <s v="Light Rain"/>
    <n v="0.26"/>
    <n v="0.22"/>
    <x v="43"/>
    <x v="1"/>
    <x v="3"/>
    <x v="39"/>
    <x v="63"/>
  </r>
  <r>
    <n v="23"/>
    <s v="Evening"/>
    <b v="0"/>
    <s v="Tuesday"/>
    <s v="Light Rain"/>
    <n v="0.27"/>
    <n v="0.22"/>
    <x v="43"/>
    <x v="0"/>
    <x v="5"/>
    <x v="23"/>
    <x v="25"/>
  </r>
  <r>
    <n v="0"/>
    <s v="Night"/>
    <b v="0"/>
    <s v="Wednesday"/>
    <s v="Light Rain"/>
    <n v="0.27"/>
    <n v="0.22"/>
    <x v="43"/>
    <x v="0"/>
    <x v="3"/>
    <x v="35"/>
    <x v="6"/>
  </r>
  <r>
    <n v="1"/>
    <s v="Night"/>
    <b v="0"/>
    <s v="Wednesday"/>
    <s v="Heavy Rain"/>
    <n v="0.23"/>
    <n v="0.22"/>
    <x v="43"/>
    <x v="7"/>
    <x v="5"/>
    <x v="8"/>
    <x v="85"/>
  </r>
  <r>
    <n v="2"/>
    <s v="Night"/>
    <b v="0"/>
    <s v="Wednesday"/>
    <s v="Heavy Rain"/>
    <n v="0.23"/>
    <n v="0.22"/>
    <x v="43"/>
    <x v="7"/>
    <x v="3"/>
    <x v="35"/>
    <x v="6"/>
  </r>
  <r>
    <n v="4"/>
    <s v="Night"/>
    <b v="0"/>
    <s v="Wednesday"/>
    <s v="Heavy Rain"/>
    <n v="0.23"/>
    <n v="0.22"/>
    <x v="43"/>
    <x v="7"/>
    <x v="5"/>
    <x v="4"/>
    <x v="5"/>
  </r>
  <r>
    <n v="5"/>
    <s v="Night"/>
    <b v="0"/>
    <s v="Wednesday"/>
    <s v="Light Rain"/>
    <n v="0.26"/>
    <n v="0.22"/>
    <x v="43"/>
    <x v="1"/>
    <x v="3"/>
    <x v="7"/>
    <x v="85"/>
  </r>
  <r>
    <n v="6"/>
    <s v="Morning"/>
    <b v="0"/>
    <s v="Wednesday"/>
    <s v="Light Rain"/>
    <n v="0.26"/>
    <n v="0.22"/>
    <x v="43"/>
    <x v="1"/>
    <x v="3"/>
    <x v="1"/>
    <x v="2"/>
  </r>
  <r>
    <n v="7"/>
    <s v="Morning"/>
    <b v="0"/>
    <s v="Wednesday"/>
    <s v="Light Rain"/>
    <n v="0.26"/>
    <n v="0.24"/>
    <x v="50"/>
    <x v="14"/>
    <x v="5"/>
    <x v="121"/>
    <x v="127"/>
  </r>
  <r>
    <n v="8"/>
    <s v="Morning"/>
    <b v="0"/>
    <s v="Wednesday"/>
    <s v="Light Rain"/>
    <n v="0.26"/>
    <n v="0.24"/>
    <x v="43"/>
    <x v="14"/>
    <x v="5"/>
    <x v="127"/>
    <x v="141"/>
  </r>
  <r>
    <n v="9"/>
    <s v="Morning"/>
    <b v="0"/>
    <s v="Wednesday"/>
    <s v="Light Rain"/>
    <n v="0.26"/>
    <n v="0.24"/>
    <x v="43"/>
    <x v="14"/>
    <x v="4"/>
    <x v="128"/>
    <x v="142"/>
  </r>
  <r>
    <n v="10"/>
    <s v="Morning"/>
    <b v="0"/>
    <s v="Wednesday"/>
    <s v="Light Rain"/>
    <n v="0.27"/>
    <n v="0.26"/>
    <x v="43"/>
    <x v="7"/>
    <x v="5"/>
    <x v="24"/>
    <x v="105"/>
  </r>
  <r>
    <n v="11"/>
    <s v="Morning"/>
    <b v="0"/>
    <s v="Wednesday"/>
    <s v="Light Rain"/>
    <n v="0.3"/>
    <n v="0.28000000000000003"/>
    <x v="9"/>
    <x v="1"/>
    <x v="2"/>
    <x v="12"/>
    <x v="46"/>
  </r>
  <r>
    <n v="12"/>
    <s v="Afternoon"/>
    <b v="0"/>
    <s v="Wednesday"/>
    <s v="Light Rain"/>
    <n v="0.32"/>
    <n v="0.3"/>
    <x v="0"/>
    <x v="1"/>
    <x v="2"/>
    <x v="65"/>
    <x v="27"/>
  </r>
  <r>
    <n v="13"/>
    <s v="Afternoon"/>
    <b v="0"/>
    <s v="Wednesday"/>
    <s v="Clear Weather"/>
    <n v="0.41"/>
    <n v="0.4"/>
    <x v="51"/>
    <x v="3"/>
    <x v="16"/>
    <x v="28"/>
    <x v="53"/>
  </r>
  <r>
    <n v="14"/>
    <s v="Afternoon"/>
    <b v="0"/>
    <s v="Wednesday"/>
    <s v="Clear Weather"/>
    <n v="0.41"/>
    <n v="0.4"/>
    <x v="52"/>
    <x v="2"/>
    <x v="18"/>
    <x v="56"/>
    <x v="28"/>
  </r>
  <r>
    <n v="15"/>
    <s v="Afternoon"/>
    <b v="0"/>
    <s v="Wednesday"/>
    <s v="Clear Weather"/>
    <n v="0.41"/>
    <n v="0.4"/>
    <x v="47"/>
    <x v="3"/>
    <x v="17"/>
    <x v="78"/>
    <x v="100"/>
  </r>
  <r>
    <n v="16"/>
    <s v="Afternoon"/>
    <b v="0"/>
    <s v="Wednesday"/>
    <s v="Clear Weather"/>
    <n v="0.39"/>
    <n v="0.38"/>
    <x v="52"/>
    <x v="13"/>
    <x v="22"/>
    <x v="111"/>
    <x v="133"/>
  </r>
  <r>
    <n v="17"/>
    <s v="Afternoon"/>
    <b v="0"/>
    <s v="Wednesday"/>
    <s v="Clear Weather"/>
    <n v="0.33"/>
    <n v="0.36"/>
    <x v="14"/>
    <x v="9"/>
    <x v="18"/>
    <x v="84"/>
    <x v="141"/>
  </r>
  <r>
    <n v="18"/>
    <s v="Evening"/>
    <b v="0"/>
    <s v="Wednesday"/>
    <s v="Clear Weather"/>
    <n v="0.32"/>
    <n v="0.34"/>
    <x v="53"/>
    <x v="3"/>
    <x v="2"/>
    <x v="117"/>
    <x v="143"/>
  </r>
  <r>
    <n v="19"/>
    <s v="Evening"/>
    <b v="0"/>
    <s v="Wednesday"/>
    <s v="Clear Weather"/>
    <n v="0.28999999999999998"/>
    <n v="0.32"/>
    <x v="14"/>
    <x v="12"/>
    <x v="17"/>
    <x v="123"/>
    <x v="59"/>
  </r>
  <r>
    <n v="20"/>
    <s v="Evening"/>
    <b v="0"/>
    <s v="Wednesday"/>
    <s v="Clear Weather"/>
    <n v="0.3"/>
    <n v="0.32"/>
    <x v="36"/>
    <x v="4"/>
    <x v="4"/>
    <x v="64"/>
    <x v="31"/>
  </r>
  <r>
    <n v="21"/>
    <s v="Evening"/>
    <b v="0"/>
    <s v="Wednesday"/>
    <s v="Clear Weather"/>
    <n v="0.28999999999999998"/>
    <n v="0.32"/>
    <x v="36"/>
    <x v="12"/>
    <x v="17"/>
    <x v="11"/>
    <x v="29"/>
  </r>
  <r>
    <n v="22"/>
    <s v="Evening"/>
    <b v="0"/>
    <s v="Wednesday"/>
    <s v="Clear Weather"/>
    <n v="0.3"/>
    <n v="0.3"/>
    <x v="35"/>
    <x v="8"/>
    <x v="15"/>
    <x v="42"/>
    <x v="29"/>
  </r>
  <r>
    <n v="23"/>
    <s v="Evening"/>
    <b v="0"/>
    <s v="Wednesday"/>
    <s v="Clear Weather"/>
    <n v="0.27"/>
    <n v="0.3"/>
    <x v="35"/>
    <x v="17"/>
    <x v="5"/>
    <x v="2"/>
    <x v="20"/>
  </r>
  <r>
    <n v="0"/>
    <s v="Night"/>
    <b v="0"/>
    <s v="Thursday"/>
    <s v="Clear Weather"/>
    <n v="0.23"/>
    <n v="0.26"/>
    <x v="34"/>
    <x v="13"/>
    <x v="2"/>
    <x v="21"/>
    <x v="3"/>
  </r>
  <r>
    <n v="1"/>
    <s v="Night"/>
    <b v="0"/>
    <s v="Thursday"/>
    <s v="Clear Weather"/>
    <n v="0.27"/>
    <n v="0.26"/>
    <x v="34"/>
    <x v="0"/>
    <x v="4"/>
    <x v="35"/>
    <x v="36"/>
  </r>
  <r>
    <n v="2"/>
    <s v="Night"/>
    <b v="0"/>
    <s v="Thursday"/>
    <s v="Clear Weather"/>
    <n v="0.27"/>
    <n v="0.26"/>
    <x v="34"/>
    <x v="0"/>
    <x v="3"/>
    <x v="6"/>
    <x v="5"/>
  </r>
  <r>
    <n v="3"/>
    <s v="Night"/>
    <b v="0"/>
    <s v="Thursday"/>
    <s v="Clear Weather"/>
    <n v="0.26"/>
    <n v="0.26"/>
    <x v="34"/>
    <x v="8"/>
    <x v="3"/>
    <x v="4"/>
    <x v="4"/>
  </r>
  <r>
    <n v="4"/>
    <s v="Night"/>
    <b v="0"/>
    <s v="Thursday"/>
    <s v="Clear Weather"/>
    <n v="0.26"/>
    <n v="0.26"/>
    <x v="34"/>
    <x v="8"/>
    <x v="3"/>
    <x v="4"/>
    <x v="4"/>
  </r>
  <r>
    <n v="5"/>
    <s v="Night"/>
    <b v="0"/>
    <s v="Thursday"/>
    <s v="Clear Weather"/>
    <n v="0.23"/>
    <n v="0.24"/>
    <x v="54"/>
    <x v="6"/>
    <x v="3"/>
    <x v="8"/>
    <x v="24"/>
  </r>
  <r>
    <n v="6"/>
    <s v="Morning"/>
    <b v="0"/>
    <s v="Thursday"/>
    <s v="Clear Weather"/>
    <n v="0.21"/>
    <n v="0.22"/>
    <x v="54"/>
    <x v="6"/>
    <x v="3"/>
    <x v="96"/>
    <x v="17"/>
  </r>
  <r>
    <n v="7"/>
    <s v="Morning"/>
    <b v="0"/>
    <s v="Thursday"/>
    <s v="Clear Weather"/>
    <n v="0.21"/>
    <n v="0.22"/>
    <x v="28"/>
    <x v="6"/>
    <x v="5"/>
    <x v="129"/>
    <x v="129"/>
  </r>
  <r>
    <n v="8"/>
    <s v="Morning"/>
    <b v="0"/>
    <s v="Thursday"/>
    <s v="Clear Weather"/>
    <n v="0.21"/>
    <n v="0.22"/>
    <x v="28"/>
    <x v="3"/>
    <x v="4"/>
    <x v="130"/>
    <x v="144"/>
  </r>
  <r>
    <n v="9"/>
    <s v="Morning"/>
    <b v="0"/>
    <s v="Thursday"/>
    <s v="Light Rain"/>
    <n v="0.23"/>
    <n v="0.24"/>
    <x v="35"/>
    <x v="6"/>
    <x v="0"/>
    <x v="131"/>
    <x v="145"/>
  </r>
  <r>
    <n v="10"/>
    <s v="Morning"/>
    <b v="0"/>
    <s v="Thursday"/>
    <s v="Clear Weather"/>
    <n v="0.23"/>
    <n v="0.26"/>
    <x v="37"/>
    <x v="4"/>
    <x v="5"/>
    <x v="90"/>
    <x v="52"/>
  </r>
  <r>
    <n v="11"/>
    <s v="Morning"/>
    <b v="0"/>
    <s v="Thursday"/>
    <s v="Light Rain"/>
    <n v="0.27"/>
    <n v="0.28000000000000003"/>
    <x v="49"/>
    <x v="8"/>
    <x v="2"/>
    <x v="36"/>
    <x v="118"/>
  </r>
  <r>
    <n v="12"/>
    <s v="Afternoon"/>
    <b v="0"/>
    <s v="Thursday"/>
    <s v="Light Rain"/>
    <n v="0.33"/>
    <n v="0.3"/>
    <x v="16"/>
    <x v="0"/>
    <x v="18"/>
    <x v="99"/>
    <x v="11"/>
  </r>
  <r>
    <n v="13"/>
    <s v="Afternoon"/>
    <b v="0"/>
    <s v="Thursday"/>
    <s v="Light Rain"/>
    <n v="0.28999999999999998"/>
    <n v="0.28000000000000003"/>
    <x v="49"/>
    <x v="14"/>
    <x v="6"/>
    <x v="132"/>
    <x v="95"/>
  </r>
  <r>
    <n v="14"/>
    <s v="Afternoon"/>
    <b v="0"/>
    <s v="Thursday"/>
    <s v="Light Rain"/>
    <n v="0.3"/>
    <n v="0.3"/>
    <x v="49"/>
    <x v="7"/>
    <x v="15"/>
    <x v="102"/>
    <x v="117"/>
  </r>
  <r>
    <n v="15"/>
    <s v="Afternoon"/>
    <b v="0"/>
    <s v="Thursday"/>
    <s v="Light Rain"/>
    <n v="0.32"/>
    <n v="0.32"/>
    <x v="49"/>
    <x v="5"/>
    <x v="1"/>
    <x v="133"/>
    <x v="27"/>
  </r>
  <r>
    <n v="16"/>
    <s v="Afternoon"/>
    <b v="0"/>
    <s v="Thursday"/>
    <s v="Light Rain"/>
    <n v="0.3"/>
    <n v="0.3"/>
    <x v="36"/>
    <x v="7"/>
    <x v="1"/>
    <x v="93"/>
    <x v="134"/>
  </r>
  <r>
    <n v="17"/>
    <s v="Afternoon"/>
    <b v="0"/>
    <s v="Thursday"/>
    <s v="Light Rain"/>
    <n v="0.32"/>
    <n v="0.3"/>
    <x v="36"/>
    <x v="14"/>
    <x v="1"/>
    <x v="134"/>
    <x v="146"/>
  </r>
  <r>
    <n v="18"/>
    <s v="Evening"/>
    <b v="0"/>
    <s v="Thursday"/>
    <s v="Light Rain"/>
    <n v="0.26"/>
    <n v="0.26"/>
    <x v="34"/>
    <x v="5"/>
    <x v="5"/>
    <x v="103"/>
    <x v="147"/>
  </r>
  <r>
    <n v="19"/>
    <s v="Evening"/>
    <b v="0"/>
    <s v="Thursday"/>
    <s v="Clear Weather"/>
    <n v="0.23"/>
    <n v="0.26"/>
    <x v="34"/>
    <x v="9"/>
    <x v="15"/>
    <x v="44"/>
    <x v="148"/>
  </r>
  <r>
    <n v="20"/>
    <s v="Evening"/>
    <b v="0"/>
    <s v="Thursday"/>
    <s v="Light Rain"/>
    <n v="0.24"/>
    <n v="0.26"/>
    <x v="54"/>
    <x v="3"/>
    <x v="4"/>
    <x v="125"/>
    <x v="149"/>
  </r>
  <r>
    <n v="21"/>
    <s v="Evening"/>
    <b v="0"/>
    <s v="Thursday"/>
    <s v="Light Rain"/>
    <n v="0.23"/>
    <n v="0.24"/>
    <x v="54"/>
    <x v="2"/>
    <x v="0"/>
    <x v="25"/>
    <x v="52"/>
  </r>
  <r>
    <n v="22"/>
    <s v="Evening"/>
    <b v="0"/>
    <s v="Thursday"/>
    <s v="Light Rain"/>
    <n v="0.21"/>
    <n v="0.24"/>
    <x v="55"/>
    <x v="3"/>
    <x v="3"/>
    <x v="90"/>
    <x v="10"/>
  </r>
  <r>
    <n v="23"/>
    <s v="Evening"/>
    <b v="0"/>
    <s v="Thursday"/>
    <s v="Light Rain"/>
    <n v="0.21"/>
    <n v="0.24"/>
    <x v="55"/>
    <x v="9"/>
    <x v="0"/>
    <x v="95"/>
    <x v="35"/>
  </r>
  <r>
    <n v="0"/>
    <s v="Night"/>
    <b v="0"/>
    <s v="Friday"/>
    <s v="Light Rain"/>
    <n v="0.23"/>
    <n v="0.24"/>
    <x v="56"/>
    <x v="2"/>
    <x v="5"/>
    <x v="32"/>
    <x v="137"/>
  </r>
  <r>
    <n v="1"/>
    <s v="Night"/>
    <b v="0"/>
    <s v="Friday"/>
    <s v="Light Rain"/>
    <n v="0.23"/>
    <n v="0.24"/>
    <x v="56"/>
    <x v="2"/>
    <x v="3"/>
    <x v="8"/>
    <x v="24"/>
  </r>
  <r>
    <n v="2"/>
    <s v="Night"/>
    <b v="0"/>
    <s v="Friday"/>
    <s v="Heavy Rain"/>
    <n v="0.24"/>
    <n v="0.24"/>
    <x v="2"/>
    <x v="8"/>
    <x v="3"/>
    <x v="6"/>
    <x v="5"/>
  </r>
  <r>
    <n v="3"/>
    <s v="Night"/>
    <b v="0"/>
    <s v="Friday"/>
    <s v="Heavy Rain"/>
    <n v="0.21"/>
    <n v="0.22"/>
    <x v="1"/>
    <x v="4"/>
    <x v="3"/>
    <x v="4"/>
    <x v="4"/>
  </r>
  <r>
    <n v="4"/>
    <s v="Night"/>
    <b v="0"/>
    <s v="Friday"/>
    <s v="Light Rain"/>
    <n v="0.26"/>
    <n v="0.22"/>
    <x v="9"/>
    <x v="1"/>
    <x v="3"/>
    <x v="4"/>
    <x v="4"/>
  </r>
  <r>
    <n v="5"/>
    <s v="Night"/>
    <b v="0"/>
    <s v="Friday"/>
    <s v="Clear Weather"/>
    <n v="0.2"/>
    <n v="0.24"/>
    <x v="54"/>
    <x v="12"/>
    <x v="5"/>
    <x v="22"/>
    <x v="36"/>
  </r>
  <r>
    <n v="6"/>
    <s v="Morning"/>
    <b v="0"/>
    <s v="Friday"/>
    <s v="Clear Weather"/>
    <n v="0.21"/>
    <n v="0.22"/>
    <x v="28"/>
    <x v="2"/>
    <x v="3"/>
    <x v="2"/>
    <x v="110"/>
  </r>
  <r>
    <n v="7"/>
    <s v="Morning"/>
    <b v="0"/>
    <s v="Friday"/>
    <s v="Clear Weather"/>
    <n v="0.18"/>
    <n v="0.2"/>
    <x v="33"/>
    <x v="3"/>
    <x v="4"/>
    <x v="43"/>
    <x v="118"/>
  </r>
  <r>
    <n v="8"/>
    <s v="Morning"/>
    <b v="0"/>
    <s v="Friday"/>
    <s v="Clear Weather"/>
    <n v="0.18"/>
    <n v="0.2"/>
    <x v="19"/>
    <x v="9"/>
    <x v="18"/>
    <x v="135"/>
    <x v="112"/>
  </r>
  <r>
    <n v="9"/>
    <s v="Morning"/>
    <b v="0"/>
    <s v="Friday"/>
    <s v="Clear Weather"/>
    <n v="0.18"/>
    <n v="0.2"/>
    <x v="33"/>
    <x v="11"/>
    <x v="18"/>
    <x v="136"/>
    <x v="150"/>
  </r>
  <r>
    <n v="10"/>
    <s v="Morning"/>
    <b v="0"/>
    <s v="Friday"/>
    <s v="Clear Weather"/>
    <n v="0.17"/>
    <n v="0.2"/>
    <x v="19"/>
    <x v="17"/>
    <x v="15"/>
    <x v="77"/>
    <x v="55"/>
  </r>
  <r>
    <n v="11"/>
    <s v="Morning"/>
    <b v="0"/>
    <s v="Friday"/>
    <s v="Clear Weather"/>
    <n v="0.18"/>
    <n v="0.22"/>
    <x v="48"/>
    <x v="17"/>
    <x v="15"/>
    <x v="42"/>
    <x v="29"/>
  </r>
  <r>
    <n v="12"/>
    <s v="Afternoon"/>
    <b v="0"/>
    <s v="Friday"/>
    <s v="Clear Weather"/>
    <n v="0.18"/>
    <n v="0.22"/>
    <x v="57"/>
    <x v="19"/>
    <x v="16"/>
    <x v="28"/>
    <x v="53"/>
  </r>
  <r>
    <n v="13"/>
    <s v="Afternoon"/>
    <b v="0"/>
    <s v="Friday"/>
    <s v="Clear Weather"/>
    <n v="0.15"/>
    <n v="0.2"/>
    <x v="58"/>
    <x v="19"/>
    <x v="1"/>
    <x v="65"/>
    <x v="88"/>
  </r>
  <r>
    <n v="14"/>
    <s v="Afternoon"/>
    <b v="0"/>
    <s v="Friday"/>
    <s v="Clear Weather"/>
    <n v="0.15"/>
    <n v="0.2"/>
    <x v="59"/>
    <x v="18"/>
    <x v="15"/>
    <x v="90"/>
    <x v="69"/>
  </r>
  <r>
    <n v="15"/>
    <s v="Afternoon"/>
    <b v="0"/>
    <s v="Friday"/>
    <s v="Clear Weather"/>
    <n v="0.12"/>
    <n v="0.16"/>
    <x v="60"/>
    <x v="10"/>
    <x v="17"/>
    <x v="124"/>
    <x v="32"/>
  </r>
  <r>
    <n v="16"/>
    <s v="Afternoon"/>
    <b v="0"/>
    <s v="Friday"/>
    <s v="Clear Weather"/>
    <n v="0.14000000000000001"/>
    <n v="0.16"/>
    <x v="60"/>
    <x v="11"/>
    <x v="3"/>
    <x v="106"/>
    <x v="54"/>
  </r>
  <r>
    <n v="17"/>
    <s v="Afternoon"/>
    <b v="0"/>
    <s v="Friday"/>
    <s v="Clear Weather"/>
    <n v="0.12"/>
    <n v="0.14000000000000001"/>
    <x v="40"/>
    <x v="11"/>
    <x v="22"/>
    <x v="137"/>
    <x v="143"/>
  </r>
  <r>
    <n v="18"/>
    <s v="Evening"/>
    <b v="0"/>
    <s v="Friday"/>
    <s v="Clear Weather"/>
    <n v="0.12"/>
    <n v="0.12"/>
    <x v="24"/>
    <x v="2"/>
    <x v="5"/>
    <x v="138"/>
    <x v="151"/>
  </r>
  <r>
    <n v="19"/>
    <s v="Evening"/>
    <b v="0"/>
    <s v="Friday"/>
    <s v="Clear Weather"/>
    <n v="0.11"/>
    <n v="0.12"/>
    <x v="24"/>
    <x v="9"/>
    <x v="0"/>
    <x v="139"/>
    <x v="152"/>
  </r>
  <r>
    <n v="20"/>
    <s v="Evening"/>
    <b v="0"/>
    <s v="Friday"/>
    <s v="Clear Weather"/>
    <n v="0.08"/>
    <n v="0.1"/>
    <x v="39"/>
    <x v="12"/>
    <x v="5"/>
    <x v="15"/>
    <x v="26"/>
  </r>
  <r>
    <n v="21"/>
    <s v="Evening"/>
    <b v="0"/>
    <s v="Friday"/>
    <s v="Clear Weather"/>
    <n v="0.08"/>
    <n v="0.08"/>
    <x v="41"/>
    <x v="3"/>
    <x v="3"/>
    <x v="40"/>
    <x v="102"/>
  </r>
  <r>
    <n v="22"/>
    <s v="Evening"/>
    <b v="0"/>
    <s v="Friday"/>
    <s v="Clear Weather"/>
    <n v="0.03"/>
    <n v="0.06"/>
    <x v="48"/>
    <x v="13"/>
    <x v="5"/>
    <x v="39"/>
    <x v="19"/>
  </r>
  <r>
    <n v="23"/>
    <s v="Evening"/>
    <b v="0"/>
    <s v="Friday"/>
    <s v="Clear Weather"/>
    <n v="0.05"/>
    <n v="0.06"/>
    <x v="41"/>
    <x v="9"/>
    <x v="3"/>
    <x v="2"/>
    <x v="110"/>
  </r>
  <r>
    <n v="0"/>
    <s v="Night"/>
    <b v="0"/>
    <s v="Saturday"/>
    <s v="Clear Weather"/>
    <n v="0.03"/>
    <n v="0.04"/>
    <x v="49"/>
    <x v="2"/>
    <x v="3"/>
    <x v="0"/>
    <x v="3"/>
  </r>
  <r>
    <n v="1"/>
    <s v="Night"/>
    <b v="0"/>
    <s v="Saturday"/>
    <s v="Light Rain"/>
    <n v="0"/>
    <n v="0.04"/>
    <x v="48"/>
    <x v="13"/>
    <x v="0"/>
    <x v="33"/>
    <x v="47"/>
  </r>
  <r>
    <n v="2"/>
    <s v="Night"/>
    <b v="0"/>
    <s v="Saturday"/>
    <s v="Light Rain"/>
    <n v="0.03"/>
    <n v="0.04"/>
    <x v="48"/>
    <x v="2"/>
    <x v="3"/>
    <x v="48"/>
    <x v="62"/>
  </r>
  <r>
    <n v="3"/>
    <s v="Night"/>
    <b v="0"/>
    <s v="Saturday"/>
    <s v="Light Rain"/>
    <n v="0.03"/>
    <n v="0.04"/>
    <x v="48"/>
    <x v="3"/>
    <x v="5"/>
    <x v="8"/>
    <x v="85"/>
  </r>
  <r>
    <n v="4"/>
    <s v="Night"/>
    <b v="0"/>
    <s v="Saturday"/>
    <s v="Light Rain"/>
    <n v="0.02"/>
    <n v="0.02"/>
    <x v="37"/>
    <x v="4"/>
    <x v="3"/>
    <x v="35"/>
    <x v="6"/>
  </r>
  <r>
    <n v="6"/>
    <s v="Morning"/>
    <b v="0"/>
    <s v="Saturday"/>
    <s v="Light Rain"/>
    <n v="0.03"/>
    <n v="0.02"/>
    <x v="18"/>
    <x v="6"/>
    <x v="3"/>
    <x v="6"/>
    <x v="5"/>
  </r>
  <r>
    <n v="7"/>
    <s v="Morning"/>
    <b v="0"/>
    <s v="Saturday"/>
    <s v="Clear Weather"/>
    <n v="0.02"/>
    <n v="0.02"/>
    <x v="18"/>
    <x v="3"/>
    <x v="3"/>
    <x v="21"/>
    <x v="7"/>
  </r>
  <r>
    <n v="8"/>
    <s v="Morning"/>
    <b v="0"/>
    <s v="Saturday"/>
    <s v="Clear Weather"/>
    <n v="0"/>
    <n v="0.02"/>
    <x v="18"/>
    <x v="9"/>
    <x v="5"/>
    <x v="16"/>
    <x v="110"/>
  </r>
  <r>
    <n v="9"/>
    <s v="Morning"/>
    <b v="0"/>
    <s v="Saturday"/>
    <s v="Clear Weather"/>
    <n v="0.03"/>
    <n v="0.04"/>
    <x v="48"/>
    <x v="2"/>
    <x v="0"/>
    <x v="53"/>
    <x v="1"/>
  </r>
  <r>
    <n v="10"/>
    <s v="Morning"/>
    <b v="0"/>
    <s v="Saturday"/>
    <s v="Light Rain"/>
    <n v="0.06"/>
    <n v="0.04"/>
    <x v="48"/>
    <x v="8"/>
    <x v="0"/>
    <x v="54"/>
    <x v="26"/>
  </r>
  <r>
    <n v="11"/>
    <s v="Morning"/>
    <b v="0"/>
    <s v="Saturday"/>
    <s v="Light Rain"/>
    <n v="0.08"/>
    <n v="0.06"/>
    <x v="41"/>
    <x v="7"/>
    <x v="17"/>
    <x v="79"/>
    <x v="55"/>
  </r>
  <r>
    <n v="12"/>
    <s v="Afternoon"/>
    <b v="0"/>
    <s v="Saturday"/>
    <s v="Light Rain"/>
    <n v="0.11"/>
    <n v="0.06"/>
    <x v="41"/>
    <x v="14"/>
    <x v="22"/>
    <x v="91"/>
    <x v="27"/>
  </r>
  <r>
    <n v="13"/>
    <s v="Afternoon"/>
    <b v="0"/>
    <s v="Saturday"/>
    <s v="Clear Weather"/>
    <n v="0.17"/>
    <n v="0.08"/>
    <x v="23"/>
    <x v="0"/>
    <x v="6"/>
    <x v="109"/>
    <x v="11"/>
  </r>
  <r>
    <n v="14"/>
    <s v="Afternoon"/>
    <b v="0"/>
    <s v="Saturday"/>
    <s v="Clear Weather"/>
    <n v="0.14000000000000001"/>
    <n v="0.1"/>
    <x v="39"/>
    <x v="14"/>
    <x v="16"/>
    <x v="27"/>
    <x v="28"/>
  </r>
  <r>
    <n v="15"/>
    <s v="Afternoon"/>
    <b v="0"/>
    <s v="Saturday"/>
    <s v="Clear Weather"/>
    <n v="0.15"/>
    <n v="0.12"/>
    <x v="40"/>
    <x v="0"/>
    <x v="22"/>
    <x v="139"/>
    <x v="153"/>
  </r>
  <r>
    <n v="16"/>
    <s v="Afternoon"/>
    <b v="0"/>
    <s v="Saturday"/>
    <s v="Clear Weather"/>
    <n v="0.14000000000000001"/>
    <n v="0.12"/>
    <x v="40"/>
    <x v="5"/>
    <x v="16"/>
    <x v="109"/>
    <x v="56"/>
  </r>
  <r>
    <n v="17"/>
    <s v="Afternoon"/>
    <b v="0"/>
    <s v="Saturday"/>
    <s v="Clear Weather"/>
    <n v="0.2"/>
    <n v="0.12"/>
    <x v="40"/>
    <x v="0"/>
    <x v="1"/>
    <x v="79"/>
    <x v="16"/>
  </r>
  <r>
    <n v="18"/>
    <s v="Evening"/>
    <b v="0"/>
    <s v="Saturday"/>
    <s v="Clear Weather"/>
    <n v="0.09"/>
    <n v="0.08"/>
    <x v="23"/>
    <x v="5"/>
    <x v="3"/>
    <x v="25"/>
    <x v="60"/>
  </r>
  <r>
    <n v="19"/>
    <s v="Evening"/>
    <b v="0"/>
    <s v="Saturday"/>
    <s v="Clear Weather"/>
    <n v="0.11"/>
    <n v="0.08"/>
    <x v="23"/>
    <x v="7"/>
    <x v="15"/>
    <x v="42"/>
    <x v="29"/>
  </r>
  <r>
    <n v="20"/>
    <s v="Evening"/>
    <b v="0"/>
    <s v="Saturday"/>
    <s v="Clear Weather"/>
    <n v="0.08"/>
    <n v="0.06"/>
    <x v="49"/>
    <x v="8"/>
    <x v="5"/>
    <x v="100"/>
    <x v="79"/>
  </r>
  <r>
    <n v="21"/>
    <s v="Evening"/>
    <b v="0"/>
    <s v="Saturday"/>
    <s v="Clear Weather"/>
    <n v="0.11"/>
    <n v="0.06"/>
    <x v="48"/>
    <x v="1"/>
    <x v="3"/>
    <x v="87"/>
    <x v="21"/>
  </r>
  <r>
    <n v="22"/>
    <s v="Evening"/>
    <b v="0"/>
    <s v="Saturday"/>
    <s v="Clear Weather"/>
    <n v="0.15"/>
    <n v="0.06"/>
    <x v="36"/>
    <x v="0"/>
    <x v="18"/>
    <x v="140"/>
    <x v="33"/>
  </r>
  <r>
    <n v="23"/>
    <s v="Evening"/>
    <b v="0"/>
    <s v="Saturday"/>
    <s v="Clear Weather"/>
    <n v="0.08"/>
    <n v="0.04"/>
    <x v="14"/>
    <x v="14"/>
    <x v="4"/>
    <x v="17"/>
    <x v="63"/>
  </r>
  <r>
    <n v="0"/>
    <s v="Night"/>
    <b v="0"/>
    <s v="Sunday"/>
    <s v="Clear Weather"/>
    <n v="0.08"/>
    <n v="0.04"/>
    <x v="14"/>
    <x v="14"/>
    <x v="4"/>
    <x v="32"/>
    <x v="34"/>
  </r>
  <r>
    <n v="1"/>
    <s v="Night"/>
    <b v="0"/>
    <s v="Sunday"/>
    <s v="Clear Weather"/>
    <n v="0.08"/>
    <n v="0.04"/>
    <x v="14"/>
    <x v="14"/>
    <x v="5"/>
    <x v="98"/>
    <x v="3"/>
  </r>
  <r>
    <n v="2"/>
    <s v="Night"/>
    <b v="0"/>
    <s v="Sunday"/>
    <s v="Clear Weather"/>
    <n v="0.06"/>
    <n v="0.02"/>
    <x v="51"/>
    <x v="7"/>
    <x v="0"/>
    <x v="89"/>
    <x v="109"/>
  </r>
  <r>
    <n v="3"/>
    <s v="Night"/>
    <b v="0"/>
    <s v="Sunday"/>
    <s v="Clear Weather"/>
    <n v="0.06"/>
    <n v="0.02"/>
    <x v="51"/>
    <x v="7"/>
    <x v="5"/>
    <x v="22"/>
    <x v="36"/>
  </r>
  <r>
    <n v="5"/>
    <s v="Night"/>
    <b v="0"/>
    <s v="Sunday"/>
    <s v="Light Rain"/>
    <n v="0.08"/>
    <n v="0.04"/>
    <x v="14"/>
    <x v="14"/>
    <x v="3"/>
    <x v="35"/>
    <x v="6"/>
  </r>
  <r>
    <n v="6"/>
    <s v="Morning"/>
    <b v="0"/>
    <s v="Sunday"/>
    <s v="Light Rain"/>
    <n v="0.08"/>
    <n v="0.04"/>
    <x v="14"/>
    <x v="14"/>
    <x v="3"/>
    <x v="4"/>
    <x v="4"/>
  </r>
  <r>
    <n v="7"/>
    <s v="Morning"/>
    <b v="0"/>
    <s v="Sunday"/>
    <s v="Clear Weather"/>
    <n v="0.11"/>
    <n v="0.08"/>
    <x v="52"/>
    <x v="8"/>
    <x v="5"/>
    <x v="4"/>
    <x v="5"/>
  </r>
  <r>
    <n v="8"/>
    <s v="Morning"/>
    <b v="0"/>
    <s v="Sunday"/>
    <s v="Clear Weather"/>
    <n v="0.08"/>
    <n v="0.06"/>
    <x v="51"/>
    <x v="8"/>
    <x v="4"/>
    <x v="19"/>
    <x v="75"/>
  </r>
  <r>
    <n v="9"/>
    <s v="Morning"/>
    <b v="0"/>
    <s v="Sunday"/>
    <s v="Clear Weather"/>
    <n v="0.08"/>
    <n v="0.1"/>
    <x v="47"/>
    <x v="11"/>
    <x v="0"/>
    <x v="18"/>
    <x v="20"/>
  </r>
  <r>
    <n v="10"/>
    <s v="Morning"/>
    <b v="0"/>
    <s v="Sunday"/>
    <s v="Clear Weather"/>
    <n v="0.11"/>
    <n v="0.14000000000000001"/>
    <x v="15"/>
    <x v="13"/>
    <x v="18"/>
    <x v="82"/>
    <x v="154"/>
  </r>
  <r>
    <n v="11"/>
    <s v="Morning"/>
    <b v="0"/>
    <s v="Sunday"/>
    <s v="Clear Weather"/>
    <n v="0.14000000000000001"/>
    <n v="0.14000000000000001"/>
    <x v="21"/>
    <x v="6"/>
    <x v="30"/>
    <x v="99"/>
    <x v="111"/>
  </r>
  <r>
    <n v="12"/>
    <s v="Afternoon"/>
    <b v="0"/>
    <s v="Sunday"/>
    <s v="Clear Weather"/>
    <n v="0.12"/>
    <n v="0.16"/>
    <x v="38"/>
    <x v="17"/>
    <x v="31"/>
    <x v="50"/>
    <x v="155"/>
  </r>
  <r>
    <n v="13"/>
    <s v="Afternoon"/>
    <b v="0"/>
    <s v="Sunday"/>
    <s v="Clear Weather"/>
    <n v="0.11"/>
    <n v="0.14000000000000001"/>
    <x v="39"/>
    <x v="13"/>
    <x v="6"/>
    <x v="102"/>
    <x v="90"/>
  </r>
  <r>
    <n v="14"/>
    <s v="Afternoon"/>
    <b v="0"/>
    <s v="Sunday"/>
    <s v="Clear Weather"/>
    <n v="0.14000000000000001"/>
    <n v="0.16"/>
    <x v="40"/>
    <x v="11"/>
    <x v="26"/>
    <x v="139"/>
    <x v="14"/>
  </r>
  <r>
    <n v="15"/>
    <s v="Afternoon"/>
    <b v="0"/>
    <s v="Sunday"/>
    <s v="Clear Weather"/>
    <n v="0.14000000000000001"/>
    <n v="0.16"/>
    <x v="40"/>
    <x v="11"/>
    <x v="23"/>
    <x v="27"/>
    <x v="43"/>
  </r>
  <r>
    <n v="16"/>
    <s v="Afternoon"/>
    <b v="0"/>
    <s v="Sunday"/>
    <s v="Clear Weather"/>
    <n v="0.14000000000000001"/>
    <n v="0.16"/>
    <x v="60"/>
    <x v="9"/>
    <x v="14"/>
    <x v="90"/>
    <x v="32"/>
  </r>
  <r>
    <n v="17"/>
    <s v="Afternoon"/>
    <b v="0"/>
    <s v="Sunday"/>
    <s v="Clear Weather"/>
    <n v="0.11"/>
    <n v="0.14000000000000001"/>
    <x v="60"/>
    <x v="13"/>
    <x v="2"/>
    <x v="54"/>
    <x v="97"/>
  </r>
  <r>
    <n v="18"/>
    <s v="Evening"/>
    <b v="0"/>
    <s v="Sunday"/>
    <s v="Clear Weather"/>
    <n v="0.12"/>
    <n v="0.12"/>
    <x v="24"/>
    <x v="2"/>
    <x v="2"/>
    <x v="100"/>
    <x v="99"/>
  </r>
  <r>
    <n v="19"/>
    <s v="Evening"/>
    <b v="0"/>
    <s v="Sunday"/>
    <s v="Clear Weather"/>
    <n v="0.12"/>
    <n v="0.12"/>
    <x v="24"/>
    <x v="3"/>
    <x v="2"/>
    <x v="108"/>
    <x v="89"/>
  </r>
  <r>
    <n v="20"/>
    <s v="Evening"/>
    <b v="0"/>
    <s v="Sunday"/>
    <s v="Clear Weather"/>
    <n v="0.11"/>
    <n v="0.1"/>
    <x v="42"/>
    <x v="2"/>
    <x v="17"/>
    <x v="17"/>
    <x v="17"/>
  </r>
  <r>
    <n v="21"/>
    <s v="Evening"/>
    <b v="0"/>
    <s v="Sunday"/>
    <s v="Clear Weather"/>
    <n v="0.11"/>
    <n v="0.1"/>
    <x v="42"/>
    <x v="5"/>
    <x v="2"/>
    <x v="32"/>
    <x v="94"/>
  </r>
  <r>
    <n v="22"/>
    <s v="Evening"/>
    <b v="0"/>
    <s v="Sunday"/>
    <s v="Clear Weather"/>
    <n v="0.09"/>
    <n v="0.08"/>
    <x v="41"/>
    <x v="5"/>
    <x v="2"/>
    <x v="140"/>
    <x v="20"/>
  </r>
  <r>
    <n v="23"/>
    <s v="Evening"/>
    <b v="0"/>
    <s v="Sunday"/>
    <s v="Clear Weather"/>
    <n v="0.06"/>
    <n v="0.06"/>
    <x v="48"/>
    <x v="6"/>
    <x v="17"/>
    <x v="19"/>
    <x v="137"/>
  </r>
  <r>
    <n v="0"/>
    <s v="Night"/>
    <b v="0"/>
    <s v="Monday"/>
    <s v="Clear Weather"/>
    <n v="0.06"/>
    <n v="0.06"/>
    <x v="48"/>
    <x v="5"/>
    <x v="3"/>
    <x v="7"/>
    <x v="85"/>
  </r>
  <r>
    <n v="1"/>
    <s v="Night"/>
    <b v="0"/>
    <s v="Monday"/>
    <s v="Clear Weather"/>
    <n v="0.05"/>
    <n v="0.04"/>
    <x v="49"/>
    <x v="5"/>
    <x v="3"/>
    <x v="4"/>
    <x v="4"/>
  </r>
  <r>
    <n v="3"/>
    <s v="Night"/>
    <b v="0"/>
    <s v="Monday"/>
    <s v="Clear Weather"/>
    <n v="0.03"/>
    <n v="0.04"/>
    <x v="49"/>
    <x v="2"/>
    <x v="3"/>
    <x v="4"/>
    <x v="4"/>
  </r>
  <r>
    <n v="4"/>
    <s v="Night"/>
    <b v="0"/>
    <s v="Monday"/>
    <s v="Clear Weather"/>
    <n v="0.06"/>
    <n v="0.02"/>
    <x v="37"/>
    <x v="7"/>
    <x v="3"/>
    <x v="4"/>
    <x v="4"/>
  </r>
  <r>
    <n v="5"/>
    <s v="Night"/>
    <b v="0"/>
    <s v="Monday"/>
    <s v="Clear Weather"/>
    <n v="0.06"/>
    <n v="0.02"/>
    <x v="37"/>
    <x v="7"/>
    <x v="3"/>
    <x v="34"/>
    <x v="36"/>
  </r>
  <r>
    <n v="6"/>
    <s v="Morning"/>
    <b v="0"/>
    <s v="Monday"/>
    <s v="Clear Weather"/>
    <n v="0.08"/>
    <n v="0.02"/>
    <x v="37"/>
    <x v="1"/>
    <x v="3"/>
    <x v="89"/>
    <x v="93"/>
  </r>
  <r>
    <n v="7"/>
    <s v="Morning"/>
    <b v="0"/>
    <s v="Monday"/>
    <s v="Clear Weather"/>
    <n v="0.12"/>
    <n v="0.02"/>
    <x v="37"/>
    <x v="0"/>
    <x v="2"/>
    <x v="55"/>
    <x v="11"/>
  </r>
  <r>
    <n v="8"/>
    <s v="Morning"/>
    <b v="0"/>
    <s v="Monday"/>
    <s v="Clear Weather"/>
    <n v="0.14000000000000001"/>
    <n v="0.04"/>
    <x v="36"/>
    <x v="0"/>
    <x v="15"/>
    <x v="141"/>
    <x v="156"/>
  </r>
  <r>
    <n v="9"/>
    <s v="Morning"/>
    <b v="0"/>
    <s v="Monday"/>
    <s v="Clear Weather"/>
    <n v="0.15"/>
    <n v="0.06"/>
    <x v="48"/>
    <x v="0"/>
    <x v="17"/>
    <x v="52"/>
    <x v="96"/>
  </r>
  <r>
    <n v="10"/>
    <s v="Morning"/>
    <b v="0"/>
    <s v="Monday"/>
    <s v="Clear Weather"/>
    <n v="0.14000000000000001"/>
    <n v="0.1"/>
    <x v="16"/>
    <x v="0"/>
    <x v="15"/>
    <x v="60"/>
    <x v="1"/>
  </r>
  <r>
    <n v="11"/>
    <s v="Morning"/>
    <b v="0"/>
    <s v="Monday"/>
    <s v="Clear Weather"/>
    <n v="0.12"/>
    <n v="0.1"/>
    <x v="15"/>
    <x v="7"/>
    <x v="0"/>
    <x v="30"/>
    <x v="66"/>
  </r>
  <r>
    <n v="12"/>
    <s v="Afternoon"/>
    <b v="0"/>
    <s v="Monday"/>
    <s v="Light Rain"/>
    <n v="0.14000000000000001"/>
    <n v="0.12"/>
    <x v="16"/>
    <x v="5"/>
    <x v="16"/>
    <x v="15"/>
    <x v="55"/>
  </r>
  <r>
    <n v="13"/>
    <s v="Afternoon"/>
    <b v="0"/>
    <s v="Monday"/>
    <s v="Light Rain"/>
    <n v="0.14000000000000001"/>
    <n v="0.14000000000000001"/>
    <x v="21"/>
    <x v="6"/>
    <x v="15"/>
    <x v="25"/>
    <x v="122"/>
  </r>
  <r>
    <n v="14"/>
    <s v="Afternoon"/>
    <b v="0"/>
    <s v="Monday"/>
    <s v="Light Rain"/>
    <n v="0.14000000000000001"/>
    <n v="0.14000000000000001"/>
    <x v="15"/>
    <x v="6"/>
    <x v="4"/>
    <x v="30"/>
    <x v="79"/>
  </r>
  <r>
    <n v="15"/>
    <s v="Afternoon"/>
    <b v="0"/>
    <s v="Monday"/>
    <s v="Clear Weather"/>
    <n v="0.17"/>
    <n v="0.16"/>
    <x v="22"/>
    <x v="8"/>
    <x v="18"/>
    <x v="54"/>
    <x v="52"/>
  </r>
  <r>
    <n v="16"/>
    <s v="Afternoon"/>
    <b v="0"/>
    <s v="Monday"/>
    <s v="Clear Weather"/>
    <n v="0.15"/>
    <n v="0.16"/>
    <x v="19"/>
    <x v="2"/>
    <x v="17"/>
    <x v="43"/>
    <x v="27"/>
  </r>
  <r>
    <n v="17"/>
    <s v="Afternoon"/>
    <b v="0"/>
    <s v="Monday"/>
    <s v="Clear Weather"/>
    <n v="0.12"/>
    <n v="0.14000000000000001"/>
    <x v="20"/>
    <x v="2"/>
    <x v="15"/>
    <x v="86"/>
    <x v="157"/>
  </r>
  <r>
    <n v="18"/>
    <s v="Evening"/>
    <b v="0"/>
    <s v="Monday"/>
    <s v="Clear Weather"/>
    <n v="0.14000000000000001"/>
    <n v="0.14000000000000001"/>
    <x v="29"/>
    <x v="5"/>
    <x v="1"/>
    <x v="142"/>
    <x v="158"/>
  </r>
  <r>
    <n v="19"/>
    <s v="Evening"/>
    <b v="0"/>
    <s v="Monday"/>
    <s v="Clear Weather"/>
    <n v="0.15"/>
    <n v="0.14000000000000001"/>
    <x v="47"/>
    <x v="8"/>
    <x v="2"/>
    <x v="143"/>
    <x v="13"/>
  </r>
  <r>
    <n v="20"/>
    <s v="Evening"/>
    <b v="0"/>
    <s v="Monday"/>
    <s v="Clear Weather"/>
    <n v="0.14000000000000001"/>
    <n v="0.14000000000000001"/>
    <x v="29"/>
    <x v="5"/>
    <x v="5"/>
    <x v="122"/>
    <x v="117"/>
  </r>
  <r>
    <n v="21"/>
    <s v="Evening"/>
    <b v="0"/>
    <s v="Monday"/>
    <s v="Clear Weather"/>
    <n v="0.15"/>
    <n v="0.14000000000000001"/>
    <x v="30"/>
    <x v="8"/>
    <x v="15"/>
    <x v="42"/>
    <x v="29"/>
  </r>
  <r>
    <n v="22"/>
    <s v="Evening"/>
    <b v="0"/>
    <s v="Monday"/>
    <s v="Light Rain"/>
    <n v="0.14000000000000001"/>
    <n v="0.14000000000000001"/>
    <x v="30"/>
    <x v="6"/>
    <x v="0"/>
    <x v="1"/>
    <x v="17"/>
  </r>
  <r>
    <n v="23"/>
    <s v="Evening"/>
    <b v="0"/>
    <s v="Monday"/>
    <s v="Light Rain"/>
    <n v="0.15"/>
    <n v="0.16"/>
    <x v="26"/>
    <x v="2"/>
    <x v="0"/>
    <x v="144"/>
    <x v="108"/>
  </r>
  <r>
    <n v="0"/>
    <s v="Night"/>
    <b v="0"/>
    <s v="Tuesday"/>
    <s v="Light Rain"/>
    <n v="0.14000000000000001"/>
    <n v="0.16"/>
    <x v="27"/>
    <x v="3"/>
    <x v="0"/>
    <x v="8"/>
    <x v="23"/>
  </r>
  <r>
    <n v="1"/>
    <s v="Night"/>
    <b v="0"/>
    <s v="Tuesday"/>
    <s v="Light Rain"/>
    <n v="0.17"/>
    <n v="0.16"/>
    <x v="27"/>
    <x v="8"/>
    <x v="3"/>
    <x v="34"/>
    <x v="36"/>
  </r>
  <r>
    <n v="2"/>
    <s v="Night"/>
    <b v="0"/>
    <s v="Tuesday"/>
    <s v="Clear Weather"/>
    <n v="0.15"/>
    <n v="0.16"/>
    <x v="27"/>
    <x v="6"/>
    <x v="3"/>
    <x v="6"/>
    <x v="5"/>
  </r>
  <r>
    <n v="4"/>
    <s v="Night"/>
    <b v="0"/>
    <s v="Tuesday"/>
    <s v="Clear Weather"/>
    <n v="0.17"/>
    <n v="0.14000000000000001"/>
    <x v="32"/>
    <x v="14"/>
    <x v="3"/>
    <x v="4"/>
    <x v="4"/>
  </r>
  <r>
    <n v="5"/>
    <s v="Night"/>
    <b v="0"/>
    <s v="Tuesday"/>
    <s v="Clear Weather"/>
    <n v="0.14000000000000001"/>
    <n v="0.14000000000000001"/>
    <x v="32"/>
    <x v="6"/>
    <x v="3"/>
    <x v="33"/>
    <x v="23"/>
  </r>
  <r>
    <n v="6"/>
    <s v="Morning"/>
    <b v="0"/>
    <s v="Tuesday"/>
    <s v="Clear Weather"/>
    <n v="0.18"/>
    <n v="0.16"/>
    <x v="32"/>
    <x v="14"/>
    <x v="5"/>
    <x v="96"/>
    <x v="9"/>
  </r>
  <r>
    <n v="7"/>
    <s v="Morning"/>
    <b v="0"/>
    <s v="Tuesday"/>
    <s v="Clear Weather"/>
    <n v="0.15"/>
    <n v="0.16"/>
    <x v="32"/>
    <x v="6"/>
    <x v="2"/>
    <x v="145"/>
    <x v="159"/>
  </r>
  <r>
    <n v="8"/>
    <s v="Morning"/>
    <b v="0"/>
    <s v="Tuesday"/>
    <s v="Light Rain"/>
    <n v="0.18"/>
    <n v="0.16"/>
    <x v="32"/>
    <x v="7"/>
    <x v="2"/>
    <x v="146"/>
    <x v="160"/>
  </r>
  <r>
    <n v="9"/>
    <s v="Morning"/>
    <b v="0"/>
    <s v="Tuesday"/>
    <s v="Light Rain"/>
    <n v="0.23"/>
    <n v="0.2"/>
    <x v="26"/>
    <x v="1"/>
    <x v="22"/>
    <x v="120"/>
    <x v="124"/>
  </r>
  <r>
    <n v="10"/>
    <s v="Morning"/>
    <b v="0"/>
    <s v="Tuesday"/>
    <s v="Light Rain"/>
    <n v="0.24"/>
    <n v="0.22"/>
    <x v="54"/>
    <x v="14"/>
    <x v="15"/>
    <x v="47"/>
    <x v="97"/>
  </r>
  <r>
    <n v="11"/>
    <s v="Morning"/>
    <b v="0"/>
    <s v="Tuesday"/>
    <s v="Light Rain"/>
    <n v="0.24"/>
    <n v="0.24"/>
    <x v="54"/>
    <x v="7"/>
    <x v="15"/>
    <x v="11"/>
    <x v="42"/>
  </r>
  <r>
    <n v="12"/>
    <s v="Afternoon"/>
    <b v="0"/>
    <s v="Tuesday"/>
    <s v="Light Rain"/>
    <n v="0.28999999999999998"/>
    <n v="0.26"/>
    <x v="34"/>
    <x v="1"/>
    <x v="27"/>
    <x v="66"/>
    <x v="13"/>
  </r>
  <r>
    <n v="13"/>
    <s v="Afternoon"/>
    <b v="0"/>
    <s v="Tuesday"/>
    <s v="Light Rain"/>
    <n v="0.27"/>
    <n v="0.26"/>
    <x v="34"/>
    <x v="7"/>
    <x v="27"/>
    <x v="109"/>
    <x v="15"/>
  </r>
  <r>
    <n v="14"/>
    <s v="Afternoon"/>
    <b v="0"/>
    <s v="Tuesday"/>
    <s v="Light Rain"/>
    <n v="0.33"/>
    <n v="0.3"/>
    <x v="49"/>
    <x v="0"/>
    <x v="16"/>
    <x v="77"/>
    <x v="118"/>
  </r>
  <r>
    <n v="15"/>
    <s v="Afternoon"/>
    <b v="0"/>
    <s v="Tuesday"/>
    <s v="Light Rain"/>
    <n v="0.35"/>
    <n v="0.32"/>
    <x v="16"/>
    <x v="0"/>
    <x v="27"/>
    <x v="36"/>
    <x v="11"/>
  </r>
  <r>
    <n v="16"/>
    <s v="Afternoon"/>
    <b v="0"/>
    <s v="Tuesday"/>
    <s v="Light Rain"/>
    <n v="0.35"/>
    <n v="0.32"/>
    <x v="16"/>
    <x v="0"/>
    <x v="24"/>
    <x v="46"/>
    <x v="155"/>
  </r>
  <r>
    <n v="17"/>
    <s v="Afternoon"/>
    <b v="0"/>
    <s v="Tuesday"/>
    <s v="Clear Weather"/>
    <n v="0.33"/>
    <n v="0.3"/>
    <x v="49"/>
    <x v="0"/>
    <x v="24"/>
    <x v="147"/>
    <x v="161"/>
  </r>
  <r>
    <n v="18"/>
    <s v="Evening"/>
    <b v="0"/>
    <s v="Tuesday"/>
    <s v="Light Rain"/>
    <n v="0.32"/>
    <n v="0.3"/>
    <x v="36"/>
    <x v="1"/>
    <x v="18"/>
    <x v="148"/>
    <x v="162"/>
  </r>
  <r>
    <n v="19"/>
    <s v="Evening"/>
    <b v="0"/>
    <s v="Tuesday"/>
    <s v="Light Rain"/>
    <n v="0.26"/>
    <n v="0.26"/>
    <x v="55"/>
    <x v="8"/>
    <x v="23"/>
    <x v="149"/>
    <x v="163"/>
  </r>
  <r>
    <n v="20"/>
    <s v="Evening"/>
    <b v="0"/>
    <s v="Tuesday"/>
    <s v="Clear Weather"/>
    <n v="0.23"/>
    <n v="0.24"/>
    <x v="55"/>
    <x v="5"/>
    <x v="19"/>
    <x v="145"/>
    <x v="164"/>
  </r>
  <r>
    <n v="21"/>
    <s v="Evening"/>
    <b v="0"/>
    <s v="Tuesday"/>
    <s v="Clear Weather"/>
    <n v="0.23"/>
    <n v="0.24"/>
    <x v="55"/>
    <x v="5"/>
    <x v="2"/>
    <x v="71"/>
    <x v="79"/>
  </r>
  <r>
    <n v="22"/>
    <s v="Evening"/>
    <b v="0"/>
    <s v="Tuesday"/>
    <s v="Clear Weather"/>
    <n v="0.23"/>
    <n v="0.22"/>
    <x v="26"/>
    <x v="8"/>
    <x v="17"/>
    <x v="47"/>
    <x v="26"/>
  </r>
  <r>
    <n v="23"/>
    <s v="Evening"/>
    <b v="0"/>
    <s v="Tuesday"/>
    <s v="Light Rain"/>
    <n v="0.23"/>
    <n v="0.22"/>
    <x v="26"/>
    <x v="8"/>
    <x v="0"/>
    <x v="53"/>
    <x v="1"/>
  </r>
  <r>
    <n v="0"/>
    <s v="Night"/>
    <b v="0"/>
    <s v="Wednesday"/>
    <s v="Light Rain"/>
    <n v="0.23"/>
    <n v="0.22"/>
    <x v="27"/>
    <x v="7"/>
    <x v="0"/>
    <x v="88"/>
    <x v="22"/>
  </r>
  <r>
    <n v="1"/>
    <s v="Night"/>
    <b v="0"/>
    <s v="Wednesday"/>
    <s v="Light Rain"/>
    <n v="0.24"/>
    <n v="0.24"/>
    <x v="55"/>
    <x v="7"/>
    <x v="3"/>
    <x v="34"/>
    <x v="36"/>
  </r>
  <r>
    <n v="2"/>
    <s v="Night"/>
    <b v="0"/>
    <s v="Wednesday"/>
    <s v="Heavy Rain"/>
    <n v="0.23"/>
    <n v="0.22"/>
    <x v="27"/>
    <x v="5"/>
    <x v="0"/>
    <x v="7"/>
    <x v="98"/>
  </r>
  <r>
    <n v="5"/>
    <s v="Night"/>
    <b v="0"/>
    <s v="Wednesday"/>
    <s v="Heavy Rain"/>
    <n v="0.18"/>
    <n v="0.2"/>
    <x v="3"/>
    <x v="3"/>
    <x v="3"/>
    <x v="4"/>
    <x v="4"/>
  </r>
  <r>
    <n v="6"/>
    <s v="Morning"/>
    <b v="0"/>
    <s v="Wednesday"/>
    <s v="Heavy Rain"/>
    <n v="0.18"/>
    <n v="0.2"/>
    <x v="3"/>
    <x v="3"/>
    <x v="3"/>
    <x v="21"/>
    <x v="7"/>
  </r>
  <r>
    <n v="7"/>
    <s v="Morning"/>
    <b v="0"/>
    <s v="Wednesday"/>
    <s v="Heavy Rain"/>
    <n v="0.21"/>
    <n v="0.22"/>
    <x v="9"/>
    <x v="4"/>
    <x v="5"/>
    <x v="31"/>
    <x v="33"/>
  </r>
  <r>
    <n v="8"/>
    <s v="Morning"/>
    <b v="0"/>
    <s v="Wednesday"/>
    <s v="Heavy Rain"/>
    <n v="0.21"/>
    <n v="0.22"/>
    <x v="9"/>
    <x v="4"/>
    <x v="0"/>
    <x v="94"/>
    <x v="44"/>
  </r>
  <r>
    <n v="9"/>
    <s v="Morning"/>
    <b v="0"/>
    <s v="Wednesday"/>
    <s v="Heavy Rain"/>
    <n v="0.21"/>
    <n v="0.22"/>
    <x v="9"/>
    <x v="4"/>
    <x v="0"/>
    <x v="11"/>
    <x v="154"/>
  </r>
  <r>
    <n v="10"/>
    <s v="Morning"/>
    <b v="0"/>
    <s v="Wednesday"/>
    <s v="Heavy Rain"/>
    <n v="0.21"/>
    <n v="0.22"/>
    <x v="43"/>
    <x v="3"/>
    <x v="4"/>
    <x v="16"/>
    <x v="20"/>
  </r>
  <r>
    <n v="11"/>
    <s v="Morning"/>
    <b v="0"/>
    <s v="Wednesday"/>
    <s v="Heavy Rain"/>
    <n v="0.2"/>
    <n v="0.22"/>
    <x v="43"/>
    <x v="9"/>
    <x v="15"/>
    <x v="96"/>
    <x v="102"/>
  </r>
  <r>
    <n v="12"/>
    <s v="Afternoon"/>
    <b v="0"/>
    <s v="Wednesday"/>
    <s v="Heavy Rain"/>
    <n v="0.2"/>
    <n v="0.22"/>
    <x v="43"/>
    <x v="9"/>
    <x v="18"/>
    <x v="40"/>
    <x v="61"/>
  </r>
  <r>
    <n v="13"/>
    <s v="Afternoon"/>
    <b v="0"/>
    <s v="Wednesday"/>
    <s v="Heavy Rain"/>
    <n v="0.2"/>
    <n v="0.22"/>
    <x v="43"/>
    <x v="9"/>
    <x v="17"/>
    <x v="30"/>
    <x v="105"/>
  </r>
  <r>
    <n v="14"/>
    <s v="Afternoon"/>
    <b v="0"/>
    <s v="Wednesday"/>
    <s v="Heavy Rain"/>
    <n v="0.2"/>
    <n v="0.22"/>
    <x v="43"/>
    <x v="11"/>
    <x v="3"/>
    <x v="49"/>
    <x v="9"/>
  </r>
  <r>
    <n v="15"/>
    <s v="Afternoon"/>
    <b v="0"/>
    <s v="Wednesday"/>
    <s v="Heavy Rain"/>
    <n v="0.18"/>
    <n v="0.22"/>
    <x v="43"/>
    <x v="17"/>
    <x v="5"/>
    <x v="76"/>
    <x v="74"/>
  </r>
  <r>
    <n v="16"/>
    <s v="Afternoon"/>
    <b v="0"/>
    <s v="Wednesday"/>
    <s v="Thunderstorm"/>
    <n v="0.2"/>
    <n v="0.22"/>
    <x v="43"/>
    <x v="9"/>
    <x v="5"/>
    <x v="96"/>
    <x v="9"/>
  </r>
  <r>
    <n v="17"/>
    <s v="Afternoon"/>
    <b v="0"/>
    <s v="Wednesday"/>
    <s v="Heavy Rain"/>
    <n v="0.18"/>
    <n v="0.2"/>
    <x v="43"/>
    <x v="11"/>
    <x v="3"/>
    <x v="16"/>
    <x v="132"/>
  </r>
  <r>
    <n v="16"/>
    <s v="Afternoon"/>
    <b v="0"/>
    <s v="Thursday"/>
    <s v="Clear Weather"/>
    <n v="0.23"/>
    <n v="0.22"/>
    <x v="28"/>
    <x v="5"/>
    <x v="5"/>
    <x v="140"/>
    <x v="108"/>
  </r>
  <r>
    <n v="17"/>
    <s v="Afternoon"/>
    <b v="0"/>
    <s v="Thursday"/>
    <s v="Clear Weather"/>
    <n v="0.24"/>
    <n v="0.22"/>
    <x v="28"/>
    <x v="14"/>
    <x v="4"/>
    <x v="70"/>
    <x v="11"/>
  </r>
  <r>
    <n v="18"/>
    <s v="Evening"/>
    <b v="0"/>
    <s v="Thursday"/>
    <s v="Clear Weather"/>
    <n v="0.23"/>
    <n v="0.2"/>
    <x v="27"/>
    <x v="1"/>
    <x v="0"/>
    <x v="143"/>
    <x v="133"/>
  </r>
  <r>
    <n v="19"/>
    <s v="Evening"/>
    <b v="0"/>
    <s v="Thursday"/>
    <s v="Clear Weather"/>
    <n v="0.23"/>
    <n v="0.2"/>
    <x v="27"/>
    <x v="1"/>
    <x v="0"/>
    <x v="83"/>
    <x v="67"/>
  </r>
  <r>
    <n v="20"/>
    <s v="Evening"/>
    <b v="0"/>
    <s v="Thursday"/>
    <s v="Clear Weather"/>
    <n v="0.21"/>
    <n v="0.18"/>
    <x v="32"/>
    <x v="1"/>
    <x v="17"/>
    <x v="11"/>
    <x v="29"/>
  </r>
  <r>
    <n v="21"/>
    <s v="Evening"/>
    <b v="0"/>
    <s v="Thursday"/>
    <s v="Clear Weather"/>
    <n v="0.21"/>
    <n v="0.18"/>
    <x v="32"/>
    <x v="1"/>
    <x v="4"/>
    <x v="49"/>
    <x v="103"/>
  </r>
  <r>
    <n v="22"/>
    <s v="Evening"/>
    <b v="0"/>
    <s v="Thursday"/>
    <s v="Clear Weather"/>
    <n v="0.21"/>
    <n v="0.18"/>
    <x v="32"/>
    <x v="1"/>
    <x v="3"/>
    <x v="2"/>
    <x v="110"/>
  </r>
  <r>
    <n v="23"/>
    <s v="Evening"/>
    <b v="0"/>
    <s v="Thursday"/>
    <s v="Clear Weather"/>
    <n v="0.2"/>
    <n v="0.18"/>
    <x v="1"/>
    <x v="8"/>
    <x v="3"/>
    <x v="20"/>
    <x v="0"/>
  </r>
  <r>
    <n v="0"/>
    <s v="Night"/>
    <b v="0"/>
    <s v="Friday"/>
    <s v="Light Rain"/>
    <n v="0.21"/>
    <n v="0.2"/>
    <x v="2"/>
    <x v="7"/>
    <x v="3"/>
    <x v="33"/>
    <x v="23"/>
  </r>
  <r>
    <n v="1"/>
    <s v="Night"/>
    <b v="0"/>
    <s v="Friday"/>
    <s v="Light Rain"/>
    <n v="0.21"/>
    <n v="0.2"/>
    <x v="2"/>
    <x v="7"/>
    <x v="5"/>
    <x v="6"/>
    <x v="6"/>
  </r>
  <r>
    <n v="2"/>
    <s v="Night"/>
    <b v="0"/>
    <s v="Friday"/>
    <s v="Light Rain"/>
    <n v="0.21"/>
    <n v="0.2"/>
    <x v="2"/>
    <x v="8"/>
    <x v="3"/>
    <x v="6"/>
    <x v="5"/>
  </r>
  <r>
    <n v="3"/>
    <s v="Night"/>
    <b v="0"/>
    <s v="Friday"/>
    <s v="Light Rain"/>
    <n v="0.23"/>
    <n v="0.2"/>
    <x v="2"/>
    <x v="14"/>
    <x v="5"/>
    <x v="5"/>
    <x v="4"/>
  </r>
  <r>
    <n v="5"/>
    <s v="Night"/>
    <b v="0"/>
    <s v="Friday"/>
    <s v="Light Rain"/>
    <n v="0.21"/>
    <n v="0.18"/>
    <x v="1"/>
    <x v="14"/>
    <x v="3"/>
    <x v="22"/>
    <x v="48"/>
  </r>
  <r>
    <n v="6"/>
    <s v="Morning"/>
    <b v="0"/>
    <s v="Friday"/>
    <s v="Light Rain"/>
    <n v="0.2"/>
    <n v="0.18"/>
    <x v="1"/>
    <x v="7"/>
    <x v="3"/>
    <x v="20"/>
    <x v="0"/>
  </r>
  <r>
    <n v="7"/>
    <s v="Morning"/>
    <b v="0"/>
    <s v="Friday"/>
    <s v="Light Rain"/>
    <n v="0.2"/>
    <n v="0.16"/>
    <x v="3"/>
    <x v="1"/>
    <x v="4"/>
    <x v="29"/>
    <x v="122"/>
  </r>
  <r>
    <n v="8"/>
    <s v="Morning"/>
    <b v="0"/>
    <s v="Friday"/>
    <s v="Light Rain"/>
    <n v="0.2"/>
    <n v="0.16"/>
    <x v="3"/>
    <x v="1"/>
    <x v="4"/>
    <x v="119"/>
    <x v="45"/>
  </r>
  <r>
    <n v="9"/>
    <s v="Morning"/>
    <b v="0"/>
    <s v="Friday"/>
    <s v="Heavy Rain"/>
    <n v="0.21"/>
    <n v="0.18"/>
    <x v="3"/>
    <x v="1"/>
    <x v="15"/>
    <x v="73"/>
    <x v="129"/>
  </r>
  <r>
    <n v="10"/>
    <s v="Morning"/>
    <b v="0"/>
    <s v="Friday"/>
    <s v="Heavy Rain"/>
    <n v="0.21"/>
    <n v="0.18"/>
    <x v="3"/>
    <x v="14"/>
    <x v="3"/>
    <x v="47"/>
    <x v="99"/>
  </r>
  <r>
    <n v="11"/>
    <s v="Morning"/>
    <b v="0"/>
    <s v="Friday"/>
    <s v="Heavy Rain"/>
    <n v="0.21"/>
    <n v="0.18"/>
    <x v="43"/>
    <x v="14"/>
    <x v="3"/>
    <x v="10"/>
    <x v="33"/>
  </r>
  <r>
    <n v="12"/>
    <s v="Afternoon"/>
    <b v="0"/>
    <s v="Friday"/>
    <s v="Heavy Rain"/>
    <n v="0.21"/>
    <n v="0.18"/>
    <x v="43"/>
    <x v="14"/>
    <x v="5"/>
    <x v="95"/>
    <x v="115"/>
  </r>
  <r>
    <n v="13"/>
    <s v="Afternoon"/>
    <b v="0"/>
    <s v="Friday"/>
    <s v="Heavy Rain"/>
    <n v="0.21"/>
    <n v="0.18"/>
    <x v="43"/>
    <x v="14"/>
    <x v="3"/>
    <x v="17"/>
    <x v="35"/>
  </r>
  <r>
    <n v="14"/>
    <s v="Afternoon"/>
    <b v="0"/>
    <s v="Friday"/>
    <s v="Heavy Rain"/>
    <n v="0.27"/>
    <n v="0.22"/>
    <x v="1"/>
    <x v="0"/>
    <x v="4"/>
    <x v="49"/>
    <x v="103"/>
  </r>
  <r>
    <n v="15"/>
    <s v="Afternoon"/>
    <b v="0"/>
    <s v="Friday"/>
    <s v="Light Rain"/>
    <n v="0.26"/>
    <n v="0.2"/>
    <x v="3"/>
    <x v="0"/>
    <x v="5"/>
    <x v="71"/>
    <x v="102"/>
  </r>
  <r>
    <n v="16"/>
    <s v="Afternoon"/>
    <b v="0"/>
    <s v="Friday"/>
    <s v="Clear Weather"/>
    <n v="0.27"/>
    <n v="0.22"/>
    <x v="1"/>
    <x v="0"/>
    <x v="22"/>
    <x v="14"/>
    <x v="138"/>
  </r>
  <r>
    <n v="17"/>
    <s v="Afternoon"/>
    <b v="0"/>
    <s v="Friday"/>
    <s v="Clear Weather"/>
    <n v="0.24"/>
    <n v="0.24"/>
    <x v="2"/>
    <x v="7"/>
    <x v="4"/>
    <x v="150"/>
    <x v="165"/>
  </r>
  <r>
    <n v="18"/>
    <s v="Evening"/>
    <b v="0"/>
    <s v="Friday"/>
    <s v="Clear Weather"/>
    <n v="0.23"/>
    <n v="0.24"/>
    <x v="2"/>
    <x v="5"/>
    <x v="4"/>
    <x v="128"/>
    <x v="142"/>
  </r>
  <r>
    <n v="19"/>
    <s v="Evening"/>
    <b v="0"/>
    <s v="Friday"/>
    <s v="Light Rain"/>
    <n v="0.24"/>
    <n v="0.24"/>
    <x v="2"/>
    <x v="7"/>
    <x v="2"/>
    <x v="151"/>
    <x v="70"/>
  </r>
  <r>
    <n v="20"/>
    <s v="Evening"/>
    <b v="0"/>
    <s v="Friday"/>
    <s v="Light Rain"/>
    <n v="0.23"/>
    <n v="0.24"/>
    <x v="56"/>
    <x v="5"/>
    <x v="5"/>
    <x v="124"/>
    <x v="69"/>
  </r>
  <r>
    <n v="21"/>
    <s v="Evening"/>
    <b v="0"/>
    <s v="Friday"/>
    <s v="Light Rain"/>
    <n v="0.23"/>
    <n v="0.22"/>
    <x v="2"/>
    <x v="7"/>
    <x v="5"/>
    <x v="77"/>
    <x v="154"/>
  </r>
  <r>
    <n v="22"/>
    <s v="Evening"/>
    <b v="0"/>
    <s v="Friday"/>
    <s v="Clear Weather"/>
    <n v="0.21"/>
    <n v="0.24"/>
    <x v="55"/>
    <x v="11"/>
    <x v="3"/>
    <x v="16"/>
    <x v="132"/>
  </r>
  <r>
    <n v="23"/>
    <s v="Evening"/>
    <b v="0"/>
    <s v="Friday"/>
    <s v="Clear Weather"/>
    <n v="0.23"/>
    <n v="0.24"/>
    <x v="54"/>
    <x v="6"/>
    <x v="5"/>
    <x v="97"/>
    <x v="84"/>
  </r>
  <r>
    <n v="0"/>
    <s v="Night"/>
    <b v="0"/>
    <s v="Saturday"/>
    <s v="Clear Weather"/>
    <n v="0.2"/>
    <n v="0.22"/>
    <x v="26"/>
    <x v="11"/>
    <x v="4"/>
    <x v="16"/>
    <x v="20"/>
  </r>
  <r>
    <n v="1"/>
    <s v="Night"/>
    <b v="0"/>
    <s v="Saturday"/>
    <s v="Clear Weather"/>
    <n v="0.23"/>
    <n v="0.22"/>
    <x v="26"/>
    <x v="5"/>
    <x v="3"/>
    <x v="32"/>
    <x v="25"/>
  </r>
  <r>
    <n v="2"/>
    <s v="Night"/>
    <b v="0"/>
    <s v="Saturday"/>
    <s v="Clear Weather"/>
    <n v="0.23"/>
    <n v="0.22"/>
    <x v="26"/>
    <x v="8"/>
    <x v="3"/>
    <x v="89"/>
    <x v="93"/>
  </r>
  <r>
    <n v="3"/>
    <s v="Night"/>
    <b v="0"/>
    <s v="Saturday"/>
    <s v="Clear Weather"/>
    <n v="0.21"/>
    <n v="0.2"/>
    <x v="26"/>
    <x v="7"/>
    <x v="0"/>
    <x v="34"/>
    <x v="7"/>
  </r>
  <r>
    <n v="4"/>
    <s v="Night"/>
    <b v="0"/>
    <s v="Saturday"/>
    <s v="Clear Weather"/>
    <n v="0.18"/>
    <n v="0.16"/>
    <x v="27"/>
    <x v="14"/>
    <x v="5"/>
    <x v="6"/>
    <x v="6"/>
  </r>
  <r>
    <n v="6"/>
    <s v="Morning"/>
    <b v="0"/>
    <s v="Saturday"/>
    <s v="Clear Weather"/>
    <n v="0.18"/>
    <n v="0.16"/>
    <x v="26"/>
    <x v="7"/>
    <x v="3"/>
    <x v="6"/>
    <x v="5"/>
  </r>
  <r>
    <n v="7"/>
    <s v="Morning"/>
    <b v="0"/>
    <s v="Saturday"/>
    <s v="Clear Weather"/>
    <n v="0.18"/>
    <n v="0.16"/>
    <x v="29"/>
    <x v="14"/>
    <x v="5"/>
    <x v="22"/>
    <x v="36"/>
  </r>
  <r>
    <n v="8"/>
    <s v="Morning"/>
    <b v="0"/>
    <s v="Saturday"/>
    <s v="Clear Weather"/>
    <n v="0.2"/>
    <n v="0.18"/>
    <x v="28"/>
    <x v="8"/>
    <x v="0"/>
    <x v="17"/>
    <x v="19"/>
  </r>
  <r>
    <n v="9"/>
    <s v="Morning"/>
    <b v="0"/>
    <s v="Saturday"/>
    <s v="Clear Weather"/>
    <n v="0.21"/>
    <n v="0.18"/>
    <x v="29"/>
    <x v="1"/>
    <x v="3"/>
    <x v="60"/>
    <x v="19"/>
  </r>
  <r>
    <n v="10"/>
    <s v="Morning"/>
    <b v="0"/>
    <s v="Saturday"/>
    <s v="Light Rain"/>
    <n v="0.21"/>
    <n v="0.18"/>
    <x v="26"/>
    <x v="14"/>
    <x v="17"/>
    <x v="82"/>
    <x v="97"/>
  </r>
  <r>
    <n v="11"/>
    <s v="Morning"/>
    <b v="0"/>
    <s v="Saturday"/>
    <s v="Light Rain"/>
    <n v="0.2"/>
    <n v="0.18"/>
    <x v="26"/>
    <x v="7"/>
    <x v="17"/>
    <x v="91"/>
    <x v="37"/>
  </r>
  <r>
    <n v="12"/>
    <s v="Afternoon"/>
    <b v="0"/>
    <s v="Saturday"/>
    <s v="Light Rain"/>
    <n v="0.2"/>
    <n v="0.2"/>
    <x v="29"/>
    <x v="5"/>
    <x v="6"/>
    <x v="43"/>
    <x v="53"/>
  </r>
  <r>
    <n v="13"/>
    <s v="Afternoon"/>
    <b v="0"/>
    <s v="Saturday"/>
    <s v="Light Rain"/>
    <n v="0.23"/>
    <n v="0.22"/>
    <x v="28"/>
    <x v="8"/>
    <x v="14"/>
    <x v="90"/>
    <x v="32"/>
  </r>
  <r>
    <n v="14"/>
    <s v="Afternoon"/>
    <b v="0"/>
    <s v="Saturday"/>
    <s v="Light Rain"/>
    <n v="0.23"/>
    <n v="0.22"/>
    <x v="54"/>
    <x v="7"/>
    <x v="22"/>
    <x v="121"/>
    <x v="111"/>
  </r>
  <r>
    <n v="15"/>
    <s v="Afternoon"/>
    <b v="0"/>
    <s v="Saturday"/>
    <s v="Clear Weather"/>
    <n v="0.21"/>
    <n v="0.22"/>
    <x v="27"/>
    <x v="2"/>
    <x v="30"/>
    <x v="52"/>
    <x v="151"/>
  </r>
  <r>
    <n v="16"/>
    <s v="Afternoon"/>
    <b v="0"/>
    <s v="Saturday"/>
    <s v="Clear Weather"/>
    <n v="0.24"/>
    <n v="0.24"/>
    <x v="54"/>
    <x v="8"/>
    <x v="21"/>
    <x v="152"/>
    <x v="166"/>
  </r>
  <r>
    <n v="17"/>
    <s v="Afternoon"/>
    <b v="0"/>
    <s v="Saturday"/>
    <s v="Clear Weather"/>
    <n v="0.28999999999999998"/>
    <n v="0.24"/>
    <x v="54"/>
    <x v="0"/>
    <x v="14"/>
    <x v="70"/>
    <x v="134"/>
  </r>
  <r>
    <n v="18"/>
    <s v="Evening"/>
    <b v="0"/>
    <s v="Saturday"/>
    <s v="Clear Weather"/>
    <n v="0.23"/>
    <n v="0.22"/>
    <x v="27"/>
    <x v="7"/>
    <x v="14"/>
    <x v="79"/>
    <x v="118"/>
  </r>
  <r>
    <n v="19"/>
    <s v="Evening"/>
    <b v="0"/>
    <s v="Saturday"/>
    <s v="Light Rain"/>
    <n v="0.21"/>
    <n v="0.22"/>
    <x v="27"/>
    <x v="2"/>
    <x v="15"/>
    <x v="15"/>
    <x v="154"/>
  </r>
  <r>
    <n v="20"/>
    <s v="Evening"/>
    <b v="0"/>
    <s v="Saturday"/>
    <s v="Clear Weather"/>
    <n v="0.21"/>
    <n v="0.18"/>
    <x v="32"/>
    <x v="1"/>
    <x v="5"/>
    <x v="76"/>
    <x v="74"/>
  </r>
  <r>
    <n v="21"/>
    <s v="Evening"/>
    <b v="0"/>
    <s v="Saturday"/>
    <s v="Clear Weather"/>
    <n v="0.21"/>
    <n v="0.18"/>
    <x v="32"/>
    <x v="1"/>
    <x v="5"/>
    <x v="96"/>
    <x v="9"/>
  </r>
  <r>
    <n v="22"/>
    <s v="Evening"/>
    <b v="0"/>
    <s v="Saturday"/>
    <s v="Clear Weather"/>
    <n v="0.2"/>
    <n v="0.16"/>
    <x v="1"/>
    <x v="1"/>
    <x v="17"/>
    <x v="95"/>
    <x v="2"/>
  </r>
  <r>
    <n v="23"/>
    <s v="Evening"/>
    <b v="0"/>
    <s v="Saturday"/>
    <s v="Clear Weather"/>
    <n v="0.2"/>
    <n v="0.16"/>
    <x v="1"/>
    <x v="1"/>
    <x v="0"/>
    <x v="10"/>
    <x v="63"/>
  </r>
  <r>
    <n v="0"/>
    <s v="Night"/>
    <b v="0"/>
    <s v="Sunday"/>
    <s v="Clear Weather"/>
    <n v="0.18"/>
    <n v="0.16"/>
    <x v="1"/>
    <x v="14"/>
    <x v="3"/>
    <x v="39"/>
    <x v="63"/>
  </r>
  <r>
    <n v="1"/>
    <s v="Night"/>
    <b v="0"/>
    <s v="Sunday"/>
    <s v="Clear Weather"/>
    <n v="0.21"/>
    <n v="0.14000000000000001"/>
    <x v="1"/>
    <x v="0"/>
    <x v="18"/>
    <x v="97"/>
    <x v="115"/>
  </r>
  <r>
    <n v="2"/>
    <s v="Night"/>
    <b v="0"/>
    <s v="Sunday"/>
    <s v="Clear Weather"/>
    <n v="0.23"/>
    <n v="0.16"/>
    <x v="1"/>
    <x v="0"/>
    <x v="5"/>
    <x v="3"/>
    <x v="62"/>
  </r>
  <r>
    <n v="3"/>
    <s v="Night"/>
    <b v="0"/>
    <s v="Sunday"/>
    <s v="Clear Weather"/>
    <n v="0.21"/>
    <n v="0.14000000000000001"/>
    <x v="43"/>
    <x v="0"/>
    <x v="5"/>
    <x v="7"/>
    <x v="7"/>
  </r>
  <r>
    <n v="4"/>
    <s v="Night"/>
    <b v="0"/>
    <s v="Sunday"/>
    <s v="Clear Weather"/>
    <n v="0.21"/>
    <n v="0.14000000000000001"/>
    <x v="43"/>
    <x v="0"/>
    <x v="3"/>
    <x v="4"/>
    <x v="4"/>
  </r>
  <r>
    <n v="5"/>
    <s v="Night"/>
    <b v="0"/>
    <s v="Sunday"/>
    <s v="Clear Weather"/>
    <n v="0.21"/>
    <n v="0.14000000000000001"/>
    <x v="3"/>
    <x v="0"/>
    <x v="3"/>
    <x v="35"/>
    <x v="6"/>
  </r>
  <r>
    <n v="7"/>
    <s v="Morning"/>
    <b v="0"/>
    <s v="Sunday"/>
    <s v="Clear Weather"/>
    <n v="0.21"/>
    <n v="0.14000000000000001"/>
    <x v="3"/>
    <x v="0"/>
    <x v="3"/>
    <x v="35"/>
    <x v="6"/>
  </r>
  <r>
    <n v="8"/>
    <s v="Morning"/>
    <b v="0"/>
    <s v="Sunday"/>
    <s v="Light Rain"/>
    <n v="0.21"/>
    <n v="0.14000000000000001"/>
    <x v="3"/>
    <x v="0"/>
    <x v="5"/>
    <x v="48"/>
    <x v="47"/>
  </r>
  <r>
    <n v="9"/>
    <s v="Morning"/>
    <b v="0"/>
    <s v="Sunday"/>
    <s v="Light Rain"/>
    <n v="0.23"/>
    <n v="0.16"/>
    <x v="1"/>
    <x v="0"/>
    <x v="17"/>
    <x v="60"/>
    <x v="103"/>
  </r>
  <r>
    <n v="10"/>
    <s v="Morning"/>
    <b v="0"/>
    <s v="Sunday"/>
    <s v="Light Rain"/>
    <n v="0.24"/>
    <n v="0.18"/>
    <x v="1"/>
    <x v="0"/>
    <x v="18"/>
    <x v="77"/>
    <x v="37"/>
  </r>
  <r>
    <n v="11"/>
    <s v="Morning"/>
    <b v="0"/>
    <s v="Sunday"/>
    <s v="Clear Weather"/>
    <n v="0.27"/>
    <n v="0.22"/>
    <x v="2"/>
    <x v="0"/>
    <x v="14"/>
    <x v="54"/>
    <x v="29"/>
  </r>
  <r>
    <n v="12"/>
    <s v="Afternoon"/>
    <b v="0"/>
    <s v="Sunday"/>
    <s v="Clear Weather"/>
    <n v="0.32"/>
    <n v="0.3"/>
    <x v="35"/>
    <x v="14"/>
    <x v="22"/>
    <x v="61"/>
    <x v="54"/>
  </r>
  <r>
    <n v="13"/>
    <s v="Afternoon"/>
    <b v="0"/>
    <s v="Sunday"/>
    <s v="Clear Weather"/>
    <n v="0.28999999999999998"/>
    <n v="0.28000000000000003"/>
    <x v="53"/>
    <x v="14"/>
    <x v="23"/>
    <x v="13"/>
    <x v="11"/>
  </r>
  <r>
    <n v="14"/>
    <s v="Afternoon"/>
    <b v="0"/>
    <s v="Sunday"/>
    <s v="Clear Weather"/>
    <n v="0.3"/>
    <n v="0.28000000000000003"/>
    <x v="53"/>
    <x v="1"/>
    <x v="25"/>
    <x v="153"/>
    <x v="78"/>
  </r>
  <r>
    <n v="15"/>
    <s v="Afternoon"/>
    <b v="0"/>
    <s v="Sunday"/>
    <s v="Clear Weather"/>
    <n v="0.33"/>
    <n v="0.3"/>
    <x v="34"/>
    <x v="0"/>
    <x v="24"/>
    <x v="73"/>
    <x v="142"/>
  </r>
  <r>
    <n v="16"/>
    <s v="Afternoon"/>
    <b v="0"/>
    <s v="Sunday"/>
    <s v="Clear Weather"/>
    <n v="0.33"/>
    <n v="0.3"/>
    <x v="34"/>
    <x v="0"/>
    <x v="21"/>
    <x v="153"/>
    <x v="92"/>
  </r>
  <r>
    <n v="17"/>
    <s v="Afternoon"/>
    <b v="0"/>
    <s v="Sunday"/>
    <s v="Clear Weather"/>
    <n v="0.28999999999999998"/>
    <n v="0.3"/>
    <x v="34"/>
    <x v="5"/>
    <x v="15"/>
    <x v="13"/>
    <x v="43"/>
  </r>
  <r>
    <n v="18"/>
    <s v="Evening"/>
    <b v="0"/>
    <s v="Sunday"/>
    <s v="Clear Weather"/>
    <n v="0.26"/>
    <n v="0.26"/>
    <x v="55"/>
    <x v="8"/>
    <x v="1"/>
    <x v="77"/>
    <x v="32"/>
  </r>
  <r>
    <n v="19"/>
    <s v="Evening"/>
    <b v="0"/>
    <s v="Sunday"/>
    <s v="Clear Weather"/>
    <n v="0.26"/>
    <n v="0.26"/>
    <x v="55"/>
    <x v="5"/>
    <x v="14"/>
    <x v="24"/>
    <x v="97"/>
  </r>
  <r>
    <n v="20"/>
    <s v="Evening"/>
    <b v="0"/>
    <s v="Sunday"/>
    <s v="Light Rain"/>
    <n v="0.27"/>
    <n v="0.26"/>
    <x v="55"/>
    <x v="14"/>
    <x v="0"/>
    <x v="10"/>
    <x v="63"/>
  </r>
  <r>
    <n v="21"/>
    <s v="Evening"/>
    <b v="0"/>
    <s v="Sunday"/>
    <s v="Light Rain"/>
    <n v="0.24"/>
    <n v="0.24"/>
    <x v="56"/>
    <x v="8"/>
    <x v="0"/>
    <x v="18"/>
    <x v="20"/>
  </r>
  <r>
    <n v="22"/>
    <s v="Evening"/>
    <b v="0"/>
    <s v="Sunday"/>
    <s v="Light Rain"/>
    <n v="0.23"/>
    <n v="0.24"/>
    <x v="56"/>
    <x v="5"/>
    <x v="4"/>
    <x v="23"/>
    <x v="137"/>
  </r>
  <r>
    <n v="23"/>
    <s v="Evening"/>
    <b v="0"/>
    <s v="Sunday"/>
    <s v="Light Rain"/>
    <n v="0.21"/>
    <n v="0.24"/>
    <x v="55"/>
    <x v="3"/>
    <x v="2"/>
    <x v="20"/>
    <x v="137"/>
  </r>
  <r>
    <n v="0"/>
    <s v="Night"/>
    <b v="0"/>
    <s v="Monday"/>
    <s v="Light Rain"/>
    <n v="0.23"/>
    <n v="0.24"/>
    <x v="55"/>
    <x v="6"/>
    <x v="5"/>
    <x v="8"/>
    <x v="85"/>
  </r>
  <r>
    <n v="1"/>
    <s v="Night"/>
    <b v="0"/>
    <s v="Monday"/>
    <s v="Clear Weather"/>
    <n v="0.21"/>
    <n v="0.22"/>
    <x v="26"/>
    <x v="2"/>
    <x v="4"/>
    <x v="34"/>
    <x v="85"/>
  </r>
  <r>
    <n v="2"/>
    <s v="Night"/>
    <b v="0"/>
    <s v="Monday"/>
    <s v="Clear Weather"/>
    <n v="0.23"/>
    <n v="0.22"/>
    <x v="26"/>
    <x v="5"/>
    <x v="3"/>
    <x v="4"/>
    <x v="4"/>
  </r>
  <r>
    <n v="3"/>
    <s v="Night"/>
    <b v="0"/>
    <s v="Monday"/>
    <s v="Clear Weather"/>
    <n v="0.23"/>
    <n v="0.22"/>
    <x v="26"/>
    <x v="5"/>
    <x v="3"/>
    <x v="6"/>
    <x v="5"/>
  </r>
  <r>
    <n v="4"/>
    <s v="Night"/>
    <b v="0"/>
    <s v="Monday"/>
    <s v="Clear Weather"/>
    <n v="0.2"/>
    <n v="0.2"/>
    <x v="29"/>
    <x v="6"/>
    <x v="3"/>
    <x v="6"/>
    <x v="5"/>
  </r>
  <r>
    <n v="5"/>
    <s v="Night"/>
    <b v="0"/>
    <s v="Monday"/>
    <s v="Clear Weather"/>
    <n v="0.17"/>
    <n v="0.18"/>
    <x v="26"/>
    <x v="3"/>
    <x v="3"/>
    <x v="21"/>
    <x v="7"/>
  </r>
  <r>
    <n v="6"/>
    <s v="Morning"/>
    <b v="0"/>
    <s v="Monday"/>
    <s v="Clear Weather"/>
    <n v="0.14000000000000001"/>
    <n v="0.16"/>
    <x v="27"/>
    <x v="9"/>
    <x v="3"/>
    <x v="53"/>
    <x v="18"/>
  </r>
  <r>
    <n v="7"/>
    <s v="Morning"/>
    <b v="0"/>
    <s v="Monday"/>
    <s v="Light Rain"/>
    <n v="0.14000000000000001"/>
    <n v="0.16"/>
    <x v="26"/>
    <x v="3"/>
    <x v="5"/>
    <x v="13"/>
    <x v="44"/>
  </r>
  <r>
    <n v="8"/>
    <s v="Morning"/>
    <b v="0"/>
    <s v="Monday"/>
    <s v="Light Rain"/>
    <n v="0.14000000000000001"/>
    <n v="0.16"/>
    <x v="29"/>
    <x v="3"/>
    <x v="0"/>
    <x v="154"/>
    <x v="147"/>
  </r>
  <r>
    <n v="9"/>
    <s v="Morning"/>
    <b v="0"/>
    <s v="Monday"/>
    <s v="Light Rain"/>
    <n v="0.14000000000000001"/>
    <n v="0.16"/>
    <x v="29"/>
    <x v="4"/>
    <x v="3"/>
    <x v="155"/>
    <x v="59"/>
  </r>
  <r>
    <n v="10"/>
    <s v="Morning"/>
    <b v="0"/>
    <s v="Monday"/>
    <s v="Light Rain"/>
    <n v="0.15"/>
    <n v="0.16"/>
    <x v="29"/>
    <x v="5"/>
    <x v="5"/>
    <x v="56"/>
    <x v="83"/>
  </r>
  <r>
    <n v="11"/>
    <s v="Morning"/>
    <b v="0"/>
    <s v="Monday"/>
    <s v="Light Rain"/>
    <n v="0.15"/>
    <n v="0.16"/>
    <x v="29"/>
    <x v="5"/>
    <x v="4"/>
    <x v="24"/>
    <x v="61"/>
  </r>
  <r>
    <n v="12"/>
    <s v="Afternoon"/>
    <b v="0"/>
    <s v="Monday"/>
    <s v="Light Rain"/>
    <n v="0.21"/>
    <n v="0.18"/>
    <x v="28"/>
    <x v="14"/>
    <x v="15"/>
    <x v="133"/>
    <x v="118"/>
  </r>
  <r>
    <n v="13"/>
    <s v="Afternoon"/>
    <b v="0"/>
    <s v="Monday"/>
    <s v="Light Rain"/>
    <n v="0.23"/>
    <n v="0.16"/>
    <x v="29"/>
    <x v="0"/>
    <x v="4"/>
    <x v="15"/>
    <x v="60"/>
  </r>
  <r>
    <n v="14"/>
    <s v="Afternoon"/>
    <b v="0"/>
    <s v="Monday"/>
    <s v="Light Rain"/>
    <n v="0.2"/>
    <n v="0.18"/>
    <x v="28"/>
    <x v="7"/>
    <x v="5"/>
    <x v="66"/>
    <x v="80"/>
  </r>
  <r>
    <n v="15"/>
    <s v="Afternoon"/>
    <b v="0"/>
    <s v="Monday"/>
    <s v="Light Rain"/>
    <n v="0.18"/>
    <n v="0.16"/>
    <x v="29"/>
    <x v="7"/>
    <x v="0"/>
    <x v="40"/>
    <x v="40"/>
  </r>
  <r>
    <n v="16"/>
    <s v="Afternoon"/>
    <b v="0"/>
    <s v="Monday"/>
    <s v="Light Rain"/>
    <n v="0.18"/>
    <n v="0.16"/>
    <x v="34"/>
    <x v="5"/>
    <x v="0"/>
    <x v="93"/>
    <x v="80"/>
  </r>
  <r>
    <n v="17"/>
    <s v="Afternoon"/>
    <b v="0"/>
    <s v="Monday"/>
    <s v="Light Rain"/>
    <n v="0.15"/>
    <n v="0.16"/>
    <x v="29"/>
    <x v="5"/>
    <x v="15"/>
    <x v="119"/>
    <x v="143"/>
  </r>
  <r>
    <n v="18"/>
    <s v="Evening"/>
    <b v="0"/>
    <s v="Monday"/>
    <s v="Light Rain"/>
    <n v="0.15"/>
    <n v="0.16"/>
    <x v="28"/>
    <x v="6"/>
    <x v="0"/>
    <x v="37"/>
    <x v="167"/>
  </r>
  <r>
    <n v="19"/>
    <s v="Evening"/>
    <b v="0"/>
    <s v="Monday"/>
    <s v="Clear Weather"/>
    <n v="0.32"/>
    <n v="0.3"/>
    <x v="53"/>
    <x v="14"/>
    <x v="0"/>
    <x v="123"/>
    <x v="168"/>
  </r>
  <r>
    <n v="20"/>
    <s v="Evening"/>
    <b v="0"/>
    <s v="Monday"/>
    <s v="Heavy Rain"/>
    <n v="0.17"/>
    <n v="0.16"/>
    <x v="29"/>
    <x v="8"/>
    <x v="3"/>
    <x v="78"/>
    <x v="53"/>
  </r>
  <r>
    <n v="21"/>
    <s v="Evening"/>
    <b v="0"/>
    <s v="Monday"/>
    <s v="Heavy Rain"/>
    <n v="0.2"/>
    <n v="0.16"/>
    <x v="29"/>
    <x v="1"/>
    <x v="0"/>
    <x v="42"/>
    <x v="10"/>
  </r>
  <r>
    <n v="22"/>
    <s v="Evening"/>
    <b v="0"/>
    <s v="Monday"/>
    <s v="Light Rain"/>
    <n v="0.18"/>
    <n v="0.16"/>
    <x v="29"/>
    <x v="14"/>
    <x v="3"/>
    <x v="60"/>
    <x v="19"/>
  </r>
  <r>
    <n v="23"/>
    <s v="Evening"/>
    <b v="0"/>
    <s v="Monday"/>
    <s v="Light Rain"/>
    <n v="0.2"/>
    <n v="0.16"/>
    <x v="26"/>
    <x v="1"/>
    <x v="4"/>
    <x v="89"/>
    <x v="22"/>
  </r>
  <r>
    <n v="0"/>
    <s v="Night"/>
    <b v="0"/>
    <s v="Tuesday"/>
    <s v="Light Rain"/>
    <n v="0.18"/>
    <n v="0.16"/>
    <x v="26"/>
    <x v="14"/>
    <x v="4"/>
    <x v="8"/>
    <x v="7"/>
  </r>
  <r>
    <n v="1"/>
    <s v="Night"/>
    <b v="0"/>
    <s v="Tuesday"/>
    <s v="Light Rain"/>
    <n v="0.18"/>
    <n v="0.16"/>
    <x v="27"/>
    <x v="14"/>
    <x v="3"/>
    <x v="35"/>
    <x v="6"/>
  </r>
  <r>
    <n v="2"/>
    <s v="Night"/>
    <b v="0"/>
    <s v="Tuesday"/>
    <s v="Light Rain"/>
    <n v="0.23"/>
    <n v="0.16"/>
    <x v="27"/>
    <x v="0"/>
    <x v="3"/>
    <x v="6"/>
    <x v="5"/>
  </r>
  <r>
    <n v="3"/>
    <s v="Night"/>
    <b v="0"/>
    <s v="Tuesday"/>
    <s v="Light Rain"/>
    <n v="0.23"/>
    <n v="0.16"/>
    <x v="27"/>
    <x v="0"/>
    <x v="3"/>
    <x v="6"/>
    <x v="5"/>
  </r>
  <r>
    <n v="5"/>
    <s v="Night"/>
    <b v="0"/>
    <s v="Tuesday"/>
    <s v="Heavy Rain"/>
    <n v="0.21"/>
    <n v="0.14000000000000001"/>
    <x v="43"/>
    <x v="0"/>
    <x v="3"/>
    <x v="35"/>
    <x v="6"/>
  </r>
  <r>
    <n v="6"/>
    <s v="Morning"/>
    <b v="0"/>
    <s v="Tuesday"/>
    <s v="Heavy Rain"/>
    <n v="0.21"/>
    <n v="0.14000000000000001"/>
    <x v="43"/>
    <x v="0"/>
    <x v="3"/>
    <x v="97"/>
    <x v="34"/>
  </r>
  <r>
    <n v="7"/>
    <s v="Morning"/>
    <b v="0"/>
    <s v="Tuesday"/>
    <s v="Heavy Rain"/>
    <n v="0.23"/>
    <n v="0.16"/>
    <x v="43"/>
    <x v="0"/>
    <x v="3"/>
    <x v="15"/>
    <x v="46"/>
  </r>
  <r>
    <n v="8"/>
    <s v="Morning"/>
    <b v="0"/>
    <s v="Tuesday"/>
    <s v="Heavy Rain"/>
    <n v="0.23"/>
    <n v="0.16"/>
    <x v="43"/>
    <x v="0"/>
    <x v="0"/>
    <x v="126"/>
    <x v="169"/>
  </r>
  <r>
    <n v="9"/>
    <s v="Morning"/>
    <b v="0"/>
    <s v="Tuesday"/>
    <s v="Light Rain"/>
    <n v="0.23"/>
    <n v="0.16"/>
    <x v="43"/>
    <x v="0"/>
    <x v="4"/>
    <x v="156"/>
    <x v="155"/>
  </r>
  <r>
    <n v="10"/>
    <s v="Morning"/>
    <b v="0"/>
    <s v="Tuesday"/>
    <s v="Light Rain"/>
    <n v="0.23"/>
    <n v="0.16"/>
    <x v="43"/>
    <x v="0"/>
    <x v="3"/>
    <x v="12"/>
    <x v="105"/>
  </r>
  <r>
    <n v="11"/>
    <s v="Morning"/>
    <b v="0"/>
    <s v="Tuesday"/>
    <s v="Light Rain"/>
    <n v="0.24"/>
    <n v="0.18"/>
    <x v="3"/>
    <x v="0"/>
    <x v="4"/>
    <x v="47"/>
    <x v="41"/>
  </r>
  <r>
    <n v="12"/>
    <s v="Afternoon"/>
    <b v="0"/>
    <s v="Tuesday"/>
    <s v="Light Rain"/>
    <n v="0.26"/>
    <n v="0.2"/>
    <x v="3"/>
    <x v="0"/>
    <x v="4"/>
    <x v="42"/>
    <x v="97"/>
  </r>
  <r>
    <n v="13"/>
    <s v="Afternoon"/>
    <b v="0"/>
    <s v="Tuesday"/>
    <s v="Light Rain"/>
    <n v="0.26"/>
    <n v="0.2"/>
    <x v="3"/>
    <x v="0"/>
    <x v="0"/>
    <x v="47"/>
    <x v="46"/>
  </r>
  <r>
    <n v="14"/>
    <s v="Afternoon"/>
    <b v="0"/>
    <s v="Tuesday"/>
    <s v="Light Rain"/>
    <n v="0.26"/>
    <n v="0.22"/>
    <x v="1"/>
    <x v="1"/>
    <x v="2"/>
    <x v="47"/>
    <x v="60"/>
  </r>
  <r>
    <n v="15"/>
    <s v="Afternoon"/>
    <b v="0"/>
    <s v="Tuesday"/>
    <s v="Light Rain"/>
    <n v="0.28999999999999998"/>
    <n v="0.24"/>
    <x v="2"/>
    <x v="0"/>
    <x v="18"/>
    <x v="108"/>
    <x v="46"/>
  </r>
  <r>
    <n v="16"/>
    <s v="Afternoon"/>
    <b v="0"/>
    <s v="Tuesday"/>
    <s v="Light Rain"/>
    <n v="0.24"/>
    <n v="0.24"/>
    <x v="2"/>
    <x v="7"/>
    <x v="0"/>
    <x v="124"/>
    <x v="37"/>
  </r>
  <r>
    <n v="17"/>
    <s v="Afternoon"/>
    <b v="0"/>
    <s v="Tuesday"/>
    <s v="Light Rain"/>
    <n v="0.28999999999999998"/>
    <n v="0.24"/>
    <x v="2"/>
    <x v="0"/>
    <x v="17"/>
    <x v="157"/>
    <x v="170"/>
  </r>
  <r>
    <n v="18"/>
    <s v="Evening"/>
    <b v="0"/>
    <s v="Tuesday"/>
    <s v="Light Rain"/>
    <n v="0.26"/>
    <n v="0.24"/>
    <x v="0"/>
    <x v="14"/>
    <x v="0"/>
    <x v="158"/>
    <x v="171"/>
  </r>
  <r>
    <n v="19"/>
    <s v="Evening"/>
    <b v="0"/>
    <s v="Tuesday"/>
    <s v="Light Rain"/>
    <n v="0.24"/>
    <n v="0.24"/>
    <x v="0"/>
    <x v="7"/>
    <x v="0"/>
    <x v="159"/>
    <x v="159"/>
  </r>
  <r>
    <n v="20"/>
    <s v="Evening"/>
    <b v="0"/>
    <s v="Tuesday"/>
    <s v="Light Rain"/>
    <n v="0.23"/>
    <n v="0.22"/>
    <x v="9"/>
    <x v="7"/>
    <x v="2"/>
    <x v="94"/>
    <x v="30"/>
  </r>
  <r>
    <n v="21"/>
    <s v="Evening"/>
    <b v="0"/>
    <s v="Tuesday"/>
    <s v="Light Rain"/>
    <n v="0.23"/>
    <n v="0.22"/>
    <x v="9"/>
    <x v="7"/>
    <x v="3"/>
    <x v="27"/>
    <x v="37"/>
  </r>
  <r>
    <n v="22"/>
    <s v="Evening"/>
    <b v="0"/>
    <s v="Tuesday"/>
    <s v="Light Rain"/>
    <n v="0.26"/>
    <n v="0.22"/>
    <x v="9"/>
    <x v="1"/>
    <x v="4"/>
    <x v="60"/>
    <x v="9"/>
  </r>
  <r>
    <n v="23"/>
    <s v="Evening"/>
    <b v="0"/>
    <s v="Tuesday"/>
    <s v="Heavy Rain"/>
    <n v="0.2"/>
    <n v="0.2"/>
    <x v="43"/>
    <x v="5"/>
    <x v="5"/>
    <x v="89"/>
    <x v="0"/>
  </r>
  <r>
    <n v="0"/>
    <s v="Night"/>
    <b v="0"/>
    <s v="Wednesday"/>
    <s v="Heavy Rain"/>
    <n v="0.24"/>
    <n v="0.22"/>
    <x v="43"/>
    <x v="14"/>
    <x v="3"/>
    <x v="6"/>
    <x v="5"/>
  </r>
  <r>
    <n v="1"/>
    <s v="Night"/>
    <b v="0"/>
    <s v="Wednesday"/>
    <s v="Heavy Rain"/>
    <n v="0.23"/>
    <n v="0.22"/>
    <x v="43"/>
    <x v="5"/>
    <x v="3"/>
    <x v="35"/>
    <x v="6"/>
  </r>
  <r>
    <n v="2"/>
    <s v="Night"/>
    <b v="0"/>
    <s v="Wednesday"/>
    <s v="Heavy Rain"/>
    <n v="0.23"/>
    <n v="0.22"/>
    <x v="43"/>
    <x v="7"/>
    <x v="17"/>
    <x v="5"/>
    <x v="48"/>
  </r>
  <r>
    <n v="3"/>
    <s v="Night"/>
    <b v="0"/>
    <s v="Wednesday"/>
    <s v="Heavy Rain"/>
    <n v="0.23"/>
    <n v="0.22"/>
    <x v="43"/>
    <x v="7"/>
    <x v="3"/>
    <x v="4"/>
    <x v="4"/>
  </r>
  <r>
    <n v="4"/>
    <s v="Night"/>
    <b v="0"/>
    <s v="Wednesday"/>
    <s v="Heavy Rain"/>
    <n v="0.21"/>
    <n v="0.22"/>
    <x v="43"/>
    <x v="3"/>
    <x v="3"/>
    <x v="4"/>
    <x v="4"/>
  </r>
  <r>
    <n v="5"/>
    <s v="Night"/>
    <b v="0"/>
    <s v="Wednesday"/>
    <s v="Heavy Rain"/>
    <n v="0.24"/>
    <n v="0.22"/>
    <x v="43"/>
    <x v="14"/>
    <x v="3"/>
    <x v="35"/>
    <x v="6"/>
  </r>
  <r>
    <n v="6"/>
    <s v="Morning"/>
    <b v="0"/>
    <s v="Wednesday"/>
    <s v="Heavy Rain"/>
    <n v="0.24"/>
    <n v="0.22"/>
    <x v="43"/>
    <x v="14"/>
    <x v="5"/>
    <x v="19"/>
    <x v="109"/>
  </r>
  <r>
    <n v="7"/>
    <s v="Morning"/>
    <b v="0"/>
    <s v="Wednesday"/>
    <s v="Heavy Rain"/>
    <n v="0.21"/>
    <n v="0.22"/>
    <x v="43"/>
    <x v="6"/>
    <x v="5"/>
    <x v="41"/>
    <x v="99"/>
  </r>
  <r>
    <n v="8"/>
    <s v="Morning"/>
    <b v="0"/>
    <s v="Wednesday"/>
    <s v="Heavy Rain"/>
    <n v="0.21"/>
    <n v="0.22"/>
    <x v="43"/>
    <x v="6"/>
    <x v="5"/>
    <x v="105"/>
    <x v="107"/>
  </r>
  <r>
    <n v="9"/>
    <s v="Morning"/>
    <b v="0"/>
    <s v="Wednesday"/>
    <s v="Light Rain"/>
    <n v="0.26"/>
    <n v="0.24"/>
    <x v="43"/>
    <x v="1"/>
    <x v="17"/>
    <x v="138"/>
    <x v="92"/>
  </r>
  <r>
    <n v="10"/>
    <s v="Morning"/>
    <b v="0"/>
    <s v="Wednesday"/>
    <s v="Light Rain"/>
    <n v="0.27"/>
    <n v="0.22"/>
    <x v="11"/>
    <x v="0"/>
    <x v="4"/>
    <x v="79"/>
    <x v="42"/>
  </r>
  <r>
    <n v="11"/>
    <s v="Morning"/>
    <b v="0"/>
    <s v="Wednesday"/>
    <s v="Light Rain"/>
    <n v="0.23"/>
    <n v="0.24"/>
    <x v="43"/>
    <x v="5"/>
    <x v="2"/>
    <x v="12"/>
    <x v="46"/>
  </r>
  <r>
    <n v="12"/>
    <s v="Afternoon"/>
    <b v="0"/>
    <s v="Wednesday"/>
    <s v="Light Rain"/>
    <n v="0.23"/>
    <n v="0.24"/>
    <x v="43"/>
    <x v="6"/>
    <x v="0"/>
    <x v="124"/>
    <x v="37"/>
  </r>
  <r>
    <n v="13"/>
    <s v="Afternoon"/>
    <b v="0"/>
    <s v="Wednesday"/>
    <s v="Clear Weather"/>
    <n v="0.33"/>
    <n v="0.34"/>
    <x v="43"/>
    <x v="8"/>
    <x v="5"/>
    <x v="64"/>
    <x v="28"/>
  </r>
  <r>
    <n v="14"/>
    <s v="Afternoon"/>
    <b v="0"/>
    <s v="Wednesday"/>
    <s v="Clear Weather"/>
    <n v="0.39"/>
    <n v="0.38"/>
    <x v="7"/>
    <x v="13"/>
    <x v="4"/>
    <x v="124"/>
    <x v="55"/>
  </r>
  <r>
    <n v="15"/>
    <s v="Afternoon"/>
    <b v="0"/>
    <s v="Wednesday"/>
    <s v="Clear Weather"/>
    <n v="0.39"/>
    <n v="0.38"/>
    <x v="4"/>
    <x v="9"/>
    <x v="22"/>
    <x v="43"/>
    <x v="31"/>
  </r>
  <r>
    <n v="16"/>
    <s v="Afternoon"/>
    <b v="0"/>
    <s v="Wednesday"/>
    <s v="Clear Weather"/>
    <n v="0.33"/>
    <n v="0.36"/>
    <x v="12"/>
    <x v="4"/>
    <x v="1"/>
    <x v="73"/>
    <x v="153"/>
  </r>
  <r>
    <n v="17"/>
    <s v="Afternoon"/>
    <b v="0"/>
    <s v="Wednesday"/>
    <s v="Clear Weather"/>
    <n v="0.32"/>
    <n v="0.36"/>
    <x v="45"/>
    <x v="18"/>
    <x v="18"/>
    <x v="160"/>
    <x v="71"/>
  </r>
  <r>
    <n v="18"/>
    <s v="Evening"/>
    <b v="0"/>
    <s v="Wednesday"/>
    <s v="Clear Weather"/>
    <n v="0.28999999999999998"/>
    <n v="0.34"/>
    <x v="16"/>
    <x v="16"/>
    <x v="18"/>
    <x v="161"/>
    <x v="58"/>
  </r>
  <r>
    <n v="19"/>
    <s v="Evening"/>
    <b v="0"/>
    <s v="Wednesday"/>
    <s v="Clear Weather"/>
    <n v="0.24"/>
    <n v="0.28000000000000003"/>
    <x v="49"/>
    <x v="15"/>
    <x v="0"/>
    <x v="152"/>
    <x v="134"/>
  </r>
  <r>
    <n v="20"/>
    <s v="Evening"/>
    <b v="0"/>
    <s v="Wednesday"/>
    <s v="Clear Weather"/>
    <n v="0.2"/>
    <n v="0.24"/>
    <x v="37"/>
    <x v="16"/>
    <x v="17"/>
    <x v="13"/>
    <x v="28"/>
  </r>
  <r>
    <n v="21"/>
    <s v="Evening"/>
    <b v="0"/>
    <s v="Wednesday"/>
    <s v="Clear Weather"/>
    <n v="0.2"/>
    <n v="0.22"/>
    <x v="19"/>
    <x v="9"/>
    <x v="5"/>
    <x v="133"/>
    <x v="55"/>
  </r>
  <r>
    <n v="22"/>
    <s v="Evening"/>
    <b v="0"/>
    <s v="Wednesday"/>
    <s v="Clear Weather"/>
    <n v="0.21"/>
    <n v="0.22"/>
    <x v="18"/>
    <x v="2"/>
    <x v="2"/>
    <x v="96"/>
    <x v="1"/>
  </r>
  <r>
    <n v="23"/>
    <s v="Evening"/>
    <b v="0"/>
    <s v="Wednesday"/>
    <s v="Clear Weather"/>
    <n v="0.17"/>
    <n v="0.2"/>
    <x v="18"/>
    <x v="10"/>
    <x v="0"/>
    <x v="31"/>
    <x v="2"/>
  </r>
  <r>
    <n v="0"/>
    <s v="Night"/>
    <b v="0"/>
    <s v="Thursday"/>
    <s v="Clear Weather"/>
    <n v="0.17"/>
    <n v="0.2"/>
    <x v="22"/>
    <x v="10"/>
    <x v="5"/>
    <x v="48"/>
    <x v="47"/>
  </r>
  <r>
    <n v="1"/>
    <s v="Night"/>
    <b v="0"/>
    <s v="Thursday"/>
    <s v="Clear Weather"/>
    <n v="0.15"/>
    <n v="0.2"/>
    <x v="18"/>
    <x v="18"/>
    <x v="3"/>
    <x v="34"/>
    <x v="36"/>
  </r>
  <r>
    <n v="2"/>
    <s v="Night"/>
    <b v="0"/>
    <s v="Thursday"/>
    <s v="Clear Weather"/>
    <n v="0.17"/>
    <n v="0.18"/>
    <x v="21"/>
    <x v="2"/>
    <x v="3"/>
    <x v="6"/>
    <x v="5"/>
  </r>
  <r>
    <n v="3"/>
    <s v="Night"/>
    <b v="0"/>
    <s v="Thursday"/>
    <s v="Clear Weather"/>
    <n v="0.17"/>
    <n v="0.18"/>
    <x v="21"/>
    <x v="2"/>
    <x v="3"/>
    <x v="4"/>
    <x v="4"/>
  </r>
  <r>
    <n v="5"/>
    <s v="Night"/>
    <b v="0"/>
    <s v="Thursday"/>
    <s v="Clear Weather"/>
    <n v="0.14000000000000001"/>
    <n v="0.16"/>
    <x v="20"/>
    <x v="4"/>
    <x v="3"/>
    <x v="6"/>
    <x v="5"/>
  </r>
  <r>
    <n v="6"/>
    <s v="Morning"/>
    <b v="0"/>
    <s v="Thursday"/>
    <s v="Clear Weather"/>
    <n v="0.14000000000000001"/>
    <n v="0.16"/>
    <x v="21"/>
    <x v="11"/>
    <x v="3"/>
    <x v="87"/>
    <x v="21"/>
  </r>
  <r>
    <n v="7"/>
    <s v="Morning"/>
    <b v="0"/>
    <s v="Thursday"/>
    <s v="Clear Weather"/>
    <n v="0.12"/>
    <n v="0.14000000000000001"/>
    <x v="20"/>
    <x v="9"/>
    <x v="5"/>
    <x v="132"/>
    <x v="90"/>
  </r>
  <r>
    <n v="8"/>
    <s v="Morning"/>
    <b v="0"/>
    <s v="Thursday"/>
    <s v="Clear Weather"/>
    <n v="0.12"/>
    <n v="0.14000000000000001"/>
    <x v="20"/>
    <x v="11"/>
    <x v="17"/>
    <x v="103"/>
    <x v="104"/>
  </r>
  <r>
    <n v="9"/>
    <s v="Morning"/>
    <b v="0"/>
    <s v="Thursday"/>
    <s v="Clear Weather"/>
    <n v="0.14000000000000001"/>
    <n v="0.16"/>
    <x v="19"/>
    <x v="4"/>
    <x v="15"/>
    <x v="69"/>
    <x v="140"/>
  </r>
  <r>
    <n v="10"/>
    <s v="Morning"/>
    <b v="0"/>
    <s v="Thursday"/>
    <s v="Clear Weather"/>
    <n v="0.15"/>
    <n v="0.18"/>
    <x v="21"/>
    <x v="9"/>
    <x v="4"/>
    <x v="54"/>
    <x v="46"/>
  </r>
  <r>
    <n v="11"/>
    <s v="Morning"/>
    <b v="0"/>
    <s v="Thursday"/>
    <s v="Clear Weather"/>
    <n v="0.14000000000000001"/>
    <n v="0.18"/>
    <x v="21"/>
    <x v="10"/>
    <x v="14"/>
    <x v="11"/>
    <x v="37"/>
  </r>
  <r>
    <n v="12"/>
    <s v="Afternoon"/>
    <b v="0"/>
    <s v="Thursday"/>
    <s v="Clear Weather"/>
    <n v="0.18"/>
    <n v="0.2"/>
    <x v="22"/>
    <x v="11"/>
    <x v="4"/>
    <x v="28"/>
    <x v="83"/>
  </r>
  <r>
    <n v="13"/>
    <s v="Afternoon"/>
    <b v="0"/>
    <s v="Thursday"/>
    <s v="Clear Weather"/>
    <n v="0.17"/>
    <n v="0.2"/>
    <x v="22"/>
    <x v="12"/>
    <x v="17"/>
    <x v="12"/>
    <x v="41"/>
  </r>
  <r>
    <n v="14"/>
    <s v="Afternoon"/>
    <b v="0"/>
    <s v="Thursday"/>
    <s v="Clear Weather"/>
    <n v="0.2"/>
    <n v="0.22"/>
    <x v="38"/>
    <x v="13"/>
    <x v="17"/>
    <x v="30"/>
    <x v="105"/>
  </r>
  <r>
    <n v="15"/>
    <s v="Afternoon"/>
    <b v="0"/>
    <s v="Thursday"/>
    <s v="Clear Weather"/>
    <n v="0.2"/>
    <n v="0.22"/>
    <x v="38"/>
    <x v="9"/>
    <x v="17"/>
    <x v="90"/>
    <x v="122"/>
  </r>
  <r>
    <n v="16"/>
    <s v="Afternoon"/>
    <b v="0"/>
    <s v="Thursday"/>
    <s v="Clear Weather"/>
    <n v="0.21"/>
    <n v="0.22"/>
    <x v="38"/>
    <x v="2"/>
    <x v="2"/>
    <x v="26"/>
    <x v="53"/>
  </r>
  <r>
    <n v="17"/>
    <s v="Afternoon"/>
    <b v="0"/>
    <s v="Thursday"/>
    <s v="Clear Weather"/>
    <n v="0.2"/>
    <n v="0.2"/>
    <x v="22"/>
    <x v="5"/>
    <x v="2"/>
    <x v="162"/>
    <x v="172"/>
  </r>
  <r>
    <n v="18"/>
    <s v="Evening"/>
    <b v="0"/>
    <s v="Thursday"/>
    <s v="Clear Weather"/>
    <n v="0.21"/>
    <n v="0.2"/>
    <x v="22"/>
    <x v="8"/>
    <x v="4"/>
    <x v="142"/>
    <x v="173"/>
  </r>
  <r>
    <n v="19"/>
    <s v="Evening"/>
    <b v="0"/>
    <s v="Thursday"/>
    <s v="Clear Weather"/>
    <n v="0.26"/>
    <n v="0.2"/>
    <x v="22"/>
    <x v="0"/>
    <x v="17"/>
    <x v="50"/>
    <x v="152"/>
  </r>
  <r>
    <n v="20"/>
    <s v="Evening"/>
    <b v="0"/>
    <s v="Thursday"/>
    <s v="Clear Weather"/>
    <n v="0.23"/>
    <n v="0.2"/>
    <x v="19"/>
    <x v="1"/>
    <x v="5"/>
    <x v="123"/>
    <x v="142"/>
  </r>
  <r>
    <n v="21"/>
    <s v="Evening"/>
    <b v="0"/>
    <s v="Thursday"/>
    <s v="Clear Weather"/>
    <n v="0.21"/>
    <n v="0.18"/>
    <x v="28"/>
    <x v="14"/>
    <x v="5"/>
    <x v="42"/>
    <x v="60"/>
  </r>
  <r>
    <n v="22"/>
    <s v="Evening"/>
    <b v="0"/>
    <s v="Thursday"/>
    <s v="Clear Weather"/>
    <n v="0.21"/>
    <n v="0.18"/>
    <x v="33"/>
    <x v="1"/>
    <x v="4"/>
    <x v="87"/>
    <x v="102"/>
  </r>
  <r>
    <n v="23"/>
    <s v="Evening"/>
    <b v="0"/>
    <s v="Thursday"/>
    <s v="Clear Weather"/>
    <n v="0.23"/>
    <n v="0.2"/>
    <x v="19"/>
    <x v="14"/>
    <x v="17"/>
    <x v="60"/>
    <x v="103"/>
  </r>
  <r>
    <n v="0"/>
    <s v="Night"/>
    <b v="0"/>
    <s v="Friday"/>
    <s v="Light Rain"/>
    <n v="0.26"/>
    <n v="0.2"/>
    <x v="18"/>
    <x v="0"/>
    <x v="0"/>
    <x v="3"/>
    <x v="3"/>
  </r>
  <r>
    <n v="1"/>
    <s v="Night"/>
    <b v="0"/>
    <s v="Friday"/>
    <s v="Light Rain"/>
    <n v="0.23"/>
    <n v="0.16"/>
    <x v="29"/>
    <x v="0"/>
    <x v="3"/>
    <x v="7"/>
    <x v="85"/>
  </r>
  <r>
    <n v="2"/>
    <s v="Night"/>
    <b v="0"/>
    <s v="Friday"/>
    <s v="Light Rain"/>
    <n v="0.17"/>
    <n v="0.14000000000000001"/>
    <x v="30"/>
    <x v="14"/>
    <x v="3"/>
    <x v="4"/>
    <x v="4"/>
  </r>
  <r>
    <n v="3"/>
    <s v="Night"/>
    <b v="0"/>
    <s v="Friday"/>
    <s v="Light Rain"/>
    <n v="0.17"/>
    <n v="0.14000000000000001"/>
    <x v="30"/>
    <x v="14"/>
    <x v="3"/>
    <x v="4"/>
    <x v="4"/>
  </r>
  <r>
    <n v="5"/>
    <s v="Night"/>
    <b v="0"/>
    <s v="Friday"/>
    <s v="Light Rain"/>
    <n v="0.15"/>
    <n v="0.14000000000000001"/>
    <x v="30"/>
    <x v="7"/>
    <x v="3"/>
    <x v="7"/>
    <x v="85"/>
  </r>
  <r>
    <n v="6"/>
    <s v="Morning"/>
    <b v="0"/>
    <s v="Friday"/>
    <s v="Light Rain"/>
    <n v="0.23"/>
    <n v="0.16"/>
    <x v="28"/>
    <x v="0"/>
    <x v="4"/>
    <x v="16"/>
    <x v="20"/>
  </r>
  <r>
    <n v="7"/>
    <s v="Morning"/>
    <b v="0"/>
    <s v="Friday"/>
    <s v="Clear Weather"/>
    <n v="0.21"/>
    <n v="0.14000000000000001"/>
    <x v="29"/>
    <x v="0"/>
    <x v="3"/>
    <x v="61"/>
    <x v="90"/>
  </r>
  <r>
    <n v="8"/>
    <s v="Morning"/>
    <b v="0"/>
    <s v="Friday"/>
    <s v="Clear Weather"/>
    <n v="0.15"/>
    <n v="0.14000000000000001"/>
    <x v="32"/>
    <x v="7"/>
    <x v="0"/>
    <x v="163"/>
    <x v="174"/>
  </r>
  <r>
    <n v="9"/>
    <s v="Morning"/>
    <b v="0"/>
    <s v="Friday"/>
    <s v="Light Rain"/>
    <n v="0.18"/>
    <n v="0.16"/>
    <x v="1"/>
    <x v="7"/>
    <x v="0"/>
    <x v="125"/>
    <x v="175"/>
  </r>
  <r>
    <n v="10"/>
    <s v="Morning"/>
    <b v="0"/>
    <s v="Friday"/>
    <s v="Light Rain"/>
    <n v="0.21"/>
    <n v="0.2"/>
    <x v="33"/>
    <x v="7"/>
    <x v="2"/>
    <x v="24"/>
    <x v="41"/>
  </r>
  <r>
    <n v="11"/>
    <s v="Morning"/>
    <b v="0"/>
    <s v="Friday"/>
    <s v="Clear Weather"/>
    <n v="0.23"/>
    <n v="0.22"/>
    <x v="33"/>
    <x v="8"/>
    <x v="0"/>
    <x v="124"/>
    <x v="37"/>
  </r>
  <r>
    <n v="12"/>
    <s v="Afternoon"/>
    <b v="0"/>
    <s v="Friday"/>
    <s v="Light Rain"/>
    <n v="0.24"/>
    <n v="0.24"/>
    <x v="37"/>
    <x v="8"/>
    <x v="1"/>
    <x v="78"/>
    <x v="80"/>
  </r>
  <r>
    <n v="13"/>
    <s v="Afternoon"/>
    <b v="0"/>
    <s v="Friday"/>
    <s v="Light Rain"/>
    <n v="0.26"/>
    <n v="0.26"/>
    <x v="20"/>
    <x v="6"/>
    <x v="14"/>
    <x v="26"/>
    <x v="100"/>
  </r>
  <r>
    <n v="14"/>
    <s v="Afternoon"/>
    <b v="0"/>
    <s v="Friday"/>
    <s v="Light Rain"/>
    <n v="0.27"/>
    <n v="0.28000000000000003"/>
    <x v="49"/>
    <x v="8"/>
    <x v="13"/>
    <x v="83"/>
    <x v="134"/>
  </r>
  <r>
    <n v="15"/>
    <s v="Afternoon"/>
    <b v="0"/>
    <s v="Friday"/>
    <s v="Light Rain"/>
    <n v="0.27"/>
    <n v="0.28000000000000003"/>
    <x v="37"/>
    <x v="2"/>
    <x v="14"/>
    <x v="38"/>
    <x v="127"/>
  </r>
  <r>
    <n v="16"/>
    <s v="Afternoon"/>
    <b v="0"/>
    <s v="Friday"/>
    <s v="Light Rain"/>
    <n v="0.28999999999999998"/>
    <n v="0.3"/>
    <x v="16"/>
    <x v="6"/>
    <x v="1"/>
    <x v="164"/>
    <x v="111"/>
  </r>
  <r>
    <n v="17"/>
    <s v="Afternoon"/>
    <b v="0"/>
    <s v="Friday"/>
    <s v="Light Rain"/>
    <n v="0.27"/>
    <n v="0.26"/>
    <x v="34"/>
    <x v="7"/>
    <x v="22"/>
    <x v="165"/>
    <x v="176"/>
  </r>
  <r>
    <n v="18"/>
    <s v="Evening"/>
    <b v="0"/>
    <s v="Friday"/>
    <s v="Light Rain"/>
    <n v="0.26"/>
    <n v="0.24"/>
    <x v="54"/>
    <x v="14"/>
    <x v="0"/>
    <x v="166"/>
    <x v="107"/>
  </r>
  <r>
    <n v="19"/>
    <s v="Evening"/>
    <b v="0"/>
    <s v="Friday"/>
    <s v="Light Rain"/>
    <n v="0.24"/>
    <n v="0.24"/>
    <x v="55"/>
    <x v="7"/>
    <x v="5"/>
    <x v="46"/>
    <x v="153"/>
  </r>
  <r>
    <n v="20"/>
    <s v="Evening"/>
    <b v="0"/>
    <s v="Friday"/>
    <s v="Light Rain"/>
    <n v="0.24"/>
    <n v="0.24"/>
    <x v="55"/>
    <x v="8"/>
    <x v="4"/>
    <x v="94"/>
    <x v="68"/>
  </r>
  <r>
    <n v="21"/>
    <s v="Evening"/>
    <b v="0"/>
    <s v="Friday"/>
    <s v="Light Rain"/>
    <n v="0.24"/>
    <n v="0.24"/>
    <x v="56"/>
    <x v="8"/>
    <x v="4"/>
    <x v="40"/>
    <x v="74"/>
  </r>
  <r>
    <n v="22"/>
    <s v="Evening"/>
    <b v="0"/>
    <s v="Friday"/>
    <s v="Light Rain"/>
    <n v="0.24"/>
    <n v="0.24"/>
    <x v="55"/>
    <x v="8"/>
    <x v="5"/>
    <x v="108"/>
    <x v="66"/>
  </r>
  <r>
    <n v="23"/>
    <s v="Evening"/>
    <b v="0"/>
    <s v="Friday"/>
    <s v="Light Rain"/>
    <n v="0.24"/>
    <n v="0.24"/>
    <x v="56"/>
    <x v="7"/>
    <x v="5"/>
    <x v="10"/>
    <x v="35"/>
  </r>
  <r>
    <n v="0"/>
    <s v="Night"/>
    <b v="0"/>
    <s v="Saturday"/>
    <s v="Light Rain"/>
    <n v="0.24"/>
    <n v="0.24"/>
    <x v="56"/>
    <x v="8"/>
    <x v="0"/>
    <x v="49"/>
    <x v="21"/>
  </r>
  <r>
    <n v="1"/>
    <s v="Night"/>
    <b v="0"/>
    <s v="Saturday"/>
    <s v="Light Rain"/>
    <n v="0.24"/>
    <n v="0.24"/>
    <x v="55"/>
    <x v="8"/>
    <x v="5"/>
    <x v="19"/>
    <x v="109"/>
  </r>
  <r>
    <n v="2"/>
    <s v="Night"/>
    <b v="0"/>
    <s v="Saturday"/>
    <s v="Light Rain"/>
    <n v="0.24"/>
    <n v="0.24"/>
    <x v="2"/>
    <x v="8"/>
    <x v="2"/>
    <x v="98"/>
    <x v="22"/>
  </r>
  <r>
    <n v="3"/>
    <s v="Night"/>
    <b v="0"/>
    <s v="Saturday"/>
    <s v="Light Rain"/>
    <n v="0.24"/>
    <n v="0.24"/>
    <x v="2"/>
    <x v="8"/>
    <x v="5"/>
    <x v="3"/>
    <x v="62"/>
  </r>
  <r>
    <n v="4"/>
    <s v="Night"/>
    <b v="0"/>
    <s v="Saturday"/>
    <s v="Heavy Rain"/>
    <n v="0.23"/>
    <n v="0.22"/>
    <x v="43"/>
    <x v="7"/>
    <x v="3"/>
    <x v="21"/>
    <x v="7"/>
  </r>
  <r>
    <n v="5"/>
    <s v="Night"/>
    <b v="0"/>
    <s v="Saturday"/>
    <s v="Heavy Rain"/>
    <n v="0.23"/>
    <n v="0.2"/>
    <x v="11"/>
    <x v="1"/>
    <x v="3"/>
    <x v="33"/>
    <x v="23"/>
  </r>
  <r>
    <n v="6"/>
    <s v="Morning"/>
    <b v="0"/>
    <s v="Saturday"/>
    <s v="Heavy Rain"/>
    <n v="0.26"/>
    <n v="0.2"/>
    <x v="11"/>
    <x v="0"/>
    <x v="3"/>
    <x v="22"/>
    <x v="48"/>
  </r>
  <r>
    <n v="7"/>
    <s v="Morning"/>
    <b v="0"/>
    <s v="Saturday"/>
    <s v="Heavy Rain"/>
    <n v="0.26"/>
    <n v="0.22"/>
    <x v="43"/>
    <x v="1"/>
    <x v="3"/>
    <x v="22"/>
    <x v="48"/>
  </r>
  <r>
    <n v="8"/>
    <s v="Morning"/>
    <b v="0"/>
    <s v="Saturday"/>
    <s v="Heavy Rain"/>
    <n v="0.23"/>
    <n v="0.2"/>
    <x v="11"/>
    <x v="1"/>
    <x v="3"/>
    <x v="3"/>
    <x v="98"/>
  </r>
  <r>
    <n v="9"/>
    <s v="Morning"/>
    <b v="0"/>
    <s v="Saturday"/>
    <s v="Heavy Rain"/>
    <n v="0.23"/>
    <n v="0.2"/>
    <x v="11"/>
    <x v="1"/>
    <x v="0"/>
    <x v="19"/>
    <x v="25"/>
  </r>
  <r>
    <n v="10"/>
    <s v="Morning"/>
    <b v="0"/>
    <s v="Saturday"/>
    <s v="Heavy Rain"/>
    <n v="0.21"/>
    <n v="0.2"/>
    <x v="11"/>
    <x v="7"/>
    <x v="0"/>
    <x v="17"/>
    <x v="19"/>
  </r>
  <r>
    <n v="11"/>
    <s v="Morning"/>
    <b v="0"/>
    <s v="Saturday"/>
    <s v="Heavy Rain"/>
    <n v="0.23"/>
    <n v="0.22"/>
    <x v="11"/>
    <x v="7"/>
    <x v="5"/>
    <x v="24"/>
    <x v="105"/>
  </r>
  <r>
    <n v="12"/>
    <s v="Afternoon"/>
    <b v="0"/>
    <s v="Saturday"/>
    <s v="Heavy Rain"/>
    <n v="0.23"/>
    <n v="0.22"/>
    <x v="11"/>
    <x v="8"/>
    <x v="22"/>
    <x v="76"/>
    <x v="46"/>
  </r>
  <r>
    <n v="13"/>
    <s v="Afternoon"/>
    <b v="0"/>
    <s v="Saturday"/>
    <s v="Heavy Rain"/>
    <n v="0.23"/>
    <n v="0.22"/>
    <x v="11"/>
    <x v="8"/>
    <x v="22"/>
    <x v="133"/>
    <x v="44"/>
  </r>
  <r>
    <n v="14"/>
    <s v="Afternoon"/>
    <b v="0"/>
    <s v="Saturday"/>
    <s v="Heavy Rain"/>
    <n v="0.27"/>
    <n v="0.22"/>
    <x v="11"/>
    <x v="0"/>
    <x v="2"/>
    <x v="54"/>
    <x v="97"/>
  </r>
  <r>
    <n v="15"/>
    <s v="Afternoon"/>
    <b v="0"/>
    <s v="Saturday"/>
    <s v="Heavy Rain"/>
    <n v="0.27"/>
    <n v="0.22"/>
    <x v="11"/>
    <x v="0"/>
    <x v="16"/>
    <x v="47"/>
    <x v="122"/>
  </r>
  <r>
    <n v="16"/>
    <s v="Afternoon"/>
    <b v="0"/>
    <s v="Saturday"/>
    <s v="Heavy Rain"/>
    <n v="0.23"/>
    <n v="0.22"/>
    <x v="11"/>
    <x v="7"/>
    <x v="1"/>
    <x v="36"/>
    <x v="68"/>
  </r>
  <r>
    <n v="17"/>
    <s v="Afternoon"/>
    <b v="0"/>
    <s v="Saturday"/>
    <s v="Light Rain"/>
    <n v="0.21"/>
    <n v="0.24"/>
    <x v="11"/>
    <x v="3"/>
    <x v="24"/>
    <x v="27"/>
    <x v="53"/>
  </r>
  <r>
    <n v="18"/>
    <s v="Evening"/>
    <b v="0"/>
    <s v="Saturday"/>
    <s v="Light Rain"/>
    <n v="0.24"/>
    <n v="0.28000000000000003"/>
    <x v="43"/>
    <x v="10"/>
    <x v="4"/>
    <x v="38"/>
    <x v="56"/>
  </r>
  <r>
    <n v="19"/>
    <s v="Evening"/>
    <b v="0"/>
    <s v="Saturday"/>
    <s v="Light Rain"/>
    <n v="0.24"/>
    <n v="0.28000000000000003"/>
    <x v="43"/>
    <x v="10"/>
    <x v="15"/>
    <x v="78"/>
    <x v="11"/>
  </r>
  <r>
    <n v="20"/>
    <s v="Evening"/>
    <b v="0"/>
    <s v="Saturday"/>
    <s v="Clear Weather"/>
    <n v="0.28999999999999998"/>
    <n v="0.3"/>
    <x v="9"/>
    <x v="2"/>
    <x v="2"/>
    <x v="27"/>
    <x v="83"/>
  </r>
  <r>
    <n v="21"/>
    <s v="Evening"/>
    <b v="0"/>
    <s v="Saturday"/>
    <s v="Clear Weather"/>
    <n v="0.26"/>
    <n v="0.26"/>
    <x v="11"/>
    <x v="5"/>
    <x v="0"/>
    <x v="42"/>
    <x v="10"/>
  </r>
  <r>
    <n v="22"/>
    <s v="Evening"/>
    <b v="0"/>
    <s v="Saturday"/>
    <s v="Clear Weather"/>
    <n v="0.27"/>
    <n v="0.26"/>
    <x v="43"/>
    <x v="7"/>
    <x v="4"/>
    <x v="30"/>
    <x v="79"/>
  </r>
  <r>
    <n v="23"/>
    <s v="Evening"/>
    <b v="0"/>
    <s v="Saturday"/>
    <s v="Clear Weather"/>
    <n v="0.26"/>
    <n v="0.26"/>
    <x v="43"/>
    <x v="6"/>
    <x v="18"/>
    <x v="15"/>
    <x v="29"/>
  </r>
  <r>
    <n v="0"/>
    <s v="Night"/>
    <b v="0"/>
    <s v="Sunday"/>
    <s v="Clear Weather"/>
    <n v="0.26"/>
    <n v="0.26"/>
    <x v="56"/>
    <x v="5"/>
    <x v="4"/>
    <x v="53"/>
    <x v="21"/>
  </r>
  <r>
    <n v="1"/>
    <s v="Night"/>
    <b v="0"/>
    <s v="Sunday"/>
    <s v="Clear Weather"/>
    <n v="0.23"/>
    <n v="0.26"/>
    <x v="55"/>
    <x v="12"/>
    <x v="17"/>
    <x v="71"/>
    <x v="40"/>
  </r>
  <r>
    <n v="2"/>
    <s v="Night"/>
    <b v="0"/>
    <s v="Sunday"/>
    <s v="Clear Weather"/>
    <n v="0.23"/>
    <n v="0.26"/>
    <x v="54"/>
    <x v="9"/>
    <x v="3"/>
    <x v="32"/>
    <x v="25"/>
  </r>
  <r>
    <n v="3"/>
    <s v="Night"/>
    <b v="0"/>
    <s v="Sunday"/>
    <s v="Clear Weather"/>
    <n v="0.28999999999999998"/>
    <n v="0.26"/>
    <x v="54"/>
    <x v="1"/>
    <x v="0"/>
    <x v="3"/>
    <x v="3"/>
  </r>
  <r>
    <n v="4"/>
    <s v="Night"/>
    <b v="0"/>
    <s v="Sunday"/>
    <s v="Clear Weather"/>
    <n v="0.23"/>
    <n v="0.26"/>
    <x v="54"/>
    <x v="11"/>
    <x v="3"/>
    <x v="6"/>
    <x v="5"/>
  </r>
  <r>
    <n v="5"/>
    <s v="Night"/>
    <b v="0"/>
    <s v="Sunday"/>
    <s v="Clear Weather"/>
    <n v="0.26"/>
    <n v="0.26"/>
    <x v="54"/>
    <x v="6"/>
    <x v="3"/>
    <x v="4"/>
    <x v="4"/>
  </r>
  <r>
    <n v="6"/>
    <s v="Morning"/>
    <b v="0"/>
    <s v="Sunday"/>
    <s v="Clear Weather"/>
    <n v="0.26"/>
    <n v="0.26"/>
    <x v="54"/>
    <x v="6"/>
    <x v="3"/>
    <x v="4"/>
    <x v="4"/>
  </r>
  <r>
    <n v="7"/>
    <s v="Morning"/>
    <b v="0"/>
    <s v="Sunday"/>
    <s v="Clear Weather"/>
    <n v="0.24"/>
    <n v="0.24"/>
    <x v="55"/>
    <x v="8"/>
    <x v="3"/>
    <x v="21"/>
    <x v="7"/>
  </r>
  <r>
    <n v="8"/>
    <s v="Morning"/>
    <b v="0"/>
    <s v="Sunday"/>
    <s v="Clear Weather"/>
    <n v="0.26"/>
    <n v="0.24"/>
    <x v="55"/>
    <x v="14"/>
    <x v="4"/>
    <x v="144"/>
    <x v="84"/>
  </r>
  <r>
    <n v="9"/>
    <s v="Morning"/>
    <b v="0"/>
    <s v="Sunday"/>
    <s v="Clear Weather"/>
    <n v="0.28999999999999998"/>
    <n v="0.28000000000000003"/>
    <x v="34"/>
    <x v="14"/>
    <x v="18"/>
    <x v="101"/>
    <x v="79"/>
  </r>
  <r>
    <n v="10"/>
    <s v="Morning"/>
    <b v="0"/>
    <s v="Sunday"/>
    <s v="Clear Weather"/>
    <n v="0.28999999999999998"/>
    <n v="0.3"/>
    <x v="35"/>
    <x v="2"/>
    <x v="13"/>
    <x v="64"/>
    <x v="70"/>
  </r>
  <r>
    <n v="11"/>
    <s v="Morning"/>
    <b v="0"/>
    <s v="Sunday"/>
    <s v="Clear Weather"/>
    <n v="0.3"/>
    <n v="0.32"/>
    <x v="36"/>
    <x v="2"/>
    <x v="32"/>
    <x v="121"/>
    <x v="126"/>
  </r>
  <r>
    <n v="12"/>
    <s v="Afternoon"/>
    <b v="0"/>
    <s v="Sunday"/>
    <s v="Clear Weather"/>
    <n v="0.33"/>
    <n v="0.34"/>
    <x v="15"/>
    <x v="0"/>
    <x v="33"/>
    <x v="167"/>
    <x v="177"/>
  </r>
  <r>
    <n v="13"/>
    <s v="Afternoon"/>
    <b v="0"/>
    <s v="Sunday"/>
    <s v="Clear Weather"/>
    <n v="0.36"/>
    <n v="0.34"/>
    <x v="15"/>
    <x v="0"/>
    <x v="9"/>
    <x v="113"/>
    <x v="58"/>
  </r>
  <r>
    <n v="14"/>
    <s v="Afternoon"/>
    <b v="0"/>
    <s v="Sunday"/>
    <s v="Clear Weather"/>
    <n v="0.35"/>
    <n v="0.34"/>
    <x v="15"/>
    <x v="1"/>
    <x v="9"/>
    <x v="156"/>
    <x v="143"/>
  </r>
  <r>
    <n v="15"/>
    <s v="Afternoon"/>
    <b v="0"/>
    <s v="Sunday"/>
    <s v="Clear Weather"/>
    <n v="0.35"/>
    <n v="0.34"/>
    <x v="15"/>
    <x v="1"/>
    <x v="34"/>
    <x v="110"/>
    <x v="58"/>
  </r>
  <r>
    <n v="16"/>
    <s v="Afternoon"/>
    <b v="0"/>
    <s v="Sunday"/>
    <s v="Clear Weather"/>
    <n v="0.35"/>
    <n v="0.34"/>
    <x v="36"/>
    <x v="14"/>
    <x v="35"/>
    <x v="168"/>
    <x v="45"/>
  </r>
  <r>
    <n v="17"/>
    <s v="Afternoon"/>
    <b v="0"/>
    <s v="Sunday"/>
    <s v="Clear Weather"/>
    <n v="0.36"/>
    <n v="0.34"/>
    <x v="15"/>
    <x v="0"/>
    <x v="31"/>
    <x v="106"/>
    <x v="178"/>
  </r>
  <r>
    <n v="18"/>
    <s v="Evening"/>
    <b v="0"/>
    <s v="Sunday"/>
    <s v="Clear Weather"/>
    <n v="0.3"/>
    <n v="0.3"/>
    <x v="34"/>
    <x v="8"/>
    <x v="23"/>
    <x v="65"/>
    <x v="53"/>
  </r>
  <r>
    <n v="19"/>
    <s v="Evening"/>
    <b v="0"/>
    <s v="Sunday"/>
    <s v="Clear Weather"/>
    <n v="0.28999999999999998"/>
    <n v="0.28000000000000003"/>
    <x v="53"/>
    <x v="7"/>
    <x v="5"/>
    <x v="32"/>
    <x v="137"/>
  </r>
  <r>
    <n v="20"/>
    <s v="Evening"/>
    <b v="0"/>
    <s v="Sunday"/>
    <s v="Clear Weather"/>
    <n v="0.28999999999999998"/>
    <n v="0.28000000000000003"/>
    <x v="53"/>
    <x v="14"/>
    <x v="2"/>
    <x v="144"/>
    <x v="132"/>
  </r>
  <r>
    <n v="21"/>
    <s v="Evening"/>
    <b v="0"/>
    <s v="Sunday"/>
    <s v="Clear Weather"/>
    <n v="0.3"/>
    <n v="0.26"/>
    <x v="54"/>
    <x v="0"/>
    <x v="2"/>
    <x v="97"/>
    <x v="110"/>
  </r>
  <r>
    <n v="22"/>
    <s v="Evening"/>
    <b v="0"/>
    <s v="Sunday"/>
    <s v="Clear Weather"/>
    <n v="0.3"/>
    <n v="0.26"/>
    <x v="54"/>
    <x v="0"/>
    <x v="2"/>
    <x v="77"/>
    <x v="69"/>
  </r>
  <r>
    <n v="23"/>
    <s v="Evening"/>
    <b v="0"/>
    <s v="Sunday"/>
    <s v="Clear Weather"/>
    <n v="0.28999999999999998"/>
    <n v="0.24"/>
    <x v="55"/>
    <x v="0"/>
    <x v="17"/>
    <x v="16"/>
    <x v="33"/>
  </r>
  <r>
    <n v="0"/>
    <s v="Night"/>
    <b v="0"/>
    <s v="Monday"/>
    <s v="Clear Weather"/>
    <n v="0.28999999999999998"/>
    <n v="0.24"/>
    <x v="55"/>
    <x v="0"/>
    <x v="5"/>
    <x v="88"/>
    <x v="93"/>
  </r>
  <r>
    <n v="1"/>
    <s v="Night"/>
    <b v="0"/>
    <s v="Monday"/>
    <s v="Clear Weather"/>
    <n v="0.27"/>
    <n v="0.22"/>
    <x v="2"/>
    <x v="0"/>
    <x v="5"/>
    <x v="22"/>
    <x v="36"/>
  </r>
  <r>
    <n v="2"/>
    <s v="Night"/>
    <b v="0"/>
    <s v="Monday"/>
    <s v="Clear Weather"/>
    <n v="0.26"/>
    <n v="0.2"/>
    <x v="1"/>
    <x v="0"/>
    <x v="3"/>
    <x v="35"/>
    <x v="6"/>
  </r>
  <r>
    <n v="3"/>
    <s v="Night"/>
    <b v="0"/>
    <s v="Monday"/>
    <s v="Clear Weather"/>
    <n v="0.26"/>
    <n v="0.2"/>
    <x v="3"/>
    <x v="0"/>
    <x v="3"/>
    <x v="4"/>
    <x v="4"/>
  </r>
  <r>
    <n v="4"/>
    <s v="Night"/>
    <b v="0"/>
    <s v="Monday"/>
    <s v="Clear Weather"/>
    <n v="0.26"/>
    <n v="0.2"/>
    <x v="3"/>
    <x v="0"/>
    <x v="5"/>
    <x v="4"/>
    <x v="5"/>
  </r>
  <r>
    <n v="5"/>
    <s v="Night"/>
    <b v="0"/>
    <s v="Monday"/>
    <s v="Clear Weather"/>
    <n v="0.26"/>
    <n v="0.2"/>
    <x v="3"/>
    <x v="0"/>
    <x v="5"/>
    <x v="33"/>
    <x v="98"/>
  </r>
  <r>
    <n v="6"/>
    <s v="Morning"/>
    <b v="0"/>
    <s v="Monday"/>
    <s v="Clear Weather"/>
    <n v="0.24"/>
    <n v="0.18"/>
    <x v="43"/>
    <x v="0"/>
    <x v="5"/>
    <x v="31"/>
    <x v="33"/>
  </r>
  <r>
    <n v="7"/>
    <s v="Morning"/>
    <b v="0"/>
    <s v="Monday"/>
    <s v="Clear Weather"/>
    <n v="0.24"/>
    <n v="0.18"/>
    <x v="3"/>
    <x v="0"/>
    <x v="15"/>
    <x v="121"/>
    <x v="76"/>
  </r>
  <r>
    <n v="8"/>
    <s v="Morning"/>
    <b v="0"/>
    <s v="Monday"/>
    <s v="Light Rain"/>
    <n v="0.23"/>
    <n v="0.16"/>
    <x v="11"/>
    <x v="0"/>
    <x v="18"/>
    <x v="169"/>
    <x v="179"/>
  </r>
  <r>
    <n v="9"/>
    <s v="Morning"/>
    <b v="0"/>
    <s v="Monday"/>
    <s v="Clear Weather"/>
    <n v="0.27"/>
    <n v="0.22"/>
    <x v="1"/>
    <x v="0"/>
    <x v="0"/>
    <x v="168"/>
    <x v="130"/>
  </r>
  <r>
    <n v="10"/>
    <s v="Morning"/>
    <b v="0"/>
    <s v="Monday"/>
    <s v="Clear Weather"/>
    <n v="0.26"/>
    <n v="0.24"/>
    <x v="2"/>
    <x v="14"/>
    <x v="15"/>
    <x v="47"/>
    <x v="97"/>
  </r>
  <r>
    <n v="11"/>
    <s v="Morning"/>
    <b v="0"/>
    <s v="Monday"/>
    <s v="Clear Weather"/>
    <n v="0.32"/>
    <n v="0.3"/>
    <x v="55"/>
    <x v="1"/>
    <x v="16"/>
    <x v="49"/>
    <x v="105"/>
  </r>
  <r>
    <n v="12"/>
    <s v="Afternoon"/>
    <b v="0"/>
    <s v="Monday"/>
    <s v="Light Rain"/>
    <n v="0.35"/>
    <n v="0.32"/>
    <x v="51"/>
    <x v="0"/>
    <x v="18"/>
    <x v="79"/>
    <x v="180"/>
  </r>
  <r>
    <n v="13"/>
    <s v="Afternoon"/>
    <b v="0"/>
    <s v="Monday"/>
    <s v="Light Rain"/>
    <n v="0.36"/>
    <n v="0.36"/>
    <x v="14"/>
    <x v="1"/>
    <x v="22"/>
    <x v="25"/>
    <x v="37"/>
  </r>
  <r>
    <n v="14"/>
    <s v="Afternoon"/>
    <b v="0"/>
    <s v="Monday"/>
    <s v="Light Rain"/>
    <n v="0.36"/>
    <n v="0.36"/>
    <x v="14"/>
    <x v="1"/>
    <x v="1"/>
    <x v="15"/>
    <x v="122"/>
  </r>
  <r>
    <n v="15"/>
    <s v="Afternoon"/>
    <b v="0"/>
    <s v="Monday"/>
    <s v="Light Rain"/>
    <n v="0.39"/>
    <n v="0.38"/>
    <x v="47"/>
    <x v="1"/>
    <x v="17"/>
    <x v="24"/>
    <x v="89"/>
  </r>
  <r>
    <n v="16"/>
    <s v="Afternoon"/>
    <b v="0"/>
    <s v="Monday"/>
    <s v="Light Rain"/>
    <n v="0.35"/>
    <n v="0.36"/>
    <x v="14"/>
    <x v="7"/>
    <x v="19"/>
    <x v="52"/>
    <x v="181"/>
  </r>
  <r>
    <n v="17"/>
    <s v="Afternoon"/>
    <b v="0"/>
    <s v="Monday"/>
    <s v="Light Rain"/>
    <n v="0.32"/>
    <n v="0.32"/>
    <x v="56"/>
    <x v="8"/>
    <x v="14"/>
    <x v="134"/>
    <x v="182"/>
  </r>
  <r>
    <n v="18"/>
    <s v="Evening"/>
    <b v="0"/>
    <s v="Monday"/>
    <s v="Light Rain"/>
    <n v="0.33"/>
    <n v="0.34"/>
    <x v="13"/>
    <x v="7"/>
    <x v="2"/>
    <x v="162"/>
    <x v="172"/>
  </r>
  <r>
    <n v="19"/>
    <s v="Evening"/>
    <b v="0"/>
    <s v="Monday"/>
    <s v="Light Rain"/>
    <n v="0.35"/>
    <n v="0.32"/>
    <x v="56"/>
    <x v="0"/>
    <x v="2"/>
    <x v="170"/>
    <x v="116"/>
  </r>
  <r>
    <n v="20"/>
    <s v="Evening"/>
    <b v="0"/>
    <s v="Monday"/>
    <s v="Light Rain"/>
    <n v="0.33"/>
    <n v="0.32"/>
    <x v="56"/>
    <x v="14"/>
    <x v="15"/>
    <x v="70"/>
    <x v="39"/>
  </r>
  <r>
    <n v="21"/>
    <s v="Evening"/>
    <b v="0"/>
    <s v="Monday"/>
    <s v="Clear Weather"/>
    <n v="0.35"/>
    <n v="0.32"/>
    <x v="56"/>
    <x v="0"/>
    <x v="0"/>
    <x v="102"/>
    <x v="53"/>
  </r>
  <r>
    <n v="22"/>
    <s v="Evening"/>
    <b v="0"/>
    <s v="Monday"/>
    <s v="Clear Weather"/>
    <n v="0.3"/>
    <n v="0.28000000000000003"/>
    <x v="0"/>
    <x v="1"/>
    <x v="0"/>
    <x v="60"/>
    <x v="18"/>
  </r>
  <r>
    <n v="23"/>
    <s v="Evening"/>
    <b v="0"/>
    <s v="Monday"/>
    <s v="Light Rain"/>
    <n v="0.33"/>
    <n v="0.3"/>
    <x v="0"/>
    <x v="0"/>
    <x v="15"/>
    <x v="23"/>
    <x v="94"/>
  </r>
  <r>
    <n v="0"/>
    <s v="Night"/>
    <b v="0"/>
    <s v="Tuesday"/>
    <s v="Light Rain"/>
    <n v="0.32"/>
    <n v="0.28000000000000003"/>
    <x v="9"/>
    <x v="0"/>
    <x v="17"/>
    <x v="8"/>
    <x v="98"/>
  </r>
  <r>
    <n v="1"/>
    <s v="Night"/>
    <b v="0"/>
    <s v="Tuesday"/>
    <s v="Light Rain"/>
    <n v="0.32"/>
    <n v="0.28000000000000003"/>
    <x v="9"/>
    <x v="0"/>
    <x v="3"/>
    <x v="22"/>
    <x v="48"/>
  </r>
  <r>
    <n v="2"/>
    <s v="Night"/>
    <b v="0"/>
    <s v="Tuesday"/>
    <s v="Light Rain"/>
    <n v="0.27"/>
    <n v="0.26"/>
    <x v="43"/>
    <x v="14"/>
    <x v="5"/>
    <x v="4"/>
    <x v="5"/>
  </r>
  <r>
    <n v="3"/>
    <s v="Night"/>
    <b v="0"/>
    <s v="Tuesday"/>
    <s v="Heavy Rain"/>
    <n v="0.27"/>
    <n v="0.28000000000000003"/>
    <x v="43"/>
    <x v="8"/>
    <x v="3"/>
    <x v="4"/>
    <x v="4"/>
  </r>
  <r>
    <n v="4"/>
    <s v="Night"/>
    <b v="0"/>
    <s v="Tuesday"/>
    <s v="Clear Weather"/>
    <n v="0.26"/>
    <n v="0.26"/>
    <x v="43"/>
    <x v="8"/>
    <x v="3"/>
    <x v="35"/>
    <x v="6"/>
  </r>
  <r>
    <n v="5"/>
    <s v="Night"/>
    <b v="0"/>
    <s v="Tuesday"/>
    <s v="Clear Weather"/>
    <n v="0.23"/>
    <n v="0.26"/>
    <x v="0"/>
    <x v="9"/>
    <x v="3"/>
    <x v="6"/>
    <x v="5"/>
  </r>
  <r>
    <n v="6"/>
    <s v="Morning"/>
    <b v="0"/>
    <s v="Tuesday"/>
    <s v="Clear Weather"/>
    <n v="0.23"/>
    <n v="0.26"/>
    <x v="56"/>
    <x v="9"/>
    <x v="3"/>
    <x v="87"/>
    <x v="21"/>
  </r>
  <r>
    <n v="7"/>
    <s v="Morning"/>
    <b v="0"/>
    <s v="Tuesday"/>
    <s v="Clear Weather"/>
    <n v="0.2"/>
    <n v="0.24"/>
    <x v="55"/>
    <x v="12"/>
    <x v="0"/>
    <x v="106"/>
    <x v="50"/>
  </r>
  <r>
    <n v="8"/>
    <s v="Morning"/>
    <b v="0"/>
    <s v="Tuesday"/>
    <s v="Clear Weather"/>
    <n v="0.2"/>
    <n v="0.24"/>
    <x v="34"/>
    <x v="15"/>
    <x v="18"/>
    <x v="171"/>
    <x v="183"/>
  </r>
  <r>
    <n v="9"/>
    <s v="Morning"/>
    <b v="0"/>
    <s v="Tuesday"/>
    <s v="Clear Weather"/>
    <n v="0.2"/>
    <n v="0.24"/>
    <x v="35"/>
    <x v="15"/>
    <x v="18"/>
    <x v="172"/>
    <x v="169"/>
  </r>
  <r>
    <n v="10"/>
    <s v="Morning"/>
    <b v="0"/>
    <s v="Tuesday"/>
    <s v="Clear Weather"/>
    <n v="0.18"/>
    <n v="0.22"/>
    <x v="19"/>
    <x v="16"/>
    <x v="17"/>
    <x v="100"/>
    <x v="61"/>
  </r>
  <r>
    <n v="11"/>
    <s v="Morning"/>
    <b v="0"/>
    <s v="Tuesday"/>
    <s v="Clear Weather"/>
    <n v="0.18"/>
    <n v="0.22"/>
    <x v="19"/>
    <x v="17"/>
    <x v="5"/>
    <x v="47"/>
    <x v="89"/>
  </r>
  <r>
    <n v="12"/>
    <s v="Afternoon"/>
    <b v="0"/>
    <s v="Tuesday"/>
    <s v="Clear Weather"/>
    <n v="0.2"/>
    <n v="0.24"/>
    <x v="41"/>
    <x v="15"/>
    <x v="4"/>
    <x v="36"/>
    <x v="32"/>
  </r>
  <r>
    <n v="13"/>
    <s v="Afternoon"/>
    <b v="0"/>
    <s v="Tuesday"/>
    <s v="Light Rain"/>
    <n v="0.2"/>
    <n v="0.24"/>
    <x v="25"/>
    <x v="10"/>
    <x v="4"/>
    <x v="41"/>
    <x v="89"/>
  </r>
  <r>
    <n v="14"/>
    <s v="Afternoon"/>
    <b v="0"/>
    <s v="Tuesday"/>
    <s v="Clear Weather"/>
    <n v="0.2"/>
    <n v="0.22"/>
    <x v="38"/>
    <x v="12"/>
    <x v="0"/>
    <x v="124"/>
    <x v="37"/>
  </r>
  <r>
    <n v="15"/>
    <s v="Afternoon"/>
    <b v="0"/>
    <s v="Tuesday"/>
    <s v="Clear Weather"/>
    <n v="0.2"/>
    <n v="0.22"/>
    <x v="23"/>
    <x v="13"/>
    <x v="15"/>
    <x v="108"/>
    <x v="41"/>
  </r>
  <r>
    <n v="16"/>
    <s v="Afternoon"/>
    <b v="0"/>
    <s v="Tuesday"/>
    <s v="Clear Weather"/>
    <n v="0.18"/>
    <n v="0.22"/>
    <x v="23"/>
    <x v="18"/>
    <x v="17"/>
    <x v="55"/>
    <x v="56"/>
  </r>
  <r>
    <n v="17"/>
    <s v="Afternoon"/>
    <b v="0"/>
    <s v="Tuesday"/>
    <s v="Clear Weather"/>
    <n v="0.18"/>
    <n v="0.22"/>
    <x v="25"/>
    <x v="19"/>
    <x v="17"/>
    <x v="157"/>
    <x v="170"/>
  </r>
  <r>
    <n v="18"/>
    <s v="Evening"/>
    <b v="0"/>
    <s v="Tuesday"/>
    <s v="Clear Weather"/>
    <n v="0.18"/>
    <n v="0.2"/>
    <x v="25"/>
    <x v="13"/>
    <x v="5"/>
    <x v="137"/>
    <x v="148"/>
  </r>
  <r>
    <n v="19"/>
    <s v="Evening"/>
    <b v="0"/>
    <s v="Tuesday"/>
    <s v="Clear Weather"/>
    <n v="0.12"/>
    <n v="0.16"/>
    <x v="22"/>
    <x v="17"/>
    <x v="5"/>
    <x v="129"/>
    <x v="129"/>
  </r>
  <r>
    <n v="20"/>
    <s v="Evening"/>
    <b v="0"/>
    <s v="Tuesday"/>
    <s v="Clear Weather"/>
    <n v="0.14000000000000001"/>
    <n v="0.16"/>
    <x v="22"/>
    <x v="9"/>
    <x v="0"/>
    <x v="42"/>
    <x v="10"/>
  </r>
  <r>
    <n v="21"/>
    <s v="Evening"/>
    <b v="0"/>
    <s v="Tuesday"/>
    <s v="Clear Weather"/>
    <n v="0.11"/>
    <n v="0.14000000000000001"/>
    <x v="39"/>
    <x v="17"/>
    <x v="1"/>
    <x v="24"/>
    <x v="60"/>
  </r>
  <r>
    <n v="22"/>
    <s v="Evening"/>
    <b v="0"/>
    <s v="Tuesday"/>
    <s v="Clear Weather"/>
    <n v="0.11"/>
    <n v="0.12"/>
    <x v="39"/>
    <x v="11"/>
    <x v="3"/>
    <x v="31"/>
    <x v="115"/>
  </r>
  <r>
    <n v="23"/>
    <s v="Evening"/>
    <b v="0"/>
    <s v="Tuesday"/>
    <s v="Clear Weather"/>
    <n v="0.11"/>
    <n v="0.12"/>
    <x v="39"/>
    <x v="9"/>
    <x v="0"/>
    <x v="33"/>
    <x v="47"/>
  </r>
  <r>
    <n v="0"/>
    <s v="Night"/>
    <b v="0"/>
    <s v="Wednesday"/>
    <s v="Clear Weather"/>
    <n v="0.08"/>
    <n v="0.1"/>
    <x v="42"/>
    <x v="11"/>
    <x v="3"/>
    <x v="19"/>
    <x v="22"/>
  </r>
  <r>
    <n v="1"/>
    <s v="Night"/>
    <b v="0"/>
    <s v="Wednesday"/>
    <s v="Clear Weather"/>
    <n v="0.11"/>
    <n v="0.1"/>
    <x v="42"/>
    <x v="6"/>
    <x v="3"/>
    <x v="7"/>
    <x v="85"/>
  </r>
  <r>
    <n v="2"/>
    <s v="Night"/>
    <b v="0"/>
    <s v="Wednesday"/>
    <s v="Clear Weather"/>
    <n v="0.08"/>
    <n v="0.08"/>
    <x v="41"/>
    <x v="3"/>
    <x v="5"/>
    <x v="6"/>
    <x v="6"/>
  </r>
  <r>
    <n v="3"/>
    <s v="Night"/>
    <b v="0"/>
    <s v="Wednesday"/>
    <s v="Clear Weather"/>
    <n v="0.08"/>
    <n v="0.06"/>
    <x v="49"/>
    <x v="7"/>
    <x v="3"/>
    <x v="6"/>
    <x v="5"/>
  </r>
  <r>
    <n v="5"/>
    <s v="Night"/>
    <b v="0"/>
    <s v="Wednesday"/>
    <s v="Clear Weather"/>
    <n v="0.11"/>
    <n v="0.06"/>
    <x v="49"/>
    <x v="14"/>
    <x v="3"/>
    <x v="7"/>
    <x v="85"/>
  </r>
  <r>
    <n v="6"/>
    <s v="Morning"/>
    <b v="0"/>
    <s v="Wednesday"/>
    <s v="Clear Weather"/>
    <n v="0.15"/>
    <n v="0.06"/>
    <x v="49"/>
    <x v="0"/>
    <x v="3"/>
    <x v="30"/>
    <x v="74"/>
  </r>
  <r>
    <n v="7"/>
    <s v="Morning"/>
    <b v="0"/>
    <s v="Wednesday"/>
    <s v="Clear Weather"/>
    <n v="0.11"/>
    <n v="0.06"/>
    <x v="36"/>
    <x v="14"/>
    <x v="17"/>
    <x v="73"/>
    <x v="111"/>
  </r>
  <r>
    <n v="8"/>
    <s v="Morning"/>
    <b v="0"/>
    <s v="Wednesday"/>
    <s v="Clear Weather"/>
    <n v="0.14000000000000001"/>
    <n v="0.1"/>
    <x v="16"/>
    <x v="0"/>
    <x v="5"/>
    <x v="173"/>
    <x v="184"/>
  </r>
  <r>
    <n v="9"/>
    <s v="Morning"/>
    <b v="0"/>
    <s v="Wednesday"/>
    <s v="Clear Weather"/>
    <n v="0.14000000000000001"/>
    <n v="0.12"/>
    <x v="17"/>
    <x v="8"/>
    <x v="17"/>
    <x v="138"/>
    <x v="92"/>
  </r>
  <r>
    <n v="10"/>
    <s v="Morning"/>
    <b v="0"/>
    <s v="Wednesday"/>
    <s v="Clear Weather"/>
    <n v="0.18"/>
    <n v="0.14000000000000001"/>
    <x v="42"/>
    <x v="0"/>
    <x v="1"/>
    <x v="82"/>
    <x v="29"/>
  </r>
  <r>
    <n v="11"/>
    <s v="Morning"/>
    <b v="0"/>
    <s v="Wednesday"/>
    <s v="Light Rain"/>
    <n v="0.15"/>
    <n v="0.14000000000000001"/>
    <x v="21"/>
    <x v="8"/>
    <x v="5"/>
    <x v="71"/>
    <x v="102"/>
  </r>
  <r>
    <n v="12"/>
    <s v="Afternoon"/>
    <b v="0"/>
    <s v="Wednesday"/>
    <s v="Light Rain"/>
    <n v="0.18"/>
    <n v="0.18"/>
    <x v="22"/>
    <x v="6"/>
    <x v="17"/>
    <x v="77"/>
    <x v="42"/>
  </r>
  <r>
    <n v="13"/>
    <s v="Afternoon"/>
    <b v="0"/>
    <s v="Wednesday"/>
    <s v="Clear Weather"/>
    <n v="0.17"/>
    <n v="0.18"/>
    <x v="22"/>
    <x v="2"/>
    <x v="4"/>
    <x v="28"/>
    <x v="83"/>
  </r>
  <r>
    <n v="14"/>
    <s v="Afternoon"/>
    <b v="0"/>
    <s v="Wednesday"/>
    <s v="Clear Weather"/>
    <n v="0.18"/>
    <n v="0.2"/>
    <x v="46"/>
    <x v="4"/>
    <x v="4"/>
    <x v="90"/>
    <x v="154"/>
  </r>
  <r>
    <n v="15"/>
    <s v="Afternoon"/>
    <b v="0"/>
    <s v="Wednesday"/>
    <s v="Light Rain"/>
    <n v="0.18"/>
    <n v="0.2"/>
    <x v="46"/>
    <x v="3"/>
    <x v="0"/>
    <x v="124"/>
    <x v="37"/>
  </r>
  <r>
    <n v="16"/>
    <s v="Afternoon"/>
    <b v="0"/>
    <s v="Wednesday"/>
    <s v="Light Rain"/>
    <n v="0.2"/>
    <n v="0.2"/>
    <x v="38"/>
    <x v="2"/>
    <x v="18"/>
    <x v="109"/>
    <x v="67"/>
  </r>
  <r>
    <n v="17"/>
    <s v="Afternoon"/>
    <b v="0"/>
    <s v="Wednesday"/>
    <s v="Light Rain"/>
    <n v="0.2"/>
    <n v="0.2"/>
    <x v="46"/>
    <x v="2"/>
    <x v="14"/>
    <x v="174"/>
    <x v="150"/>
  </r>
  <r>
    <n v="18"/>
    <s v="Evening"/>
    <b v="0"/>
    <s v="Wednesday"/>
    <s v="Light Rain"/>
    <n v="0.17"/>
    <n v="0.18"/>
    <x v="19"/>
    <x v="4"/>
    <x v="4"/>
    <x v="175"/>
    <x v="185"/>
  </r>
  <r>
    <n v="19"/>
    <s v="Evening"/>
    <b v="0"/>
    <s v="Wednesday"/>
    <s v="Heavy Rain"/>
    <n v="0.12"/>
    <n v="0.14000000000000001"/>
    <x v="3"/>
    <x v="2"/>
    <x v="5"/>
    <x v="61"/>
    <x v="39"/>
  </r>
  <r>
    <n v="20"/>
    <s v="Evening"/>
    <b v="0"/>
    <s v="Wednesday"/>
    <s v="Heavy Rain"/>
    <n v="0.15"/>
    <n v="0.14000000000000001"/>
    <x v="3"/>
    <x v="8"/>
    <x v="3"/>
    <x v="151"/>
    <x v="11"/>
  </r>
  <r>
    <n v="21"/>
    <s v="Evening"/>
    <b v="0"/>
    <s v="Wednesday"/>
    <s v="Light Rain"/>
    <n v="0.15"/>
    <n v="0.14000000000000001"/>
    <x v="3"/>
    <x v="8"/>
    <x v="3"/>
    <x v="93"/>
    <x v="56"/>
  </r>
  <r>
    <n v="22"/>
    <s v="Evening"/>
    <b v="0"/>
    <s v="Wednesday"/>
    <s v="Heavy Rain"/>
    <n v="0.17"/>
    <n v="0.16"/>
    <x v="1"/>
    <x v="8"/>
    <x v="17"/>
    <x v="76"/>
    <x v="66"/>
  </r>
  <r>
    <n v="23"/>
    <s v="Evening"/>
    <b v="0"/>
    <s v="Wednesday"/>
    <s v="Heavy Rain"/>
    <n v="0.15"/>
    <n v="0.16"/>
    <x v="1"/>
    <x v="5"/>
    <x v="3"/>
    <x v="53"/>
    <x v="18"/>
  </r>
  <r>
    <n v="0"/>
    <s v="Night"/>
    <b v="0"/>
    <s v="Thursday"/>
    <s v="Heavy Rain"/>
    <n v="0.14000000000000001"/>
    <n v="0.14000000000000001"/>
    <x v="3"/>
    <x v="5"/>
    <x v="3"/>
    <x v="20"/>
    <x v="0"/>
  </r>
  <r>
    <n v="1"/>
    <s v="Night"/>
    <b v="0"/>
    <s v="Thursday"/>
    <s v="Heavy Rain"/>
    <n v="0.15"/>
    <n v="0.14000000000000001"/>
    <x v="1"/>
    <x v="7"/>
    <x v="3"/>
    <x v="7"/>
    <x v="85"/>
  </r>
  <r>
    <n v="2"/>
    <s v="Night"/>
    <b v="0"/>
    <s v="Thursday"/>
    <s v="Heavy Rain"/>
    <n v="0.15"/>
    <n v="0.14000000000000001"/>
    <x v="1"/>
    <x v="7"/>
    <x v="3"/>
    <x v="35"/>
    <x v="6"/>
  </r>
  <r>
    <n v="4"/>
    <s v="Night"/>
    <b v="0"/>
    <s v="Thursday"/>
    <s v="Light Rain"/>
    <n v="0.14000000000000001"/>
    <n v="0.14000000000000001"/>
    <x v="29"/>
    <x v="6"/>
    <x v="3"/>
    <x v="4"/>
    <x v="4"/>
  </r>
  <r>
    <n v="5"/>
    <s v="Night"/>
    <b v="0"/>
    <s v="Thursday"/>
    <s v="Light Rain"/>
    <n v="0.12"/>
    <n v="0.12"/>
    <x v="20"/>
    <x v="6"/>
    <x v="3"/>
    <x v="8"/>
    <x v="24"/>
  </r>
  <r>
    <n v="6"/>
    <s v="Morning"/>
    <b v="0"/>
    <s v="Thursday"/>
    <s v="Light Rain"/>
    <n v="0.12"/>
    <n v="0.12"/>
    <x v="47"/>
    <x v="3"/>
    <x v="3"/>
    <x v="16"/>
    <x v="132"/>
  </r>
  <r>
    <n v="7"/>
    <s v="Morning"/>
    <b v="0"/>
    <s v="Thursday"/>
    <s v="Clear Weather"/>
    <n v="0.08"/>
    <n v="0.1"/>
    <x v="20"/>
    <x v="12"/>
    <x v="3"/>
    <x v="176"/>
    <x v="111"/>
  </r>
  <r>
    <n v="8"/>
    <s v="Morning"/>
    <b v="0"/>
    <s v="Thursday"/>
    <s v="Clear Weather"/>
    <n v="0.08"/>
    <n v="0.1"/>
    <x v="36"/>
    <x v="9"/>
    <x v="2"/>
    <x v="177"/>
    <x v="106"/>
  </r>
  <r>
    <n v="9"/>
    <s v="Morning"/>
    <b v="0"/>
    <s v="Thursday"/>
    <s v="Clear Weather"/>
    <n v="0.11"/>
    <n v="0.12"/>
    <x v="16"/>
    <x v="11"/>
    <x v="5"/>
    <x v="178"/>
    <x v="78"/>
  </r>
  <r>
    <n v="10"/>
    <s v="Morning"/>
    <b v="0"/>
    <s v="Thursday"/>
    <s v="Clear Weather"/>
    <n v="0.11"/>
    <n v="0.12"/>
    <x v="16"/>
    <x v="4"/>
    <x v="5"/>
    <x v="60"/>
    <x v="17"/>
  </r>
  <r>
    <n v="11"/>
    <s v="Morning"/>
    <b v="0"/>
    <s v="Thursday"/>
    <s v="Clear Weather"/>
    <n v="0.12"/>
    <n v="0.14000000000000001"/>
    <x v="17"/>
    <x v="11"/>
    <x v="5"/>
    <x v="100"/>
    <x v="79"/>
  </r>
  <r>
    <n v="12"/>
    <s v="Afternoon"/>
    <b v="0"/>
    <s v="Thursday"/>
    <s v="Clear Weather"/>
    <n v="0.14000000000000001"/>
    <n v="0.16"/>
    <x v="46"/>
    <x v="13"/>
    <x v="17"/>
    <x v="65"/>
    <x v="83"/>
  </r>
  <r>
    <n v="13"/>
    <s v="Afternoon"/>
    <b v="0"/>
    <s v="Thursday"/>
    <s v="Clear Weather"/>
    <n v="0.17"/>
    <n v="0.18"/>
    <x v="44"/>
    <x v="4"/>
    <x v="0"/>
    <x v="79"/>
    <x v="69"/>
  </r>
  <r>
    <n v="14"/>
    <s v="Afternoon"/>
    <b v="0"/>
    <s v="Thursday"/>
    <s v="Clear Weather"/>
    <n v="0.18"/>
    <n v="0.2"/>
    <x v="57"/>
    <x v="3"/>
    <x v="15"/>
    <x v="76"/>
    <x v="61"/>
  </r>
  <r>
    <n v="15"/>
    <s v="Afternoon"/>
    <b v="0"/>
    <s v="Thursday"/>
    <s v="Clear Weather"/>
    <n v="0.2"/>
    <n v="0.2"/>
    <x v="59"/>
    <x v="2"/>
    <x v="3"/>
    <x v="54"/>
    <x v="89"/>
  </r>
  <r>
    <n v="16"/>
    <s v="Afternoon"/>
    <b v="0"/>
    <s v="Thursday"/>
    <s v="Clear Weather"/>
    <n v="0.18"/>
    <n v="0.2"/>
    <x v="57"/>
    <x v="4"/>
    <x v="17"/>
    <x v="83"/>
    <x v="138"/>
  </r>
  <r>
    <n v="17"/>
    <s v="Afternoon"/>
    <b v="0"/>
    <s v="Thursday"/>
    <s v="Clear Weather"/>
    <n v="0.18"/>
    <n v="0.18"/>
    <x v="60"/>
    <x v="5"/>
    <x v="15"/>
    <x v="136"/>
    <x v="186"/>
  </r>
  <r>
    <n v="18"/>
    <s v="Evening"/>
    <b v="0"/>
    <s v="Thursday"/>
    <s v="Clear Weather"/>
    <n v="0.18"/>
    <n v="0.16"/>
    <x v="40"/>
    <x v="7"/>
    <x v="0"/>
    <x v="174"/>
    <x v="187"/>
  </r>
  <r>
    <n v="19"/>
    <s v="Evening"/>
    <b v="0"/>
    <s v="Thursday"/>
    <s v="Clear Weather"/>
    <n v="0.17"/>
    <n v="0.14000000000000001"/>
    <x v="40"/>
    <x v="14"/>
    <x v="4"/>
    <x v="59"/>
    <x v="59"/>
  </r>
  <r>
    <n v="20"/>
    <s v="Evening"/>
    <b v="0"/>
    <s v="Thursday"/>
    <s v="Clear Weather"/>
    <n v="0.18"/>
    <n v="0.14000000000000001"/>
    <x v="61"/>
    <x v="1"/>
    <x v="17"/>
    <x v="139"/>
    <x v="54"/>
  </r>
  <r>
    <n v="21"/>
    <s v="Evening"/>
    <b v="0"/>
    <s v="Thursday"/>
    <s v="Clear Weather"/>
    <n v="0.21"/>
    <n v="0.14000000000000001"/>
    <x v="17"/>
    <x v="0"/>
    <x v="4"/>
    <x v="14"/>
    <x v="44"/>
  </r>
  <r>
    <n v="22"/>
    <s v="Evening"/>
    <b v="0"/>
    <s v="Thursday"/>
    <s v="Clear Weather"/>
    <n v="0.2"/>
    <n v="0.12"/>
    <x v="17"/>
    <x v="0"/>
    <x v="17"/>
    <x v="12"/>
    <x v="41"/>
  </r>
  <r>
    <n v="23"/>
    <s v="Evening"/>
    <b v="0"/>
    <s v="Thursday"/>
    <s v="Clear Weather"/>
    <n v="0.15"/>
    <n v="0.12"/>
    <x v="16"/>
    <x v="14"/>
    <x v="5"/>
    <x v="39"/>
    <x v="19"/>
  </r>
  <r>
    <n v="0"/>
    <s v="Night"/>
    <b v="0"/>
    <s v="Friday"/>
    <s v="Clear Weather"/>
    <n v="0.14000000000000001"/>
    <n v="0.1"/>
    <x v="36"/>
    <x v="14"/>
    <x v="4"/>
    <x v="98"/>
    <x v="8"/>
  </r>
  <r>
    <n v="1"/>
    <s v="Night"/>
    <b v="0"/>
    <s v="Friday"/>
    <s v="Clear Weather"/>
    <n v="0.14000000000000001"/>
    <n v="0.1"/>
    <x v="47"/>
    <x v="1"/>
    <x v="5"/>
    <x v="8"/>
    <x v="85"/>
  </r>
  <r>
    <n v="2"/>
    <s v="Night"/>
    <b v="0"/>
    <s v="Friday"/>
    <s v="Clear Weather"/>
    <n v="0.14000000000000001"/>
    <n v="0.1"/>
    <x v="47"/>
    <x v="1"/>
    <x v="3"/>
    <x v="35"/>
    <x v="6"/>
  </r>
  <r>
    <n v="5"/>
    <s v="Night"/>
    <b v="0"/>
    <s v="Friday"/>
    <s v="Clear Weather"/>
    <n v="0.12"/>
    <n v="0.08"/>
    <x v="30"/>
    <x v="1"/>
    <x v="3"/>
    <x v="22"/>
    <x v="48"/>
  </r>
  <r>
    <n v="6"/>
    <s v="Morning"/>
    <b v="0"/>
    <s v="Friday"/>
    <s v="Clear Weather"/>
    <n v="0.18"/>
    <n v="0.1"/>
    <x v="31"/>
    <x v="0"/>
    <x v="5"/>
    <x v="140"/>
    <x v="108"/>
  </r>
  <r>
    <n v="7"/>
    <s v="Morning"/>
    <b v="0"/>
    <s v="Friday"/>
    <s v="Clear Weather"/>
    <n v="0.17"/>
    <n v="0.08"/>
    <x v="62"/>
    <x v="0"/>
    <x v="5"/>
    <x v="26"/>
    <x v="30"/>
  </r>
  <r>
    <n v="8"/>
    <s v="Morning"/>
    <b v="0"/>
    <s v="Friday"/>
    <s v="Clear Weather"/>
    <n v="0.12"/>
    <n v="0.1"/>
    <x v="32"/>
    <x v="8"/>
    <x v="17"/>
    <x v="179"/>
    <x v="182"/>
  </r>
  <r>
    <n v="9"/>
    <s v="Morning"/>
    <b v="0"/>
    <s v="Friday"/>
    <s v="Clear Weather"/>
    <n v="0.12"/>
    <n v="0.12"/>
    <x v="32"/>
    <x v="6"/>
    <x v="1"/>
    <x v="126"/>
    <x v="188"/>
  </r>
  <r>
    <n v="10"/>
    <s v="Morning"/>
    <b v="0"/>
    <s v="Friday"/>
    <s v="Clear Weather"/>
    <n v="0.14000000000000001"/>
    <n v="0.14000000000000001"/>
    <x v="27"/>
    <x v="5"/>
    <x v="2"/>
    <x v="87"/>
    <x v="40"/>
  </r>
  <r>
    <n v="11"/>
    <s v="Morning"/>
    <b v="0"/>
    <s v="Friday"/>
    <s v="Clear Weather"/>
    <n v="0.23"/>
    <n v="0.22"/>
    <x v="19"/>
    <x v="7"/>
    <x v="6"/>
    <x v="15"/>
    <x v="37"/>
  </r>
  <r>
    <n v="12"/>
    <s v="Afternoon"/>
    <b v="0"/>
    <s v="Friday"/>
    <s v="Clear Weather"/>
    <n v="0.23"/>
    <n v="0.22"/>
    <x v="19"/>
    <x v="7"/>
    <x v="18"/>
    <x v="27"/>
    <x v="68"/>
  </r>
  <r>
    <n v="13"/>
    <s v="Afternoon"/>
    <b v="0"/>
    <s v="Friday"/>
    <s v="Clear Weather"/>
    <n v="0.23"/>
    <n v="0.24"/>
    <x v="23"/>
    <x v="5"/>
    <x v="27"/>
    <x v="121"/>
    <x v="14"/>
  </r>
  <r>
    <n v="14"/>
    <s v="Afternoon"/>
    <b v="0"/>
    <s v="Friday"/>
    <s v="Clear Weather"/>
    <n v="0.28999999999999998"/>
    <n v="0.3"/>
    <x v="60"/>
    <x v="2"/>
    <x v="26"/>
    <x v="28"/>
    <x v="11"/>
  </r>
  <r>
    <n v="15"/>
    <s v="Afternoon"/>
    <b v="0"/>
    <s v="Friday"/>
    <s v="Clear Weather"/>
    <n v="0.32"/>
    <n v="0.32"/>
    <x v="58"/>
    <x v="8"/>
    <x v="6"/>
    <x v="133"/>
    <x v="30"/>
  </r>
  <r>
    <n v="16"/>
    <s v="Afternoon"/>
    <b v="0"/>
    <s v="Friday"/>
    <s v="Clear Weather"/>
    <n v="0.28999999999999998"/>
    <n v="0.3"/>
    <x v="40"/>
    <x v="5"/>
    <x v="24"/>
    <x v="180"/>
    <x v="139"/>
  </r>
  <r>
    <n v="17"/>
    <s v="Afternoon"/>
    <b v="0"/>
    <s v="Friday"/>
    <s v="Clear Weather"/>
    <n v="0.33"/>
    <n v="0.3"/>
    <x v="63"/>
    <x v="0"/>
    <x v="25"/>
    <x v="181"/>
    <x v="189"/>
  </r>
  <r>
    <n v="18"/>
    <s v="Evening"/>
    <b v="0"/>
    <s v="Friday"/>
    <s v="Clear Weather"/>
    <n v="0.32"/>
    <n v="0.28000000000000003"/>
    <x v="40"/>
    <x v="0"/>
    <x v="14"/>
    <x v="158"/>
    <x v="177"/>
  </r>
  <r>
    <n v="19"/>
    <s v="Evening"/>
    <b v="0"/>
    <s v="Friday"/>
    <s v="Clear Weather"/>
    <n v="0.3"/>
    <n v="0.26"/>
    <x v="39"/>
    <x v="0"/>
    <x v="18"/>
    <x v="111"/>
    <x v="129"/>
  </r>
  <r>
    <n v="20"/>
    <s v="Evening"/>
    <b v="0"/>
    <s v="Friday"/>
    <s v="Clear Weather"/>
    <n v="0.23"/>
    <n v="0.22"/>
    <x v="28"/>
    <x v="7"/>
    <x v="4"/>
    <x v="124"/>
    <x v="55"/>
  </r>
  <r>
    <n v="21"/>
    <s v="Evening"/>
    <b v="0"/>
    <s v="Friday"/>
    <s v="Clear Weather"/>
    <n v="0.21"/>
    <n v="0.2"/>
    <x v="29"/>
    <x v="7"/>
    <x v="5"/>
    <x v="24"/>
    <x v="105"/>
  </r>
  <r>
    <n v="22"/>
    <s v="Evening"/>
    <b v="0"/>
    <s v="Friday"/>
    <s v="Clear Weather"/>
    <n v="0.23"/>
    <n v="0.2"/>
    <x v="26"/>
    <x v="1"/>
    <x v="4"/>
    <x v="40"/>
    <x v="74"/>
  </r>
  <r>
    <n v="23"/>
    <s v="Evening"/>
    <b v="0"/>
    <s v="Friday"/>
    <s v="Clear Weather"/>
    <n v="0.24"/>
    <n v="0.18"/>
    <x v="27"/>
    <x v="0"/>
    <x v="2"/>
    <x v="41"/>
    <x v="26"/>
  </r>
  <r>
    <n v="0"/>
    <s v="Night"/>
    <b v="0"/>
    <s v="Saturday"/>
    <s v="Clear Weather"/>
    <n v="0.2"/>
    <n v="0.16"/>
    <x v="27"/>
    <x v="1"/>
    <x v="0"/>
    <x v="2"/>
    <x v="33"/>
  </r>
  <r>
    <n v="1"/>
    <s v="Night"/>
    <b v="0"/>
    <s v="Saturday"/>
    <s v="Clear Weather"/>
    <n v="0.21"/>
    <n v="0.14000000000000001"/>
    <x v="3"/>
    <x v="0"/>
    <x v="4"/>
    <x v="97"/>
    <x v="108"/>
  </r>
  <r>
    <n v="2"/>
    <s v="Night"/>
    <b v="0"/>
    <s v="Saturday"/>
    <s v="Clear Weather"/>
    <n v="0.21"/>
    <n v="0.14000000000000001"/>
    <x v="1"/>
    <x v="0"/>
    <x v="4"/>
    <x v="0"/>
    <x v="93"/>
  </r>
  <r>
    <n v="3"/>
    <s v="Night"/>
    <b v="0"/>
    <s v="Saturday"/>
    <s v="Clear Weather"/>
    <n v="0.2"/>
    <n v="0.12"/>
    <x v="1"/>
    <x v="0"/>
    <x v="0"/>
    <x v="7"/>
    <x v="98"/>
  </r>
  <r>
    <n v="4"/>
    <s v="Night"/>
    <b v="0"/>
    <s v="Saturday"/>
    <s v="Clear Weather"/>
    <n v="0.17"/>
    <n v="0.12"/>
    <x v="32"/>
    <x v="1"/>
    <x v="3"/>
    <x v="22"/>
    <x v="48"/>
  </r>
  <r>
    <n v="5"/>
    <s v="Night"/>
    <b v="0"/>
    <s v="Saturday"/>
    <s v="Clear Weather"/>
    <n v="0.17"/>
    <n v="0.12"/>
    <x v="32"/>
    <x v="1"/>
    <x v="3"/>
    <x v="4"/>
    <x v="4"/>
  </r>
  <r>
    <n v="6"/>
    <s v="Morning"/>
    <b v="0"/>
    <s v="Saturday"/>
    <s v="Clear Weather"/>
    <n v="0.14000000000000001"/>
    <n v="0.12"/>
    <x v="43"/>
    <x v="5"/>
    <x v="5"/>
    <x v="4"/>
    <x v="5"/>
  </r>
  <r>
    <n v="7"/>
    <s v="Morning"/>
    <b v="0"/>
    <s v="Saturday"/>
    <s v="Clear Weather"/>
    <n v="0.15"/>
    <n v="0.12"/>
    <x v="1"/>
    <x v="14"/>
    <x v="4"/>
    <x v="33"/>
    <x v="62"/>
  </r>
  <r>
    <n v="8"/>
    <s v="Morning"/>
    <b v="0"/>
    <s v="Saturday"/>
    <s v="Clear Weather"/>
    <n v="0.15"/>
    <n v="0.14000000000000001"/>
    <x v="3"/>
    <x v="7"/>
    <x v="4"/>
    <x v="95"/>
    <x v="33"/>
  </r>
  <r>
    <n v="9"/>
    <s v="Morning"/>
    <b v="0"/>
    <s v="Saturday"/>
    <s v="Clear Weather"/>
    <n v="0.18"/>
    <n v="0.16"/>
    <x v="26"/>
    <x v="7"/>
    <x v="2"/>
    <x v="101"/>
    <x v="74"/>
  </r>
  <r>
    <n v="10"/>
    <s v="Morning"/>
    <b v="0"/>
    <s v="Saturday"/>
    <s v="Clear Weather"/>
    <n v="0.21"/>
    <n v="0.22"/>
    <x v="48"/>
    <x v="2"/>
    <x v="23"/>
    <x v="13"/>
    <x v="11"/>
  </r>
  <r>
    <n v="11"/>
    <s v="Morning"/>
    <b v="0"/>
    <s v="Saturday"/>
    <s v="Clear Weather"/>
    <n v="0.27"/>
    <n v="0.3"/>
    <x v="40"/>
    <x v="9"/>
    <x v="36"/>
    <x v="151"/>
    <x v="181"/>
  </r>
  <r>
    <n v="12"/>
    <s v="Afternoon"/>
    <b v="0"/>
    <s v="Saturday"/>
    <s v="Clear Weather"/>
    <n v="0.27"/>
    <n v="0.3"/>
    <x v="17"/>
    <x v="17"/>
    <x v="37"/>
    <x v="139"/>
    <x v="151"/>
  </r>
  <r>
    <n v="13"/>
    <s v="Afternoon"/>
    <b v="0"/>
    <s v="Saturday"/>
    <s v="Clear Weather"/>
    <n v="0.27"/>
    <n v="0.3"/>
    <x v="17"/>
    <x v="12"/>
    <x v="38"/>
    <x v="145"/>
    <x v="169"/>
  </r>
  <r>
    <n v="14"/>
    <s v="Afternoon"/>
    <b v="0"/>
    <s v="Saturday"/>
    <s v="Clear Weather"/>
    <n v="0.32"/>
    <n v="0.34"/>
    <x v="61"/>
    <x v="3"/>
    <x v="36"/>
    <x v="92"/>
    <x v="151"/>
  </r>
  <r>
    <n v="15"/>
    <s v="Afternoon"/>
    <b v="0"/>
    <s v="Saturday"/>
    <s v="Clear Weather"/>
    <n v="0.3"/>
    <n v="0.34"/>
    <x v="44"/>
    <x v="12"/>
    <x v="9"/>
    <x v="69"/>
    <x v="177"/>
  </r>
  <r>
    <n v="16"/>
    <s v="Afternoon"/>
    <b v="0"/>
    <s v="Saturday"/>
    <s v="Clear Weather"/>
    <n v="0.3"/>
    <n v="0.34"/>
    <x v="44"/>
    <x v="12"/>
    <x v="35"/>
    <x v="145"/>
    <x v="190"/>
  </r>
  <r>
    <n v="17"/>
    <s v="Afternoon"/>
    <b v="0"/>
    <s v="Saturday"/>
    <s v="Clear Weather"/>
    <n v="0.28999999999999998"/>
    <n v="0.32"/>
    <x v="61"/>
    <x v="18"/>
    <x v="31"/>
    <x v="182"/>
    <x v="120"/>
  </r>
  <r>
    <n v="18"/>
    <s v="Evening"/>
    <b v="0"/>
    <s v="Saturday"/>
    <s v="Clear Weather"/>
    <n v="0.26"/>
    <n v="0.28000000000000003"/>
    <x v="41"/>
    <x v="9"/>
    <x v="17"/>
    <x v="91"/>
    <x v="37"/>
  </r>
  <r>
    <n v="19"/>
    <s v="Evening"/>
    <b v="0"/>
    <s v="Saturday"/>
    <s v="Clear Weather"/>
    <n v="0.27"/>
    <n v="0.28000000000000003"/>
    <x v="41"/>
    <x v="8"/>
    <x v="4"/>
    <x v="87"/>
    <x v="102"/>
  </r>
  <r>
    <n v="20"/>
    <s v="Evening"/>
    <b v="0"/>
    <s v="Saturday"/>
    <s v="Clear Weather"/>
    <n v="0.26"/>
    <n v="0.26"/>
    <x v="48"/>
    <x v="6"/>
    <x v="5"/>
    <x v="87"/>
    <x v="1"/>
  </r>
  <r>
    <n v="21"/>
    <s v="Evening"/>
    <b v="0"/>
    <s v="Saturday"/>
    <s v="Clear Weather"/>
    <n v="0.3"/>
    <n v="0.26"/>
    <x v="48"/>
    <x v="0"/>
    <x v="14"/>
    <x v="76"/>
    <x v="41"/>
  </r>
  <r>
    <n v="22"/>
    <s v="Evening"/>
    <b v="0"/>
    <s v="Saturday"/>
    <s v="Clear Weather"/>
    <n v="0.26"/>
    <n v="0.24"/>
    <x v="18"/>
    <x v="1"/>
    <x v="15"/>
    <x v="87"/>
    <x v="79"/>
  </r>
  <r>
    <n v="23"/>
    <s v="Evening"/>
    <b v="0"/>
    <s v="Saturday"/>
    <s v="Clear Weather"/>
    <n v="0.23"/>
    <n v="0.22"/>
    <x v="33"/>
    <x v="7"/>
    <x v="5"/>
    <x v="17"/>
    <x v="2"/>
  </r>
  <r>
    <n v="0"/>
    <s v="Night"/>
    <b v="0"/>
    <s v="Sunday"/>
    <s v="Clear Weather"/>
    <n v="0.23"/>
    <n v="0.2"/>
    <x v="26"/>
    <x v="14"/>
    <x v="2"/>
    <x v="60"/>
    <x v="21"/>
  </r>
  <r>
    <n v="1"/>
    <s v="Night"/>
    <b v="0"/>
    <s v="Sunday"/>
    <s v="Clear Weather"/>
    <n v="0.23"/>
    <n v="0.2"/>
    <x v="29"/>
    <x v="1"/>
    <x v="5"/>
    <x v="140"/>
    <x v="108"/>
  </r>
  <r>
    <n v="2"/>
    <s v="Night"/>
    <b v="0"/>
    <s v="Sunday"/>
    <s v="Light Rain"/>
    <n v="0.23"/>
    <n v="0.2"/>
    <x v="2"/>
    <x v="1"/>
    <x v="5"/>
    <x v="23"/>
    <x v="25"/>
  </r>
  <r>
    <n v="3"/>
    <s v="Night"/>
    <b v="0"/>
    <s v="Sunday"/>
    <s v="Light Rain"/>
    <n v="0.23"/>
    <n v="0.2"/>
    <x v="27"/>
    <x v="14"/>
    <x v="17"/>
    <x v="21"/>
    <x v="47"/>
  </r>
  <r>
    <n v="4"/>
    <s v="Night"/>
    <b v="0"/>
    <s v="Sunday"/>
    <s v="Light Rain"/>
    <n v="0.21"/>
    <n v="0.2"/>
    <x v="27"/>
    <x v="8"/>
    <x v="3"/>
    <x v="6"/>
    <x v="5"/>
  </r>
  <r>
    <n v="6"/>
    <s v="Morning"/>
    <b v="0"/>
    <s v="Sunday"/>
    <s v="Light Rain"/>
    <n v="0.21"/>
    <n v="0.2"/>
    <x v="27"/>
    <x v="7"/>
    <x v="4"/>
    <x v="35"/>
    <x v="36"/>
  </r>
  <r>
    <n v="7"/>
    <s v="Morning"/>
    <b v="0"/>
    <s v="Sunday"/>
    <s v="Light Rain"/>
    <n v="0.27"/>
    <n v="0.22"/>
    <x v="28"/>
    <x v="0"/>
    <x v="3"/>
    <x v="35"/>
    <x v="6"/>
  </r>
  <r>
    <n v="8"/>
    <s v="Morning"/>
    <b v="0"/>
    <s v="Sunday"/>
    <s v="Light Rain"/>
    <n v="0.23"/>
    <n v="0.22"/>
    <x v="26"/>
    <x v="5"/>
    <x v="5"/>
    <x v="48"/>
    <x v="47"/>
  </r>
  <r>
    <n v="9"/>
    <s v="Morning"/>
    <b v="0"/>
    <s v="Sunday"/>
    <s v="Light Rain"/>
    <n v="0.23"/>
    <n v="0.24"/>
    <x v="54"/>
    <x v="6"/>
    <x v="6"/>
    <x v="96"/>
    <x v="105"/>
  </r>
  <r>
    <n v="10"/>
    <s v="Morning"/>
    <b v="0"/>
    <s v="Sunday"/>
    <s v="Clear Weather"/>
    <n v="0.27"/>
    <n v="0.3"/>
    <x v="49"/>
    <x v="9"/>
    <x v="21"/>
    <x v="132"/>
    <x v="136"/>
  </r>
  <r>
    <n v="11"/>
    <s v="Morning"/>
    <b v="0"/>
    <s v="Sunday"/>
    <s v="Clear Weather"/>
    <n v="0.28999999999999998"/>
    <n v="0.32"/>
    <x v="17"/>
    <x v="10"/>
    <x v="7"/>
    <x v="132"/>
    <x v="59"/>
  </r>
  <r>
    <n v="12"/>
    <s v="Afternoon"/>
    <b v="0"/>
    <s v="Sunday"/>
    <s v="Clear Weather"/>
    <n v="0.32"/>
    <n v="0.36"/>
    <x v="25"/>
    <x v="17"/>
    <x v="39"/>
    <x v="111"/>
    <x v="148"/>
  </r>
  <r>
    <n v="13"/>
    <s v="Afternoon"/>
    <b v="0"/>
    <s v="Sunday"/>
    <s v="Clear Weather"/>
    <n v="0.39"/>
    <n v="0.38"/>
    <x v="44"/>
    <x v="11"/>
    <x v="40"/>
    <x v="50"/>
    <x v="38"/>
  </r>
  <r>
    <n v="14"/>
    <s v="Afternoon"/>
    <b v="0"/>
    <s v="Sunday"/>
    <s v="Light Rain"/>
    <n v="0.41"/>
    <n v="0.4"/>
    <x v="24"/>
    <x v="12"/>
    <x v="41"/>
    <x v="59"/>
    <x v="143"/>
  </r>
  <r>
    <n v="15"/>
    <s v="Afternoon"/>
    <b v="0"/>
    <s v="Sunday"/>
    <s v="Light Rain"/>
    <n v="0.41"/>
    <n v="0.4"/>
    <x v="24"/>
    <x v="4"/>
    <x v="11"/>
    <x v="183"/>
    <x v="123"/>
  </r>
  <r>
    <n v="16"/>
    <s v="Afternoon"/>
    <b v="0"/>
    <s v="Sunday"/>
    <s v="Light Rain"/>
    <n v="0.42"/>
    <n v="0.42"/>
    <x v="40"/>
    <x v="9"/>
    <x v="32"/>
    <x v="184"/>
    <x v="87"/>
  </r>
  <r>
    <n v="17"/>
    <s v="Afternoon"/>
    <b v="0"/>
    <s v="Sunday"/>
    <s v="Clear Weather"/>
    <n v="0.42"/>
    <n v="0.42"/>
    <x v="40"/>
    <x v="9"/>
    <x v="36"/>
    <x v="73"/>
    <x v="139"/>
  </r>
  <r>
    <n v="18"/>
    <s v="Evening"/>
    <b v="0"/>
    <s v="Sunday"/>
    <s v="Clear Weather"/>
    <n v="0.41"/>
    <n v="0.4"/>
    <x v="25"/>
    <x v="4"/>
    <x v="26"/>
    <x v="78"/>
    <x v="76"/>
  </r>
  <r>
    <n v="19"/>
    <s v="Evening"/>
    <b v="0"/>
    <s v="Sunday"/>
    <s v="Clear Weather"/>
    <n v="0.41"/>
    <n v="0.4"/>
    <x v="23"/>
    <x v="3"/>
    <x v="16"/>
    <x v="54"/>
    <x v="42"/>
  </r>
  <r>
    <n v="20"/>
    <s v="Evening"/>
    <b v="0"/>
    <s v="Sunday"/>
    <s v="Clear Weather"/>
    <n v="0.41"/>
    <n v="0.4"/>
    <x v="23"/>
    <x v="9"/>
    <x v="13"/>
    <x v="1"/>
    <x v="105"/>
  </r>
  <r>
    <n v="21"/>
    <s v="Evening"/>
    <b v="0"/>
    <s v="Sunday"/>
    <s v="Clear Weather"/>
    <n v="0.41"/>
    <n v="0.4"/>
    <x v="23"/>
    <x v="11"/>
    <x v="15"/>
    <x v="108"/>
    <x v="41"/>
  </r>
  <r>
    <n v="22"/>
    <s v="Evening"/>
    <b v="0"/>
    <s v="Sunday"/>
    <s v="Clear Weather"/>
    <n v="0.41"/>
    <n v="0.4"/>
    <x v="23"/>
    <x v="4"/>
    <x v="2"/>
    <x v="17"/>
    <x v="9"/>
  </r>
  <r>
    <n v="23"/>
    <s v="Evening"/>
    <b v="0"/>
    <s v="Sunday"/>
    <s v="Clear Weather"/>
    <n v="0.41"/>
    <n v="0.4"/>
    <x v="23"/>
    <x v="11"/>
    <x v="0"/>
    <x v="2"/>
    <x v="33"/>
  </r>
  <r>
    <n v="0"/>
    <s v="Night"/>
    <b v="0"/>
    <s v="Monday"/>
    <s v="Clear Weather"/>
    <n v="0.39"/>
    <n v="0.38"/>
    <x v="38"/>
    <x v="11"/>
    <x v="0"/>
    <x v="21"/>
    <x v="62"/>
  </r>
  <r>
    <n v="1"/>
    <s v="Night"/>
    <b v="0"/>
    <s v="Monday"/>
    <s v="Clear Weather"/>
    <n v="0.39"/>
    <n v="0.38"/>
    <x v="38"/>
    <x v="11"/>
    <x v="5"/>
    <x v="8"/>
    <x v="85"/>
  </r>
  <r>
    <n v="2"/>
    <s v="Night"/>
    <b v="0"/>
    <s v="Monday"/>
    <s v="Clear Weather"/>
    <n v="0.33"/>
    <n v="0.36"/>
    <x v="22"/>
    <x v="4"/>
    <x v="3"/>
    <x v="6"/>
    <x v="5"/>
  </r>
  <r>
    <n v="3"/>
    <s v="Night"/>
    <b v="0"/>
    <s v="Monday"/>
    <s v="Clear Weather"/>
    <n v="0.32"/>
    <n v="0.34"/>
    <x v="15"/>
    <x v="6"/>
    <x v="5"/>
    <x v="4"/>
    <x v="5"/>
  </r>
  <r>
    <n v="4"/>
    <s v="Night"/>
    <b v="0"/>
    <s v="Monday"/>
    <s v="Clear Weather"/>
    <n v="0.3"/>
    <n v="0.32"/>
    <x v="45"/>
    <x v="3"/>
    <x v="3"/>
    <x v="6"/>
    <x v="5"/>
  </r>
  <r>
    <n v="5"/>
    <s v="Night"/>
    <b v="0"/>
    <s v="Monday"/>
    <s v="Clear Weather"/>
    <n v="0.3"/>
    <n v="0.32"/>
    <x v="45"/>
    <x v="3"/>
    <x v="3"/>
    <x v="35"/>
    <x v="6"/>
  </r>
  <r>
    <n v="6"/>
    <s v="Morning"/>
    <b v="0"/>
    <s v="Monday"/>
    <s v="Clear Weather"/>
    <n v="0.3"/>
    <n v="0.34"/>
    <x v="15"/>
    <x v="4"/>
    <x v="5"/>
    <x v="18"/>
    <x v="132"/>
  </r>
  <r>
    <n v="7"/>
    <s v="Morning"/>
    <b v="0"/>
    <s v="Monday"/>
    <s v="Clear Weather"/>
    <n v="0.3"/>
    <n v="0.34"/>
    <x v="15"/>
    <x v="4"/>
    <x v="4"/>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C92BBD-1EA9-41DC-AAB8-8F4B4C74C919}" name="PivotTable7"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outline="1" outlineData="1" multipleFieldFilters="0" rowHeaderCaption="Hour" colHeaderCaption="">
  <location ref="D2:K27" firstHeaderRow="1" firstDataRow="2"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axis="axisCol" showAll="0">
      <items count="8">
        <item x="2"/>
        <item x="3"/>
        <item x="4"/>
        <item x="5"/>
        <item x="6"/>
        <item x="0"/>
        <item x="1"/>
        <item t="default"/>
      </items>
    </pivotField>
    <pivotField showAll="0">
      <items count="5">
        <item x="0"/>
        <item x="2"/>
        <item x="1"/>
        <item x="3"/>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5"/>
  </colFields>
  <colItems count="7">
    <i>
      <x/>
    </i>
    <i>
      <x v="1"/>
    </i>
    <i>
      <x v="2"/>
    </i>
    <i>
      <x v="3"/>
    </i>
    <i>
      <x v="4"/>
    </i>
    <i>
      <x v="5"/>
    </i>
    <i>
      <x v="6"/>
    </i>
  </colItems>
  <dataFields count="1">
    <dataField name="Rental Demand Heatmap" fld="13" baseField="0" baseItem="0"/>
  </dataFields>
  <conditionalFormats count="1">
    <conditionalFormat priority="2">
      <pivotAreas count="1">
        <pivotArea fieldPosition="0">
          <references count="1">
            <reference field="2"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1D5D68-F253-4D3C-8A50-8B995520181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2:B7"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5">
        <item x="2"/>
        <item x="3"/>
        <item x="1"/>
        <item x="0"/>
        <item t="default"/>
      </items>
    </pivotField>
    <pivotField showAll="0">
      <items count="3">
        <item x="0"/>
        <item x="1"/>
        <item t="default"/>
      </items>
    </pivotField>
    <pivotField showAll="0">
      <items count="8">
        <item x="2"/>
        <item x="3"/>
        <item x="4"/>
        <item x="5"/>
        <item x="6"/>
        <item x="0"/>
        <item x="1"/>
        <item t="default"/>
      </items>
    </pivotField>
    <pivotField showAll="0">
      <items count="5">
        <item x="0"/>
        <item x="2"/>
        <item x="1"/>
        <item x="3"/>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Total_c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6B4352-DDDF-409C-919F-829810D6265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D27" firstHeaderRow="0"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items count="8">
        <item x="2"/>
        <item x="3"/>
        <item x="4"/>
        <item x="5"/>
        <item x="6"/>
        <item x="0"/>
        <item x="1"/>
        <item t="default"/>
      </items>
    </pivotField>
    <pivotField showAll="0">
      <items count="5">
        <item x="0"/>
        <item x="2"/>
        <item x="1"/>
        <item x="3"/>
        <item t="default"/>
      </items>
    </pivotField>
    <pivotField showAll="0"/>
    <pivotField showAll="0"/>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Total_count" fld="13" baseField="0" baseItem="0"/>
    <dataField name="Sum of Casual_customers" fld="11" baseField="0" baseItem="0"/>
    <dataField name="Sum of Registered_customers" fld="12" baseField="0" baseItem="0"/>
  </dataFields>
  <chartFormats count="6">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ADD419-AFDF-46BA-928A-85ED3484B5A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2:V23" firstHeaderRow="0" firstDataRow="1" firstDataCol="1"/>
  <pivotFields count="12">
    <pivotField showAll="0"/>
    <pivotField showAll="0"/>
    <pivotField showAll="0"/>
    <pivotField showAll="0"/>
    <pivotField showAll="0"/>
    <pivotField showAll="0"/>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s>
  <rowFields count="1">
    <field x="8"/>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Total_count" fld="11" baseField="8" baseItem="0" numFmtId="2"/>
    <dataField name="Sum of Casual_customers" fld="9" baseField="0" baseItem="0"/>
    <dataField name="Sum of Registered_customers" fld="10" baseField="0" baseItem="0"/>
  </dataFields>
  <chartFormats count="67">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8" format="68" series="1">
      <pivotArea type="data" outline="0" fieldPosition="0">
        <references count="1">
          <reference field="4294967294" count="1" selected="0">
            <x v="0"/>
          </reference>
        </references>
      </pivotArea>
    </chartFormat>
    <chartFormat chart="8" format="69">
      <pivotArea type="data" outline="0" fieldPosition="0">
        <references count="2">
          <reference field="4294967294" count="1" selected="0">
            <x v="0"/>
          </reference>
          <reference field="8" count="1" selected="0">
            <x v="0"/>
          </reference>
        </references>
      </pivotArea>
    </chartFormat>
    <chartFormat chart="8" format="70">
      <pivotArea type="data" outline="0" fieldPosition="0">
        <references count="2">
          <reference field="4294967294" count="1" selected="0">
            <x v="0"/>
          </reference>
          <reference field="8" count="1" selected="0">
            <x v="1"/>
          </reference>
        </references>
      </pivotArea>
    </chartFormat>
    <chartFormat chart="8" format="71">
      <pivotArea type="data" outline="0" fieldPosition="0">
        <references count="2">
          <reference field="4294967294" count="1" selected="0">
            <x v="0"/>
          </reference>
          <reference field="8" count="1" selected="0">
            <x v="2"/>
          </reference>
        </references>
      </pivotArea>
    </chartFormat>
    <chartFormat chart="8" format="72">
      <pivotArea type="data" outline="0" fieldPosition="0">
        <references count="2">
          <reference field="4294967294" count="1" selected="0">
            <x v="0"/>
          </reference>
          <reference field="8" count="1" selected="0">
            <x v="3"/>
          </reference>
        </references>
      </pivotArea>
    </chartFormat>
    <chartFormat chart="8" format="73">
      <pivotArea type="data" outline="0" fieldPosition="0">
        <references count="2">
          <reference field="4294967294" count="1" selected="0">
            <x v="0"/>
          </reference>
          <reference field="8" count="1" selected="0">
            <x v="4"/>
          </reference>
        </references>
      </pivotArea>
    </chartFormat>
    <chartFormat chart="8" format="74">
      <pivotArea type="data" outline="0" fieldPosition="0">
        <references count="2">
          <reference field="4294967294" count="1" selected="0">
            <x v="0"/>
          </reference>
          <reference field="8" count="1" selected="0">
            <x v="5"/>
          </reference>
        </references>
      </pivotArea>
    </chartFormat>
    <chartFormat chart="8" format="75">
      <pivotArea type="data" outline="0" fieldPosition="0">
        <references count="2">
          <reference field="4294967294" count="1" selected="0">
            <x v="0"/>
          </reference>
          <reference field="8" count="1" selected="0">
            <x v="6"/>
          </reference>
        </references>
      </pivotArea>
    </chartFormat>
    <chartFormat chart="8" format="76">
      <pivotArea type="data" outline="0" fieldPosition="0">
        <references count="2">
          <reference field="4294967294" count="1" selected="0">
            <x v="0"/>
          </reference>
          <reference field="8" count="1" selected="0">
            <x v="7"/>
          </reference>
        </references>
      </pivotArea>
    </chartFormat>
    <chartFormat chart="8" format="77">
      <pivotArea type="data" outline="0" fieldPosition="0">
        <references count="2">
          <reference field="4294967294" count="1" selected="0">
            <x v="0"/>
          </reference>
          <reference field="8" count="1" selected="0">
            <x v="8"/>
          </reference>
        </references>
      </pivotArea>
    </chartFormat>
    <chartFormat chart="8" format="78">
      <pivotArea type="data" outline="0" fieldPosition="0">
        <references count="2">
          <reference field="4294967294" count="1" selected="0">
            <x v="0"/>
          </reference>
          <reference field="8" count="1" selected="0">
            <x v="9"/>
          </reference>
        </references>
      </pivotArea>
    </chartFormat>
    <chartFormat chart="8" format="79">
      <pivotArea type="data" outline="0" fieldPosition="0">
        <references count="2">
          <reference field="4294967294" count="1" selected="0">
            <x v="0"/>
          </reference>
          <reference field="8" count="1" selected="0">
            <x v="10"/>
          </reference>
        </references>
      </pivotArea>
    </chartFormat>
    <chartFormat chart="8" format="80">
      <pivotArea type="data" outline="0" fieldPosition="0">
        <references count="2">
          <reference field="4294967294" count="1" selected="0">
            <x v="0"/>
          </reference>
          <reference field="8" count="1" selected="0">
            <x v="11"/>
          </reference>
        </references>
      </pivotArea>
    </chartFormat>
    <chartFormat chart="8" format="81">
      <pivotArea type="data" outline="0" fieldPosition="0">
        <references count="2">
          <reference field="4294967294" count="1" selected="0">
            <x v="0"/>
          </reference>
          <reference field="8" count="1" selected="0">
            <x v="12"/>
          </reference>
        </references>
      </pivotArea>
    </chartFormat>
    <chartFormat chart="8" format="82">
      <pivotArea type="data" outline="0" fieldPosition="0">
        <references count="2">
          <reference field="4294967294" count="1" selected="0">
            <x v="0"/>
          </reference>
          <reference field="8" count="1" selected="0">
            <x v="13"/>
          </reference>
        </references>
      </pivotArea>
    </chartFormat>
    <chartFormat chart="8" format="83">
      <pivotArea type="data" outline="0" fieldPosition="0">
        <references count="2">
          <reference field="4294967294" count="1" selected="0">
            <x v="0"/>
          </reference>
          <reference field="8" count="1" selected="0">
            <x v="14"/>
          </reference>
        </references>
      </pivotArea>
    </chartFormat>
    <chartFormat chart="8" format="84">
      <pivotArea type="data" outline="0" fieldPosition="0">
        <references count="2">
          <reference field="4294967294" count="1" selected="0">
            <x v="0"/>
          </reference>
          <reference field="8" count="1" selected="0">
            <x v="15"/>
          </reference>
        </references>
      </pivotArea>
    </chartFormat>
    <chartFormat chart="8" format="85">
      <pivotArea type="data" outline="0" fieldPosition="0">
        <references count="2">
          <reference field="4294967294" count="1" selected="0">
            <x v="0"/>
          </reference>
          <reference field="8" count="1" selected="0">
            <x v="16"/>
          </reference>
        </references>
      </pivotArea>
    </chartFormat>
    <chartFormat chart="8" format="86">
      <pivotArea type="data" outline="0" fieldPosition="0">
        <references count="2">
          <reference field="4294967294" count="1" selected="0">
            <x v="0"/>
          </reference>
          <reference field="8" count="1" selected="0">
            <x v="17"/>
          </reference>
        </references>
      </pivotArea>
    </chartFormat>
    <chartFormat chart="8" format="87">
      <pivotArea type="data" outline="0" fieldPosition="0">
        <references count="2">
          <reference field="4294967294" count="1" selected="0">
            <x v="0"/>
          </reference>
          <reference field="8" count="1" selected="0">
            <x v="18"/>
          </reference>
        </references>
      </pivotArea>
    </chartFormat>
    <chartFormat chart="8" format="88">
      <pivotArea type="data" outline="0" fieldPosition="0">
        <references count="2">
          <reference field="4294967294" count="1" selected="0">
            <x v="0"/>
          </reference>
          <reference field="8" count="1" selected="0">
            <x v="19"/>
          </reference>
        </references>
      </pivotArea>
    </chartFormat>
    <chartFormat chart="8" format="89" series="1">
      <pivotArea type="data" outline="0" fieldPosition="0">
        <references count="1">
          <reference field="4294967294" count="1" selected="0">
            <x v="1"/>
          </reference>
        </references>
      </pivotArea>
    </chartFormat>
    <chartFormat chart="8" format="90">
      <pivotArea type="data" outline="0" fieldPosition="0">
        <references count="2">
          <reference field="4294967294" count="1" selected="0">
            <x v="1"/>
          </reference>
          <reference field="8" count="1" selected="0">
            <x v="0"/>
          </reference>
        </references>
      </pivotArea>
    </chartFormat>
    <chartFormat chart="8" format="91">
      <pivotArea type="data" outline="0" fieldPosition="0">
        <references count="2">
          <reference field="4294967294" count="1" selected="0">
            <x v="1"/>
          </reference>
          <reference field="8" count="1" selected="0">
            <x v="1"/>
          </reference>
        </references>
      </pivotArea>
    </chartFormat>
    <chartFormat chart="8" format="92">
      <pivotArea type="data" outline="0" fieldPosition="0">
        <references count="2">
          <reference field="4294967294" count="1" selected="0">
            <x v="1"/>
          </reference>
          <reference field="8" count="1" selected="0">
            <x v="2"/>
          </reference>
        </references>
      </pivotArea>
    </chartFormat>
    <chartFormat chart="8" format="93">
      <pivotArea type="data" outline="0" fieldPosition="0">
        <references count="2">
          <reference field="4294967294" count="1" selected="0">
            <x v="1"/>
          </reference>
          <reference field="8" count="1" selected="0">
            <x v="3"/>
          </reference>
        </references>
      </pivotArea>
    </chartFormat>
    <chartFormat chart="8" format="94">
      <pivotArea type="data" outline="0" fieldPosition="0">
        <references count="2">
          <reference field="4294967294" count="1" selected="0">
            <x v="1"/>
          </reference>
          <reference field="8" count="1" selected="0">
            <x v="4"/>
          </reference>
        </references>
      </pivotArea>
    </chartFormat>
    <chartFormat chart="8" format="95">
      <pivotArea type="data" outline="0" fieldPosition="0">
        <references count="2">
          <reference field="4294967294" count="1" selected="0">
            <x v="1"/>
          </reference>
          <reference field="8" count="1" selected="0">
            <x v="5"/>
          </reference>
        </references>
      </pivotArea>
    </chartFormat>
    <chartFormat chart="8" format="96">
      <pivotArea type="data" outline="0" fieldPosition="0">
        <references count="2">
          <reference field="4294967294" count="1" selected="0">
            <x v="1"/>
          </reference>
          <reference field="8" count="1" selected="0">
            <x v="6"/>
          </reference>
        </references>
      </pivotArea>
    </chartFormat>
    <chartFormat chart="8" format="97">
      <pivotArea type="data" outline="0" fieldPosition="0">
        <references count="2">
          <reference field="4294967294" count="1" selected="0">
            <x v="1"/>
          </reference>
          <reference field="8" count="1" selected="0">
            <x v="7"/>
          </reference>
        </references>
      </pivotArea>
    </chartFormat>
    <chartFormat chart="8" format="98">
      <pivotArea type="data" outline="0" fieldPosition="0">
        <references count="2">
          <reference field="4294967294" count="1" selected="0">
            <x v="1"/>
          </reference>
          <reference field="8" count="1" selected="0">
            <x v="8"/>
          </reference>
        </references>
      </pivotArea>
    </chartFormat>
    <chartFormat chart="8" format="99">
      <pivotArea type="data" outline="0" fieldPosition="0">
        <references count="2">
          <reference field="4294967294" count="1" selected="0">
            <x v="1"/>
          </reference>
          <reference field="8" count="1" selected="0">
            <x v="9"/>
          </reference>
        </references>
      </pivotArea>
    </chartFormat>
    <chartFormat chart="8" format="100">
      <pivotArea type="data" outline="0" fieldPosition="0">
        <references count="2">
          <reference field="4294967294" count="1" selected="0">
            <x v="1"/>
          </reference>
          <reference field="8" count="1" selected="0">
            <x v="10"/>
          </reference>
        </references>
      </pivotArea>
    </chartFormat>
    <chartFormat chart="8" format="101">
      <pivotArea type="data" outline="0" fieldPosition="0">
        <references count="2">
          <reference field="4294967294" count="1" selected="0">
            <x v="1"/>
          </reference>
          <reference field="8" count="1" selected="0">
            <x v="11"/>
          </reference>
        </references>
      </pivotArea>
    </chartFormat>
    <chartFormat chart="8" format="102">
      <pivotArea type="data" outline="0" fieldPosition="0">
        <references count="2">
          <reference field="4294967294" count="1" selected="0">
            <x v="1"/>
          </reference>
          <reference field="8" count="1" selected="0">
            <x v="12"/>
          </reference>
        </references>
      </pivotArea>
    </chartFormat>
    <chartFormat chart="8" format="103">
      <pivotArea type="data" outline="0" fieldPosition="0">
        <references count="2">
          <reference field="4294967294" count="1" selected="0">
            <x v="1"/>
          </reference>
          <reference field="8" count="1" selected="0">
            <x v="13"/>
          </reference>
        </references>
      </pivotArea>
    </chartFormat>
    <chartFormat chart="8" format="104">
      <pivotArea type="data" outline="0" fieldPosition="0">
        <references count="2">
          <reference field="4294967294" count="1" selected="0">
            <x v="1"/>
          </reference>
          <reference field="8" count="1" selected="0">
            <x v="14"/>
          </reference>
        </references>
      </pivotArea>
    </chartFormat>
    <chartFormat chart="8" format="105">
      <pivotArea type="data" outline="0" fieldPosition="0">
        <references count="2">
          <reference field="4294967294" count="1" selected="0">
            <x v="1"/>
          </reference>
          <reference field="8" count="1" selected="0">
            <x v="15"/>
          </reference>
        </references>
      </pivotArea>
    </chartFormat>
    <chartFormat chart="8" format="106">
      <pivotArea type="data" outline="0" fieldPosition="0">
        <references count="2">
          <reference field="4294967294" count="1" selected="0">
            <x v="1"/>
          </reference>
          <reference field="8" count="1" selected="0">
            <x v="16"/>
          </reference>
        </references>
      </pivotArea>
    </chartFormat>
    <chartFormat chart="8" format="107">
      <pivotArea type="data" outline="0" fieldPosition="0">
        <references count="2">
          <reference field="4294967294" count="1" selected="0">
            <x v="1"/>
          </reference>
          <reference field="8" count="1" selected="0">
            <x v="17"/>
          </reference>
        </references>
      </pivotArea>
    </chartFormat>
    <chartFormat chart="8" format="108">
      <pivotArea type="data" outline="0" fieldPosition="0">
        <references count="2">
          <reference field="4294967294" count="1" selected="0">
            <x v="1"/>
          </reference>
          <reference field="8" count="1" selected="0">
            <x v="18"/>
          </reference>
        </references>
      </pivotArea>
    </chartFormat>
    <chartFormat chart="8" format="109">
      <pivotArea type="data" outline="0" fieldPosition="0">
        <references count="2">
          <reference field="4294967294" count="1" selected="0">
            <x v="1"/>
          </reference>
          <reference field="8" count="1" selected="0">
            <x v="19"/>
          </reference>
        </references>
      </pivotArea>
    </chartFormat>
    <chartFormat chart="8" format="110" series="1">
      <pivotArea type="data" outline="0" fieldPosition="0">
        <references count="1">
          <reference field="4294967294" count="1" selected="0">
            <x v="2"/>
          </reference>
        </references>
      </pivotArea>
    </chartFormat>
    <chartFormat chart="8" format="111">
      <pivotArea type="data" outline="0" fieldPosition="0">
        <references count="2">
          <reference field="4294967294" count="1" selected="0">
            <x v="2"/>
          </reference>
          <reference field="8" count="1" selected="0">
            <x v="0"/>
          </reference>
        </references>
      </pivotArea>
    </chartFormat>
    <chartFormat chart="8" format="112">
      <pivotArea type="data" outline="0" fieldPosition="0">
        <references count="2">
          <reference field="4294967294" count="1" selected="0">
            <x v="2"/>
          </reference>
          <reference field="8" count="1" selected="0">
            <x v="1"/>
          </reference>
        </references>
      </pivotArea>
    </chartFormat>
    <chartFormat chart="8" format="113">
      <pivotArea type="data" outline="0" fieldPosition="0">
        <references count="2">
          <reference field="4294967294" count="1" selected="0">
            <x v="2"/>
          </reference>
          <reference field="8" count="1" selected="0">
            <x v="2"/>
          </reference>
        </references>
      </pivotArea>
    </chartFormat>
    <chartFormat chart="8" format="114">
      <pivotArea type="data" outline="0" fieldPosition="0">
        <references count="2">
          <reference field="4294967294" count="1" selected="0">
            <x v="2"/>
          </reference>
          <reference field="8" count="1" selected="0">
            <x v="3"/>
          </reference>
        </references>
      </pivotArea>
    </chartFormat>
    <chartFormat chart="8" format="115">
      <pivotArea type="data" outline="0" fieldPosition="0">
        <references count="2">
          <reference field="4294967294" count="1" selected="0">
            <x v="2"/>
          </reference>
          <reference field="8" count="1" selected="0">
            <x v="4"/>
          </reference>
        </references>
      </pivotArea>
    </chartFormat>
    <chartFormat chart="8" format="116">
      <pivotArea type="data" outline="0" fieldPosition="0">
        <references count="2">
          <reference field="4294967294" count="1" selected="0">
            <x v="2"/>
          </reference>
          <reference field="8" count="1" selected="0">
            <x v="5"/>
          </reference>
        </references>
      </pivotArea>
    </chartFormat>
    <chartFormat chart="8" format="117">
      <pivotArea type="data" outline="0" fieldPosition="0">
        <references count="2">
          <reference field="4294967294" count="1" selected="0">
            <x v="2"/>
          </reference>
          <reference field="8" count="1" selected="0">
            <x v="6"/>
          </reference>
        </references>
      </pivotArea>
    </chartFormat>
    <chartFormat chart="8" format="118">
      <pivotArea type="data" outline="0" fieldPosition="0">
        <references count="2">
          <reference field="4294967294" count="1" selected="0">
            <x v="2"/>
          </reference>
          <reference field="8" count="1" selected="0">
            <x v="7"/>
          </reference>
        </references>
      </pivotArea>
    </chartFormat>
    <chartFormat chart="8" format="119">
      <pivotArea type="data" outline="0" fieldPosition="0">
        <references count="2">
          <reference field="4294967294" count="1" selected="0">
            <x v="2"/>
          </reference>
          <reference field="8" count="1" selected="0">
            <x v="8"/>
          </reference>
        </references>
      </pivotArea>
    </chartFormat>
    <chartFormat chart="8" format="120">
      <pivotArea type="data" outline="0" fieldPosition="0">
        <references count="2">
          <reference field="4294967294" count="1" selected="0">
            <x v="2"/>
          </reference>
          <reference field="8" count="1" selected="0">
            <x v="9"/>
          </reference>
        </references>
      </pivotArea>
    </chartFormat>
    <chartFormat chart="8" format="121">
      <pivotArea type="data" outline="0" fieldPosition="0">
        <references count="2">
          <reference field="4294967294" count="1" selected="0">
            <x v="2"/>
          </reference>
          <reference field="8" count="1" selected="0">
            <x v="10"/>
          </reference>
        </references>
      </pivotArea>
    </chartFormat>
    <chartFormat chart="8" format="122">
      <pivotArea type="data" outline="0" fieldPosition="0">
        <references count="2">
          <reference field="4294967294" count="1" selected="0">
            <x v="2"/>
          </reference>
          <reference field="8" count="1" selected="0">
            <x v="11"/>
          </reference>
        </references>
      </pivotArea>
    </chartFormat>
    <chartFormat chart="8" format="123">
      <pivotArea type="data" outline="0" fieldPosition="0">
        <references count="2">
          <reference field="4294967294" count="1" selected="0">
            <x v="2"/>
          </reference>
          <reference field="8" count="1" selected="0">
            <x v="12"/>
          </reference>
        </references>
      </pivotArea>
    </chartFormat>
    <chartFormat chart="8" format="124">
      <pivotArea type="data" outline="0" fieldPosition="0">
        <references count="2">
          <reference field="4294967294" count="1" selected="0">
            <x v="2"/>
          </reference>
          <reference field="8" count="1" selected="0">
            <x v="13"/>
          </reference>
        </references>
      </pivotArea>
    </chartFormat>
    <chartFormat chart="8" format="125">
      <pivotArea type="data" outline="0" fieldPosition="0">
        <references count="2">
          <reference field="4294967294" count="1" selected="0">
            <x v="2"/>
          </reference>
          <reference field="8" count="1" selected="0">
            <x v="14"/>
          </reference>
        </references>
      </pivotArea>
    </chartFormat>
    <chartFormat chart="8" format="126">
      <pivotArea type="data" outline="0" fieldPosition="0">
        <references count="2">
          <reference field="4294967294" count="1" selected="0">
            <x v="2"/>
          </reference>
          <reference field="8" count="1" selected="0">
            <x v="15"/>
          </reference>
        </references>
      </pivotArea>
    </chartFormat>
    <chartFormat chart="8" format="127">
      <pivotArea type="data" outline="0" fieldPosition="0">
        <references count="2">
          <reference field="4294967294" count="1" selected="0">
            <x v="2"/>
          </reference>
          <reference field="8" count="1" selected="0">
            <x v="16"/>
          </reference>
        </references>
      </pivotArea>
    </chartFormat>
    <chartFormat chart="8" format="128">
      <pivotArea type="data" outline="0" fieldPosition="0">
        <references count="2">
          <reference field="4294967294" count="1" selected="0">
            <x v="2"/>
          </reference>
          <reference field="8" count="1" selected="0">
            <x v="17"/>
          </reference>
        </references>
      </pivotArea>
    </chartFormat>
    <chartFormat chart="8" format="129">
      <pivotArea type="data" outline="0" fieldPosition="0">
        <references count="2">
          <reference field="4294967294" count="1" selected="0">
            <x v="2"/>
          </reference>
          <reference field="8" count="1" selected="0">
            <x v="18"/>
          </reference>
        </references>
      </pivotArea>
    </chartFormat>
    <chartFormat chart="8" format="130">
      <pivotArea type="data" outline="0" fieldPosition="0">
        <references count="2">
          <reference field="4294967294" count="1" selected="0">
            <x v="2"/>
          </reference>
          <reference field="8"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F7A660-0811-4E76-9D50-72A700898A1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F2:H5" firstHeaderRow="0" firstDataRow="1" firstDataCol="1"/>
  <pivotFields count="16">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items count="3">
        <item x="0"/>
        <item x="1"/>
        <item t="default"/>
      </items>
    </pivotField>
    <pivotField showAll="0">
      <items count="8">
        <item x="2"/>
        <item x="3"/>
        <item x="4"/>
        <item x="5"/>
        <item x="6"/>
        <item x="0"/>
        <item x="1"/>
        <item t="default"/>
      </items>
    </pivotField>
    <pivotField showAll="0">
      <items count="5">
        <item x="0"/>
        <item x="2"/>
        <item x="1"/>
        <item x="3"/>
        <item t="default"/>
      </items>
    </pivotField>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5"/>
    <field x="14"/>
    <field x="1"/>
  </rowFields>
  <rowItems count="3">
    <i>
      <x v="1"/>
    </i>
    <i>
      <x v="2"/>
    </i>
    <i t="grand">
      <x/>
    </i>
  </rowItems>
  <colFields count="1">
    <field x="-2"/>
  </colFields>
  <colItems count="2">
    <i>
      <x/>
    </i>
    <i i="1">
      <x v="1"/>
    </i>
  </colItems>
  <dataFields count="2">
    <dataField name="Sum of Total_count" fld="13" baseField="0" baseItem="0"/>
    <dataField name="Average of Total_count2" fld="13" subtotal="average" baseField="15" baseItem="1"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BDFE93-E00B-4580-A0DB-8ADCA31E0114}"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N2:Q7" firstHeaderRow="0"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items count="3">
        <item x="0"/>
        <item x="1"/>
        <item t="default"/>
      </items>
    </pivotField>
    <pivotField showAll="0">
      <items count="8">
        <item x="2"/>
        <item x="3"/>
        <item x="4"/>
        <item x="5"/>
        <item x="6"/>
        <item x="0"/>
        <item x="1"/>
        <item t="default"/>
      </items>
    </pivotField>
    <pivotField axis="axisRow" showAll="0">
      <items count="5">
        <item x="0"/>
        <item x="2"/>
        <item x="1"/>
        <item x="3"/>
        <item t="default"/>
      </items>
    </pivotField>
    <pivotField showAll="0">
      <items count="31">
        <item x="27"/>
        <item x="28"/>
        <item x="25"/>
        <item x="26"/>
        <item x="21"/>
        <item x="22"/>
        <item x="23"/>
        <item x="14"/>
        <item x="15"/>
        <item x="13"/>
        <item x="19"/>
        <item x="16"/>
        <item x="17"/>
        <item x="3"/>
        <item x="12"/>
        <item x="11"/>
        <item x="18"/>
        <item x="2"/>
        <item x="1"/>
        <item x="0"/>
        <item x="24"/>
        <item x="20"/>
        <item x="6"/>
        <item x="4"/>
        <item x="29"/>
        <item x="5"/>
        <item x="10"/>
        <item x="7"/>
        <item x="9"/>
        <item x="8"/>
        <item t="default"/>
      </items>
    </pivotField>
    <pivotField showAll="0"/>
    <pivotField showAll="0"/>
    <pivotField showAll="0"/>
    <pivotField dataField="1" showAll="0"/>
    <pivotField dataField="1"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5">
    <i>
      <x/>
    </i>
    <i>
      <x v="1"/>
    </i>
    <i>
      <x v="2"/>
    </i>
    <i>
      <x v="3"/>
    </i>
    <i t="grand">
      <x/>
    </i>
  </rowItems>
  <colFields count="1">
    <field x="-2"/>
  </colFields>
  <colItems count="3">
    <i>
      <x/>
    </i>
    <i i="1">
      <x v="1"/>
    </i>
    <i i="2">
      <x v="2"/>
    </i>
  </colItems>
  <dataFields count="3">
    <dataField name="Sum of Total_count" fld="13" baseField="0" baseItem="0"/>
    <dataField name="Sum of Registered_customers" fld="12" baseField="0" baseItem="0"/>
    <dataField name="Sum of Casual_customers" fld="11" baseField="0" baseItem="0"/>
  </dataFields>
  <chartFormats count="9">
    <chartFormat chart="3"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1B7545-99B7-4C63-B00D-5AB634A7EF65}"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K4:L28" firstHeaderRow="1" firstDataRow="1" firstDataCol="1" rowPageCount="1" colPageCount="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items count="3">
        <item x="0"/>
        <item x="1"/>
        <item t="default"/>
      </items>
    </pivotField>
    <pivotField showAll="0">
      <items count="8">
        <item x="2"/>
        <item x="3"/>
        <item x="4"/>
        <item x="5"/>
        <item x="6"/>
        <item x="0"/>
        <item x="1"/>
        <item t="default"/>
      </items>
    </pivotField>
    <pivotField showAll="0">
      <items count="5">
        <item x="0"/>
        <item x="2"/>
        <item x="1"/>
        <item x="3"/>
        <item t="default"/>
      </items>
    </pivotField>
    <pivotField axis="axisPage" showAll="0">
      <items count="31">
        <item x="27"/>
        <item x="28"/>
        <item x="25"/>
        <item x="26"/>
        <item x="21"/>
        <item x="22"/>
        <item x="23"/>
        <item x="14"/>
        <item x="15"/>
        <item x="13"/>
        <item x="19"/>
        <item x="16"/>
        <item x="17"/>
        <item x="3"/>
        <item x="12"/>
        <item x="11"/>
        <item x="18"/>
        <item x="2"/>
        <item x="1"/>
        <item x="0"/>
        <item x="24"/>
        <item x="20"/>
        <item x="6"/>
        <item x="4"/>
        <item x="29"/>
        <item x="5"/>
        <item x="10"/>
        <item x="7"/>
        <item x="9"/>
        <item x="8"/>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ageFields count="1">
    <pageField fld="7" hier="-1"/>
  </pageFields>
  <dataFields count="1">
    <dataField name="Sum of Total_count" fld="13" baseField="0" baseItem="0"/>
  </dataFields>
  <chartFormats count="2">
    <chartFormat chart="4" format="4"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6606585A-8160-49B9-9B9C-A0CA712AD8DE}" autoFormatId="16" applyNumberFormats="0" applyBorderFormats="0" applyFontFormats="0" applyPatternFormats="0" applyAlignmentFormats="0" applyWidthHeightFormats="0">
  <queryTableRefresh nextId="17">
    <queryTableFields count="14">
      <queryTableField id="1" name="S.No." tableColumnId="1"/>
      <queryTableField id="2" name="dteday" tableColumnId="2"/>
      <queryTableField id="3" name="hr" tableColumnId="3"/>
      <queryTableField id="4" name="Time of Day" tableColumnId="4"/>
      <queryTableField id="5" name="holiday" tableColumnId="5"/>
      <queryTableField id="6" name="weekday" tableColumnId="6"/>
      <queryTableField id="7" name="weathersit" tableColumnId="7"/>
      <queryTableField id="16" dataBound="0" tableColumnId="9"/>
      <queryTableField id="8" name="temp" tableColumnId="8"/>
      <queryTableField id="10" name="hum" tableColumnId="10"/>
      <queryTableField id="11" name="windspeed" tableColumnId="11"/>
      <queryTableField id="12" name="casual" tableColumnId="12"/>
      <queryTableField id="13" name="registered" tableColumnId="13"/>
      <queryTableField id="14" name="cnt" tableColumnId="14"/>
    </queryTableFields>
    <queryTableDeletedFields count="2">
      <deletedField name="key"/>
      <deletedField name="a.temp"/>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7" xr16:uid="{B11E627C-3BC1-4566-B2B2-37BC33FB7309}" autoFormatId="16" applyNumberFormats="0" applyBorderFormats="0" applyFontFormats="0" applyPatternFormats="0" applyAlignmentFormats="0" applyWidthHeightFormats="0">
  <queryTableRefresh nextId="16">
    <queryTableFields count="14">
      <queryTableField id="1" name="S.No." tableColumnId="1"/>
      <queryTableField id="2" name="dteday" tableColumnId="2"/>
      <queryTableField id="3" name="hr" tableColumnId="3"/>
      <queryTableField id="4" name="Time of Day" tableColumnId="4"/>
      <queryTableField id="5" name="holiday" tableColumnId="5"/>
      <queryTableField id="6" name="weekday" tableColumnId="6"/>
      <queryTableField id="7" name="weathersit" tableColumnId="7"/>
      <queryTableField id="8" name="temp" tableColumnId="8"/>
      <queryTableField id="10" name="dataset_2 (2).atemp" tableColumnId="10"/>
      <queryTableField id="11" name="dataset_2 (2).hum" tableColumnId="11"/>
      <queryTableField id="12" name="dataset_2 (2).windspeed" tableColumnId="12"/>
      <queryTableField id="13" name="dataset_2 (2).casual" tableColumnId="13"/>
      <queryTableField id="14" name="dataset_2 (2).registered" tableColumnId="14"/>
      <queryTableField id="15" name="dataset_2 (2).cnt" tableColumnId="15"/>
    </queryTableFields>
    <queryTableDeletedFields count="1">
      <deletedField name="key"/>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7FE74B34-85B3-40E2-B6CF-58BDA041592E}" autoFormatId="16" applyNumberFormats="0" applyBorderFormats="0" applyFontFormats="0" applyPatternFormats="0" applyAlignmentFormats="0" applyWidthHeightFormats="0">
  <queryTableRefresh nextId="16">
    <queryTableFields count="14">
      <queryTableField id="1" name="S.No." tableColumnId="1"/>
      <queryTableField id="2" name="dteday" tableColumnId="2"/>
      <queryTableField id="3" name="hr" tableColumnId="3"/>
      <queryTableField id="15" dataBound="0" tableColumnId="15"/>
      <queryTableField id="4" name="holiday" tableColumnId="4"/>
      <queryTableField id="5" name="weekday" tableColumnId="5"/>
      <queryTableField id="6" name="weathersit" tableColumnId="6"/>
      <queryTableField id="7" name="temp" tableColumnId="7"/>
      <queryTableField id="8" name="atemp" tableColumnId="8"/>
      <queryTableField id="9" name="hum" tableColumnId="9"/>
      <queryTableField id="10" name="windspeed" tableColumnId="10"/>
      <queryTableField id="11" name="casual" tableColumnId="11"/>
      <queryTableField id="12" name="registered" tableColumnId="12"/>
      <queryTableField id="13" name="cnt"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AAEF3FEB-C653-43C4-8FA7-B160C9E5C2F7}" autoFormatId="16" applyNumberFormats="0" applyBorderFormats="0" applyFontFormats="0" applyPatternFormats="0" applyAlignmentFormats="0" applyWidthHeightFormats="0">
  <queryTableRefresh nextId="9">
    <queryTableFields count="7">
      <queryTableField id="1" name="S.No."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21E16E24-CA07-4F64-87B6-30CAF5FF3D88}" sourceName="Time of Day">
  <pivotTables>
    <pivotTable tabId="12" name="PivotTable5"/>
    <pivotTable tabId="12" name="PivotTable6"/>
    <pivotTable tabId="12" name="PivotTable8"/>
    <pivotTable tabId="12" name="PivotTable9"/>
    <pivotTable tabId="29" name="PivotTable2"/>
    <pivotTable tabId="29" name="PivotTable7"/>
  </pivotTables>
  <data>
    <tabular pivotCacheId="877072511">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BEBA8DA1-5032-4DCC-9C54-3A52A7C21DE9}" sourceName="Holiday">
  <pivotTables>
    <pivotTable tabId="12" name="PivotTable5"/>
    <pivotTable tabId="12" name="PivotTable6"/>
    <pivotTable tabId="12" name="PivotTable8"/>
    <pivotTable tabId="12" name="PivotTable9"/>
    <pivotTable tabId="29" name="PivotTable2"/>
    <pivotTable tabId="29" name="PivotTable7"/>
  </pivotTables>
  <data>
    <tabular pivotCacheId="87707251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2D7ED97D-BCEE-4DCD-B6B3-9C1A35053E79}" sourceName="Weekday">
  <pivotTables>
    <pivotTable tabId="12" name="PivotTable5"/>
    <pivotTable tabId="12" name="PivotTable6"/>
    <pivotTable tabId="12" name="PivotTable8"/>
    <pivotTable tabId="12" name="PivotTable9"/>
    <pivotTable tabId="29" name="PivotTable2"/>
    <pivotTable tabId="29" name="PivotTable7"/>
  </pivotTables>
  <data>
    <tabular pivotCacheId="877072511">
      <items count="7">
        <i x="2" s="1"/>
        <i x="3" s="1"/>
        <i x="4" s="1"/>
        <i x="5" s="1"/>
        <i x="6"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87333C68-3020-41CA-B223-848AC4222885}" sourceName="Weathersit">
  <pivotTables>
    <pivotTable tabId="12" name="PivotTable5"/>
    <pivotTable tabId="12" name="PivotTable6"/>
    <pivotTable tabId="12" name="PivotTable8"/>
    <pivotTable tabId="12" name="PivotTable9"/>
    <pivotTable tabId="29" name="PivotTable2"/>
    <pivotTable tabId="29" name="PivotTable7"/>
  </pivotTables>
  <data>
    <tabular pivotCacheId="87707251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of Day 1" xr10:uid="{7C5C75C0-D5B6-46AC-B7F1-3F966BD56480}" cache="Slicer_Time_of_Day" caption="Time of Day" columnCount="2" rowHeight="219600"/>
  <slicer name="Holiday 1" xr10:uid="{C0E1D50E-AB85-40A0-B80A-71E5E6D41CE1}" cache="Slicer_Holiday" caption="Holiday" columnCount="2" rowHeight="220133"/>
  <slicer name="Weekday 1" xr10:uid="{EC73AE41-030B-4472-9CA8-8521FCC25EF1}" cache="Slicer_Weekday" caption="Weekday" columnCount="4" rowHeight="219600"/>
  <slicer name="Weathersit 1" xr10:uid="{0354AEEF-1E6B-4C6A-B935-FA33E71637A0}" cache="Slicer_Weathersit" caption="Weathersit" columnCount="2"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94F645D-5E66-4749-801E-EA475416721F}" name="Table12" displayName="Table12" ref="A1:E58" totalsRowShown="0">
  <autoFilter ref="A1:E58" xr:uid="{994F645D-5E66-4749-801E-EA475416721F}"/>
  <tableColumns count="5">
    <tableColumn id="1" xr3:uid="{6D9093BD-32C1-4678-B69A-8658A2130A0A}" name="Date" dataDxfId="95"/>
    <tableColumn id="2" xr3:uid="{807FCB0A-3F0A-412F-9CDF-79A282D992D1}" name="Total_count"/>
    <tableColumn id="3" xr3:uid="{BA3A3E1A-3441-4E16-BEF3-24F6C6A57C27}" name="Forecast(Total_count)">
      <calculatedColumnFormula>_xlfn.FORECAST.ETS(A2,$B$2:$B$46,$A$2:$A$46,1,1)</calculatedColumnFormula>
    </tableColumn>
    <tableColumn id="4" xr3:uid="{6B30A5B3-2EFB-433E-AB0E-2B6499A4505C}" name="Lower Confidence Bound(Total_count)" dataDxfId="94">
      <calculatedColumnFormula>C2-_xlfn.FORECAST.ETS.CONFINT(A2,$B$2:$B$46,$A$2:$A$46,0.95,1,1)</calculatedColumnFormula>
    </tableColumn>
    <tableColumn id="5" xr3:uid="{050FB0E5-DD59-47E8-A99B-2BB03251491C}" name="Upper Confidence Bound(Total_count)" dataDxfId="93">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B05D0F-B804-40D6-A8FE-033E3737C31D}" name="Append1" displayName="Append1" ref="A1:N1001" tableType="queryTable" totalsRowShown="0" headerRowDxfId="92" dataDxfId="91">
  <autoFilter ref="A1:N1001" xr:uid="{27B05D0F-B804-40D6-A8FE-033E3737C31D}"/>
  <tableColumns count="14">
    <tableColumn id="1" xr3:uid="{95292627-5FF4-4DF5-867B-56E597B28F57}" uniqueName="1" name="S.No." queryTableFieldId="1" dataDxfId="90"/>
    <tableColumn id="2" xr3:uid="{CE381A55-06C4-4E7A-9CD8-301D35A34AEC}" uniqueName="2" name="Date" queryTableFieldId="2" dataDxfId="89"/>
    <tableColumn id="3" xr3:uid="{4626BD3A-2584-4108-8ACA-251E365F7ABF}" uniqueName="3" name="Hour" queryTableFieldId="3" dataDxfId="88"/>
    <tableColumn id="4" xr3:uid="{7F265CE0-800B-4FF9-A284-54B981B42DB9}" uniqueName="4" name="Time of Day" queryTableFieldId="4" dataDxfId="87"/>
    <tableColumn id="5" xr3:uid="{ECE89568-0FB3-4AAE-A599-3ED944DCC938}" uniqueName="5" name="Holiday" queryTableFieldId="5" dataDxfId="86"/>
    <tableColumn id="6" xr3:uid="{659ADBCE-7835-48F5-B27B-BE80F404420A}" uniqueName="6" name="Weekday" queryTableFieldId="6" dataDxfId="85"/>
    <tableColumn id="7" xr3:uid="{DBC50FDB-B2B9-4A04-B000-345088C70D4D}" uniqueName="7" name="Weathersit" queryTableFieldId="7" dataDxfId="84"/>
    <tableColumn id="9" xr3:uid="{420E3042-BB6A-44A3-B3EB-D21461C375ED}" uniqueName="9" name="Assumed_temp" queryTableFieldId="16" dataDxfId="83"/>
    <tableColumn id="8" xr3:uid="{1116B4A0-4CDF-49F2-A9A4-D129F90B3738}" uniqueName="8" name="Temperature" queryTableFieldId="8" dataDxfId="82"/>
    <tableColumn id="10" xr3:uid="{BC4505CD-D9C5-4973-8767-30E9694FA072}" uniqueName="10" name="Humidity" queryTableFieldId="10" dataDxfId="81"/>
    <tableColumn id="11" xr3:uid="{F9A8FBA1-B74C-4A71-9E2D-E21D6AE13B51}" uniqueName="11" name="Windspeed" queryTableFieldId="11" dataDxfId="80"/>
    <tableColumn id="12" xr3:uid="{24870BE4-F68B-48B6-85E2-E1041B6778E4}" uniqueName="12" name="Casual_customers" queryTableFieldId="12" dataDxfId="79"/>
    <tableColumn id="13" xr3:uid="{11733A5B-AA16-4BBF-8403-D49A66208C31}" uniqueName="13" name="Registered_customers" queryTableFieldId="13" dataDxfId="78"/>
    <tableColumn id="14" xr3:uid="{F53955AD-B544-4129-ADF9-F322FFA49DCE}" uniqueName="14" name="Total_count" queryTableFieldId="14" dataDxfId="7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357188-B0EB-4A4F-A96E-858A0C67FD3B}" name="Merge1" displayName="Merge1" ref="A1:N611" tableType="queryTable" totalsRowShown="0" headerRowDxfId="76" dataDxfId="75">
  <autoFilter ref="A1:N611" xr:uid="{09357188-B0EB-4A4F-A96E-858A0C67FD3B}"/>
  <tableColumns count="14">
    <tableColumn id="1" xr3:uid="{62E45B67-9738-4222-AAFC-24432D09D60A}" uniqueName="1" name="S.No." queryTableFieldId="1" dataDxfId="74"/>
    <tableColumn id="2" xr3:uid="{771401C9-A906-461F-B420-DCCC599CEE3A}" uniqueName="2" name="Date" queryTableFieldId="2" dataDxfId="73"/>
    <tableColumn id="3" xr3:uid="{59FEA533-B1DB-4A6A-B92E-83DE428B568E}" uniqueName="3" name="Hour" queryTableFieldId="3" dataDxfId="72"/>
    <tableColumn id="4" xr3:uid="{210E5BD0-6D1F-4EAE-AF98-F42DBB612B52}" uniqueName="4" name="Time of Day" queryTableFieldId="4" dataDxfId="71"/>
    <tableColumn id="5" xr3:uid="{DE0F16BE-B8B0-44A7-B21F-AE667954B231}" uniqueName="5" name="Holiday" queryTableFieldId="5" dataDxfId="70"/>
    <tableColumn id="6" xr3:uid="{D751BDFB-4AE1-4E4E-A95C-068CD0F72910}" uniqueName="6" name="Weekday" queryTableFieldId="6" dataDxfId="69"/>
    <tableColumn id="7" xr3:uid="{DE6DC587-9787-4DFE-B777-C83C000A2415}" uniqueName="7" name="Weathersit" queryTableFieldId="7" dataDxfId="68"/>
    <tableColumn id="8" xr3:uid="{59709CFA-DD05-42E2-A13C-AC70E11A48D7}" uniqueName="8" name="Temperature" queryTableFieldId="8" dataDxfId="67"/>
    <tableColumn id="10" xr3:uid="{9E8CFADE-DD7E-4710-A952-D26FC7BA4F92}" uniqueName="10" name="Assumed_temp" queryTableFieldId="10" dataDxfId="66"/>
    <tableColumn id="11" xr3:uid="{44221F99-F63B-48E1-95E1-D415020D06BF}" uniqueName="11" name="Humidity" queryTableFieldId="11" dataDxfId="65"/>
    <tableColumn id="12" xr3:uid="{AB81B1B6-77A1-447D-8C5B-894FBE3C403A}" uniqueName="12" name="Windspeed" queryTableFieldId="12" dataDxfId="64"/>
    <tableColumn id="13" xr3:uid="{E5B45A33-3416-4030-BCB5-0F8A52B2D159}" uniqueName="13" name="Casual_customers" queryTableFieldId="13" dataDxfId="63"/>
    <tableColumn id="14" xr3:uid="{A3C85B20-AA9D-4734-A1D5-13CA03DFB01A}" uniqueName="14" name="Registered_customers" queryTableFieldId="14" dataDxfId="62"/>
    <tableColumn id="15" xr3:uid="{2566AE1D-2698-419B-93A3-C207C5D65C73}" uniqueName="15" name="Total_count" queryTableFieldId="15" dataDxfId="6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FA79CD-715A-4ACC-825F-3594A4EFB834}" name="dataset_3" displayName="dataset_3" ref="A1:N391" tableType="queryTable" totalsRowShown="0" headerRowDxfId="60" dataDxfId="59">
  <autoFilter ref="A1:N391" xr:uid="{40FA79CD-715A-4ACC-825F-3594A4EFB834}"/>
  <tableColumns count="14">
    <tableColumn id="1" xr3:uid="{C6C6B235-5FDF-43C2-AFC4-C85398B5CABA}" uniqueName="1" name="S.No." queryTableFieldId="1" dataDxfId="58"/>
    <tableColumn id="2" xr3:uid="{52DE63CE-6269-4014-A98A-BA06DB4973A1}" uniqueName="2" name="Date" queryTableFieldId="2" dataDxfId="57"/>
    <tableColumn id="3" xr3:uid="{4D785C9C-7BEA-4FA3-8294-3FE39DC6CDBF}" uniqueName="3" name="Hour" queryTableFieldId="3" dataDxfId="56"/>
    <tableColumn id="15" xr3:uid="{0F87ABBD-9A26-4A4A-A615-834C4A071EFE}" uniqueName="15" name="Time of Day" queryTableFieldId="15" dataDxfId="55">
      <calculatedColumnFormula>IF($C2&lt;6,"Night",IF($C2&lt;12,"Morning",IF($C2&lt;18,"Afternoon","Evening")))</calculatedColumnFormula>
    </tableColumn>
    <tableColumn id="4" xr3:uid="{74F2DF06-8E72-4ECF-9E9B-7359342E343C}" uniqueName="4" name="Holiday" queryTableFieldId="4" dataDxfId="54"/>
    <tableColumn id="5" xr3:uid="{53257943-BDD7-4775-AA32-933CB1C7E01F}" uniqueName="5" name="Weekday" queryTableFieldId="5" dataDxfId="53"/>
    <tableColumn id="6" xr3:uid="{7E98A868-C252-40E2-A1DD-E8A98ABBD2F0}" uniqueName="6" name="Weathersit" queryTableFieldId="6" dataDxfId="52"/>
    <tableColumn id="7" xr3:uid="{4F56A60D-A324-48DC-BDC3-134194997A09}" uniqueName="7" name="Temperature" queryTableFieldId="7" dataDxfId="51"/>
    <tableColumn id="8" xr3:uid="{E5B08336-10DA-43D1-B6A0-17FFE76ADD12}" uniqueName="8" name="Assumed_temp" queryTableFieldId="8" dataDxfId="50"/>
    <tableColumn id="9" xr3:uid="{1DD3B9E8-6C04-4817-8805-3A5B6ADA1EA3}" uniqueName="9" name="Humidity" queryTableFieldId="9" dataDxfId="49"/>
    <tableColumn id="10" xr3:uid="{288918B4-537F-4B84-A499-A20F39A4EFBE}" uniqueName="10" name="Windspeed" queryTableFieldId="10" dataDxfId="48"/>
    <tableColumn id="11" xr3:uid="{A67F05D0-11FF-44D1-96E2-7D55AE11ACFF}" uniqueName="11" name="Casual_customers" queryTableFieldId="11" dataDxfId="47"/>
    <tableColumn id="12" xr3:uid="{EF852935-90FF-4558-902C-B91CFA9FDBCE}" uniqueName="12" name="Registered_customers" queryTableFieldId="12" dataDxfId="46"/>
    <tableColumn id="13" xr3:uid="{268A0CA2-ECCA-446A-84E0-2379B5B39E9C}" uniqueName="13" name="Total_count" queryTableFieldId="13" dataDxfId="4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22AAF8-F8BD-418A-B3B1-14FDEB1F4E19}" name="dataset_2" displayName="dataset_2" ref="A1:G611" tableType="queryTable" totalsRowShown="0" headerRowDxfId="44" dataDxfId="43">
  <autoFilter ref="A1:G611" xr:uid="{E522AAF8-F8BD-418A-B3B1-14FDEB1F4E19}"/>
  <tableColumns count="7">
    <tableColumn id="1" xr3:uid="{0184206D-99DD-478E-89E0-B424A322D7D3}" uniqueName="1" name="S.No." queryTableFieldId="1" dataDxfId="42"/>
    <tableColumn id="2" xr3:uid="{9F1B17AA-AA51-4BFD-9A09-476B1F9F490B}" uniqueName="2" name="Assumed_temp" queryTableFieldId="2" dataDxfId="41"/>
    <tableColumn id="3" xr3:uid="{23F7FDAB-8E10-4824-B85E-AA2AD8217331}" uniqueName="3" name="Humidity" queryTableFieldId="3" dataDxfId="40"/>
    <tableColumn id="4" xr3:uid="{D04AA635-5253-479D-BA36-D1FA98D62461}" uniqueName="4" name="Windspeed" queryTableFieldId="4" dataDxfId="39"/>
    <tableColumn id="5" xr3:uid="{D6426437-FD0E-4ADA-8C29-495473D50627}" uniqueName="5" name="Casual_customers" queryTableFieldId="5" dataDxfId="38"/>
    <tableColumn id="6" xr3:uid="{D69EE5AF-F4F8-4CA7-B6AF-B07CF963442F}" uniqueName="6" name="Registered_customers" queryTableFieldId="6" dataDxfId="37"/>
    <tableColumn id="7" xr3:uid="{2EC514AC-FDFA-450E-A6C4-21E8F133A028}" uniqueName="7" name="Total_count" queryTableFieldId="7" dataDxfId="36"/>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C8D55A-A2A4-4675-9ABF-39C122EA507A}" name="Table1" displayName="Table1" ref="A1:H611" totalsRowShown="0" headerRowDxfId="35" dataDxfId="33" headerRowBorderDxfId="34" tableBorderDxfId="32" totalsRowBorderDxfId="31">
  <autoFilter ref="A1:H611" xr:uid="{B2C8D55A-A2A4-4675-9ABF-39C122EA507A}"/>
  <tableColumns count="8">
    <tableColumn id="1" xr3:uid="{66B37165-6EF6-42BB-A634-39A4F4B2CBDE}" name="S.No." dataDxfId="30"/>
    <tableColumn id="2" xr3:uid="{277364DF-05E4-4E69-85A7-7D7774955514}" name="Date" dataDxfId="29"/>
    <tableColumn id="6" xr3:uid="{AAF0F886-C5B6-4E5E-ACC5-D4002D716949}" name="Hour" dataDxfId="28"/>
    <tableColumn id="3" xr3:uid="{D86D3050-0185-40EB-8BDB-2FA297CF11DC}" name="Time of Day" dataDxfId="27">
      <calculatedColumnFormula>IF(Table1[[#This Row],[Hour]]&lt;6,"Night",IF(Table1[[#This Row],[Hour]]&lt;12,"Morning",IF(Table1[[#This Row],[Hour]]&lt;18,"Afternoon","Evening")))</calculatedColumnFormula>
    </tableColumn>
    <tableColumn id="7" xr3:uid="{68BAD19F-5BFB-4066-A99C-22F6F04F2745}" name="Holiday" dataDxfId="26"/>
    <tableColumn id="8" xr3:uid="{EC918444-779C-418A-B2F6-6FF8D8E89CC2}" name="Weekday" dataDxfId="25"/>
    <tableColumn id="9" xr3:uid="{6A491B4F-4256-4A2F-BC36-E2EBC21A5435}" name="Weathersit" dataDxfId="24"/>
    <tableColumn id="10" xr3:uid="{8A4E3EC0-A38B-4F71-B0B6-12B7E1BAB0C1}" name="Temperature" dataDxfId="2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D123AD0-7D1F-4DAC-A037-E2AA049EF9A0}" sourceName="Date">
  <pivotTables>
    <pivotTable tabId="12" name="PivotTable5"/>
    <pivotTable tabId="12" name="PivotTable6"/>
    <pivotTable tabId="12" name="PivotTable8"/>
    <pivotTable tabId="12" name="PivotTable9"/>
    <pivotTable tabId="29" name="PivotTable2"/>
    <pivotTable tabId="29" name="PivotTable7"/>
  </pivotTables>
  <state minimalRefreshVersion="6" lastRefreshVersion="6" pivotCacheId="877072511"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4871ADCB-8B5C-429C-9280-0F9C542DEFA4}" cache="NativeTimeline_Date" caption="Date" showHorizontalScrollbar="0" level="2" selectionLevel="2"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BF70D06-34F8-43BC-B5B4-C4B8F8573157}" cache="NativeTimeline_Date" caption="Date" level="2" selectionLevel="2" scrollPosition="2011-05-1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11/relationships/timeline" Target="../timelines/timeline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5.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4CDBD-BADC-4866-86E5-C66D6ACFC4BA}">
  <dimension ref="A1:E58"/>
  <sheetViews>
    <sheetView zoomScale="60" zoomScaleNormal="60" workbookViewId="0">
      <selection activeCell="C7" sqref="C7"/>
    </sheetView>
  </sheetViews>
  <sheetFormatPr defaultRowHeight="12.5"/>
  <cols>
    <col min="1" max="1" width="13.453125" customWidth="1"/>
    <col min="2" max="2" width="13.08984375" customWidth="1"/>
    <col min="3" max="3" width="21.90625" customWidth="1"/>
    <col min="4" max="4" width="36.08984375" customWidth="1"/>
    <col min="5" max="5" width="36" customWidth="1"/>
  </cols>
  <sheetData>
    <row r="1" spans="1:5">
      <c r="A1" t="s">
        <v>32</v>
      </c>
      <c r="B1" t="s">
        <v>42</v>
      </c>
      <c r="C1" t="s">
        <v>94</v>
      </c>
      <c r="D1" t="s">
        <v>95</v>
      </c>
      <c r="E1" t="s">
        <v>96</v>
      </c>
    </row>
    <row r="2" spans="1:5">
      <c r="A2" s="76">
        <v>40544</v>
      </c>
      <c r="B2" s="77">
        <v>41.041666666666664</v>
      </c>
    </row>
    <row r="3" spans="1:5">
      <c r="A3" s="76">
        <v>40545</v>
      </c>
      <c r="B3" s="77">
        <v>34.826086956521742</v>
      </c>
    </row>
    <row r="4" spans="1:5">
      <c r="A4" s="76">
        <v>40546</v>
      </c>
      <c r="B4" s="77">
        <v>61.31818181818182</v>
      </c>
    </row>
    <row r="5" spans="1:5">
      <c r="A5" s="76">
        <v>40547</v>
      </c>
      <c r="B5" s="77">
        <v>67.913043478260875</v>
      </c>
    </row>
    <row r="6" spans="1:5">
      <c r="A6" s="76">
        <v>40548</v>
      </c>
      <c r="B6" s="77">
        <v>69.565217391304344</v>
      </c>
    </row>
    <row r="7" spans="1:5">
      <c r="A7" s="76">
        <v>40549</v>
      </c>
      <c r="B7" s="77">
        <v>69.826086956521735</v>
      </c>
    </row>
    <row r="8" spans="1:5">
      <c r="A8" s="76">
        <v>40550</v>
      </c>
      <c r="B8" s="77">
        <v>65.652173913043484</v>
      </c>
    </row>
    <row r="9" spans="1:5">
      <c r="A9" s="76">
        <v>40551</v>
      </c>
      <c r="B9" s="77">
        <v>39.958333333333336</v>
      </c>
    </row>
    <row r="10" spans="1:5">
      <c r="A10" s="76">
        <v>40552</v>
      </c>
      <c r="B10" s="77">
        <v>34.25</v>
      </c>
    </row>
    <row r="11" spans="1:5">
      <c r="A11" s="76">
        <v>40553</v>
      </c>
      <c r="B11" s="77">
        <v>55.041666666666664</v>
      </c>
    </row>
    <row r="12" spans="1:5">
      <c r="A12" s="76">
        <v>40554</v>
      </c>
      <c r="B12" s="77">
        <v>57.409090909090907</v>
      </c>
    </row>
    <row r="13" spans="1:5">
      <c r="A13" s="76">
        <v>40555</v>
      </c>
      <c r="B13" s="77">
        <v>52.81818181818182</v>
      </c>
    </row>
    <row r="14" spans="1:5">
      <c r="A14" s="76">
        <v>40556</v>
      </c>
      <c r="B14" s="77">
        <v>58.583333333333336</v>
      </c>
    </row>
    <row r="15" spans="1:5">
      <c r="A15" s="76">
        <v>40557</v>
      </c>
      <c r="B15" s="77">
        <v>61.782608695652172</v>
      </c>
    </row>
    <row r="16" spans="1:5">
      <c r="A16" s="76">
        <v>40558</v>
      </c>
      <c r="B16" s="77">
        <v>52</v>
      </c>
    </row>
    <row r="17" spans="1:2">
      <c r="A17" s="76">
        <v>40559</v>
      </c>
      <c r="B17" s="77">
        <v>50.166666666666664</v>
      </c>
    </row>
    <row r="18" spans="1:2">
      <c r="A18" s="76">
        <v>40560</v>
      </c>
      <c r="B18" s="77">
        <v>41.666666666666664</v>
      </c>
    </row>
    <row r="19" spans="1:2">
      <c r="A19" s="76">
        <v>40561</v>
      </c>
      <c r="B19" s="77">
        <v>56.916666666666664</v>
      </c>
    </row>
    <row r="20" spans="1:2">
      <c r="A20" s="76">
        <v>40562</v>
      </c>
      <c r="B20" s="77">
        <v>71.739130434782609</v>
      </c>
    </row>
    <row r="21" spans="1:2">
      <c r="A21" s="76">
        <v>40563</v>
      </c>
      <c r="B21" s="77">
        <v>80.291666666666671</v>
      </c>
    </row>
    <row r="22" spans="1:2">
      <c r="A22" s="76">
        <v>40564</v>
      </c>
      <c r="B22" s="77">
        <v>64.291666666666671</v>
      </c>
    </row>
    <row r="23" spans="1:2">
      <c r="A23" s="76">
        <v>40565</v>
      </c>
      <c r="B23" s="77">
        <v>42.652173913043477</v>
      </c>
    </row>
    <row r="24" spans="1:2">
      <c r="A24" s="76">
        <v>40566</v>
      </c>
      <c r="B24" s="77">
        <v>42.869565217391305</v>
      </c>
    </row>
    <row r="25" spans="1:2">
      <c r="A25" s="76">
        <v>40567</v>
      </c>
      <c r="B25" s="77">
        <v>61.565217391304351</v>
      </c>
    </row>
    <row r="26" spans="1:2">
      <c r="A26" s="76">
        <v>40568</v>
      </c>
      <c r="B26" s="77">
        <v>86.304347826086953</v>
      </c>
    </row>
    <row r="27" spans="1:2">
      <c r="A27" s="76">
        <v>40569</v>
      </c>
      <c r="B27" s="77">
        <v>31.625</v>
      </c>
    </row>
    <row r="28" spans="1:2">
      <c r="A28" s="76">
        <v>40570</v>
      </c>
      <c r="B28" s="77">
        <v>53.875</v>
      </c>
    </row>
    <row r="29" spans="1:2">
      <c r="A29" s="76">
        <v>40571</v>
      </c>
      <c r="B29" s="77">
        <v>50.739130434782609</v>
      </c>
    </row>
    <row r="30" spans="1:2">
      <c r="A30" s="76">
        <v>40572</v>
      </c>
      <c r="B30" s="77">
        <v>47.739130434782609</v>
      </c>
    </row>
    <row r="31" spans="1:2">
      <c r="A31" s="76">
        <v>40573</v>
      </c>
      <c r="B31" s="77">
        <v>47.652173913043477</v>
      </c>
    </row>
    <row r="32" spans="1:2">
      <c r="A32" s="76">
        <v>40574</v>
      </c>
      <c r="B32" s="77">
        <v>62.541666666666664</v>
      </c>
    </row>
    <row r="33" spans="1:5">
      <c r="A33" s="76">
        <v>40575</v>
      </c>
      <c r="B33" s="77">
        <v>59.130434782608695</v>
      </c>
    </row>
    <row r="34" spans="1:5">
      <c r="A34" s="76">
        <v>40576</v>
      </c>
      <c r="B34" s="77">
        <v>63.583333333333336</v>
      </c>
    </row>
    <row r="35" spans="1:5">
      <c r="A35" s="76">
        <v>40577</v>
      </c>
      <c r="B35" s="77">
        <v>67.391304347826093</v>
      </c>
    </row>
    <row r="36" spans="1:5">
      <c r="A36" s="76">
        <v>40578</v>
      </c>
      <c r="B36" s="77">
        <v>74.260869565217391</v>
      </c>
    </row>
    <row r="37" spans="1:5">
      <c r="A37" s="76">
        <v>40579</v>
      </c>
      <c r="B37" s="77">
        <v>41.875</v>
      </c>
    </row>
    <row r="38" spans="1:5">
      <c r="A38" s="76">
        <v>40580</v>
      </c>
      <c r="B38" s="77">
        <v>67.625</v>
      </c>
    </row>
    <row r="39" spans="1:5">
      <c r="A39" s="76">
        <v>40581</v>
      </c>
      <c r="B39" s="77">
        <v>71.333333333333329</v>
      </c>
    </row>
    <row r="40" spans="1:5">
      <c r="A40" s="76">
        <v>40582</v>
      </c>
      <c r="B40" s="77">
        <v>63.75</v>
      </c>
    </row>
    <row r="41" spans="1:5">
      <c r="A41" s="76">
        <v>40583</v>
      </c>
      <c r="B41" s="77">
        <v>69.782608695652172</v>
      </c>
    </row>
    <row r="42" spans="1:5">
      <c r="A42" s="76">
        <v>40584</v>
      </c>
      <c r="B42" s="77">
        <v>66.869565217391298</v>
      </c>
    </row>
    <row r="43" spans="1:5">
      <c r="A43" s="76">
        <v>40585</v>
      </c>
      <c r="B43" s="77">
        <v>79.36363636363636</v>
      </c>
    </row>
    <row r="44" spans="1:5">
      <c r="A44" s="76">
        <v>40586</v>
      </c>
      <c r="B44" s="77">
        <v>61.333333333333336</v>
      </c>
    </row>
    <row r="45" spans="1:5">
      <c r="A45" s="76">
        <v>40587</v>
      </c>
      <c r="B45" s="77">
        <v>69.086956521739125</v>
      </c>
    </row>
    <row r="46" spans="1:5">
      <c r="A46" s="76">
        <v>40588</v>
      </c>
      <c r="B46" s="77">
        <v>18.875</v>
      </c>
      <c r="C46" s="77">
        <v>18.875</v>
      </c>
      <c r="D46" s="77">
        <v>18.875</v>
      </c>
      <c r="E46" s="77">
        <v>18.875</v>
      </c>
    </row>
    <row r="47" spans="1:5">
      <c r="A47" s="76">
        <v>40589</v>
      </c>
      <c r="C47" s="77">
        <f t="shared" ref="C47:C58" si="0">_xlfn.FORECAST.ETS(A47,$B$2:$B$46,$A$2:$A$46,1,1)</f>
        <v>61.270134143024279</v>
      </c>
      <c r="D47" s="77">
        <f t="shared" ref="D47:D58" si="1">C47-_xlfn.FORECAST.ETS.CONFINT(A47,$B$2:$B$46,$A$2:$A$46,0.95,1,1)</f>
        <v>31.858655883675784</v>
      </c>
      <c r="E47" s="77">
        <f t="shared" ref="E47:E58" si="2">C47+_xlfn.FORECAST.ETS.CONFINT(A47,$B$2:$B$46,$A$2:$A$46,0.95,1,1)</f>
        <v>90.681612402372778</v>
      </c>
    </row>
    <row r="48" spans="1:5">
      <c r="A48" s="76">
        <v>40590</v>
      </c>
      <c r="C48" s="77">
        <f t="shared" si="0"/>
        <v>61.525827765725516</v>
      </c>
      <c r="D48" s="77">
        <f t="shared" si="1"/>
        <v>31.878109408718345</v>
      </c>
      <c r="E48" s="77">
        <f t="shared" si="2"/>
        <v>91.173546122732688</v>
      </c>
    </row>
    <row r="49" spans="1:5">
      <c r="A49" s="76">
        <v>40591</v>
      </c>
      <c r="C49" s="77">
        <f t="shared" si="0"/>
        <v>61.781521388426746</v>
      </c>
      <c r="D49" s="77">
        <f t="shared" si="1"/>
        <v>31.895739851191895</v>
      </c>
      <c r="E49" s="77">
        <f t="shared" si="2"/>
        <v>91.667302925661602</v>
      </c>
    </row>
    <row r="50" spans="1:5">
      <c r="A50" s="76">
        <v>40592</v>
      </c>
      <c r="C50" s="77">
        <f t="shared" si="0"/>
        <v>62.037215011127984</v>
      </c>
      <c r="D50" s="77">
        <f t="shared" si="1"/>
        <v>31.911561716718598</v>
      </c>
      <c r="E50" s="77">
        <f t="shared" si="2"/>
        <v>92.162868305537373</v>
      </c>
    </row>
    <row r="51" spans="1:5">
      <c r="A51" s="76">
        <v>40593</v>
      </c>
      <c r="C51" s="77">
        <f t="shared" si="0"/>
        <v>62.292908633829221</v>
      </c>
      <c r="D51" s="77">
        <f t="shared" si="1"/>
        <v>31.925589377473688</v>
      </c>
      <c r="E51" s="77">
        <f t="shared" si="2"/>
        <v>92.660227890184757</v>
      </c>
    </row>
    <row r="52" spans="1:5">
      <c r="A52" s="76">
        <v>40594</v>
      </c>
      <c r="C52" s="77">
        <f t="shared" si="0"/>
        <v>62.548602256530458</v>
      </c>
      <c r="D52" s="77">
        <f t="shared" si="1"/>
        <v>31.937837068955986</v>
      </c>
      <c r="E52" s="77">
        <f t="shared" si="2"/>
        <v>93.15936744410493</v>
      </c>
    </row>
    <row r="53" spans="1:5">
      <c r="A53" s="76">
        <v>40595</v>
      </c>
      <c r="C53" s="77">
        <f t="shared" si="0"/>
        <v>62.804295879231688</v>
      </c>
      <c r="D53" s="77">
        <f t="shared" si="1"/>
        <v>31.948318887095059</v>
      </c>
      <c r="E53" s="77">
        <f t="shared" si="2"/>
        <v>93.660272871368321</v>
      </c>
    </row>
    <row r="54" spans="1:5">
      <c r="A54" s="76">
        <v>40596</v>
      </c>
      <c r="C54" s="77">
        <f t="shared" si="0"/>
        <v>63.059989501932925</v>
      </c>
      <c r="D54" s="77">
        <f t="shared" si="1"/>
        <v>31.95704878567814</v>
      </c>
      <c r="E54" s="77">
        <f t="shared" si="2"/>
        <v>94.162930218187711</v>
      </c>
    </row>
    <row r="55" spans="1:5">
      <c r="A55" s="76">
        <v>40597</v>
      </c>
      <c r="C55" s="77">
        <f t="shared" si="0"/>
        <v>63.315683124634162</v>
      </c>
      <c r="D55" s="77">
        <f t="shared" si="1"/>
        <v>31.964040574080091</v>
      </c>
      <c r="E55" s="77">
        <f t="shared" si="2"/>
        <v>94.667325675188238</v>
      </c>
    </row>
    <row r="56" spans="1:5">
      <c r="A56" s="76">
        <v>40598</v>
      </c>
      <c r="C56" s="77">
        <f t="shared" si="0"/>
        <v>63.5713767473354</v>
      </c>
      <c r="D56" s="77">
        <f t="shared" si="1"/>
        <v>31.969307915280588</v>
      </c>
      <c r="E56" s="77">
        <f t="shared" si="2"/>
        <v>95.173445579390204</v>
      </c>
    </row>
    <row r="57" spans="1:5">
      <c r="A57" s="76">
        <v>40599</v>
      </c>
      <c r="C57" s="77">
        <f t="shared" si="0"/>
        <v>63.827070370036637</v>
      </c>
      <c r="D57" s="77">
        <f t="shared" si="1"/>
        <v>31.972864324152855</v>
      </c>
      <c r="E57" s="77">
        <f t="shared" si="2"/>
        <v>95.681276415920422</v>
      </c>
    </row>
    <row r="58" spans="1:5">
      <c r="A58" s="76">
        <v>40600</v>
      </c>
      <c r="C58" s="77">
        <f t="shared" si="0"/>
        <v>64.082763992737867</v>
      </c>
      <c r="D58" s="77">
        <f t="shared" si="1"/>
        <v>31.974723166009028</v>
      </c>
      <c r="E58" s="77">
        <f t="shared" si="2"/>
        <v>96.190804819466706</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DBAB2-4F6B-43BB-BA5F-42D735CEEE53}">
  <dimension ref="A1:K1004"/>
  <sheetViews>
    <sheetView tabSelected="1" zoomScaleNormal="100" workbookViewId="0">
      <selection activeCell="P2" sqref="P2"/>
    </sheetView>
  </sheetViews>
  <sheetFormatPr defaultRowHeight="12.5"/>
  <cols>
    <col min="1" max="1" width="10.453125" customWidth="1"/>
    <col min="3" max="4" width="13" customWidth="1"/>
    <col min="5" max="5" width="11.36328125" bestFit="1" customWidth="1"/>
    <col min="6" max="6" width="12" bestFit="1" customWidth="1"/>
    <col min="7" max="7" width="11.36328125" bestFit="1" customWidth="1"/>
    <col min="8" max="8" width="11.36328125" customWidth="1"/>
    <col min="9" max="9" width="13.26953125" customWidth="1"/>
    <col min="10" max="10" width="15.26953125" customWidth="1"/>
    <col min="11" max="11" width="17.08984375" customWidth="1"/>
    <col min="12" max="12" width="14.08984375" bestFit="1" customWidth="1"/>
    <col min="13" max="13" width="12.453125" customWidth="1"/>
    <col min="14" max="14" width="12.453125" bestFit="1" customWidth="1"/>
    <col min="15" max="15" width="22.90625" bestFit="1" customWidth="1"/>
    <col min="16" max="16" width="19.08984375" bestFit="1" customWidth="1"/>
  </cols>
  <sheetData>
    <row r="1" spans="1:11" ht="8" customHeight="1"/>
    <row r="2" spans="1:11" ht="12.5" customHeight="1">
      <c r="A2" s="80" t="s">
        <v>87</v>
      </c>
      <c r="B2" s="81"/>
      <c r="C2" s="81"/>
      <c r="D2" s="81"/>
      <c r="E2" s="81"/>
      <c r="F2" s="81"/>
      <c r="G2" s="81"/>
      <c r="H2" s="81"/>
      <c r="I2" s="81"/>
      <c r="J2" s="81"/>
      <c r="K2" s="81"/>
    </row>
    <row r="3" spans="1:11" ht="12.5" customHeight="1">
      <c r="A3" s="82"/>
      <c r="B3" s="83"/>
      <c r="C3" s="83"/>
      <c r="D3" s="83"/>
      <c r="E3" s="83"/>
      <c r="F3" s="83"/>
      <c r="G3" s="83"/>
      <c r="H3" s="83"/>
      <c r="I3" s="83"/>
      <c r="J3" s="83"/>
      <c r="K3" s="83"/>
    </row>
    <row r="4" spans="1:11" ht="20.5" customHeight="1">
      <c r="A4" s="70" t="s">
        <v>32</v>
      </c>
      <c r="B4" s="71" t="s">
        <v>33</v>
      </c>
      <c r="C4" s="71" t="s">
        <v>42</v>
      </c>
      <c r="D4" s="71" t="s">
        <v>88</v>
      </c>
      <c r="E4" s="71" t="s">
        <v>89</v>
      </c>
      <c r="F4" s="71" t="s">
        <v>90</v>
      </c>
      <c r="G4" s="71" t="s">
        <v>91</v>
      </c>
      <c r="H4" s="71" t="s">
        <v>93</v>
      </c>
      <c r="I4" s="70" t="s">
        <v>92</v>
      </c>
      <c r="J4" s="71" t="s">
        <v>97</v>
      </c>
      <c r="K4" s="71" t="s">
        <v>98</v>
      </c>
    </row>
    <row r="5" spans="1:11">
      <c r="A5" s="74">
        <v>40544</v>
      </c>
      <c r="B5" s="75">
        <v>0</v>
      </c>
      <c r="C5" s="73">
        <v>16</v>
      </c>
      <c r="D5" s="72" cm="1">
        <f t="array" ref="D5">AVERAGE(_xlfn._xlws.FILTER(C:C,B:B=B5))</f>
        <v>16.348837209302324</v>
      </c>
      <c r="E5" s="61" cm="1">
        <f t="array" ref="E5">_xlfn.STDEV.S(_xlfn._xlws.FILTER(C:C,B:B=B5))</f>
        <v>10.44232167427621</v>
      </c>
      <c r="F5" s="61">
        <f>D5-(2*E5)</f>
        <v>-4.535806139250095</v>
      </c>
      <c r="G5" s="61">
        <f>D5+(2*E5)</f>
        <v>37.233480557854747</v>
      </c>
      <c r="H5" s="61">
        <f t="shared" ref="H5:H68" si="0">(C5-D5)/E5</f>
        <v>-3.3406096860782969E-2</v>
      </c>
      <c r="I5" s="28" t="str">
        <f>IF(H5&gt;=2,"High Anomaly",IF(H5&lt;=-2,"Low Anomaly","Normal"))</f>
        <v>Normal</v>
      </c>
      <c r="J5" s="49">
        <f>IF(I5="Normal",C5,NA())</f>
        <v>16</v>
      </c>
      <c r="K5" s="49" t="e">
        <f>IF(I5&lt;&gt;"Normal",C5,NA())</f>
        <v>#N/A</v>
      </c>
    </row>
    <row r="6" spans="1:11">
      <c r="A6" s="74">
        <v>40544</v>
      </c>
      <c r="B6" s="75">
        <v>1</v>
      </c>
      <c r="C6" s="73">
        <v>40</v>
      </c>
      <c r="D6" s="72" cm="1">
        <f t="array" ref="D6">AVERAGE(_xlfn._xlws.FILTER(C:C,B:B=B6))</f>
        <v>10.697674418604651</v>
      </c>
      <c r="E6" s="61" cm="1">
        <f t="array" ref="E6">_xlfn.STDEV.S(_xlfn._xlws.FILTER(C:C,B:B=B6))</f>
        <v>10.060613641515801</v>
      </c>
      <c r="F6" s="61">
        <f t="shared" ref="F6:F69" si="1">D6-(2*E6)</f>
        <v>-9.4235528644269504</v>
      </c>
      <c r="G6" s="61">
        <f t="shared" ref="G6:G69" si="2">D6+(2*E6)</f>
        <v>30.81890170163625</v>
      </c>
      <c r="H6" s="61">
        <f t="shared" si="0"/>
        <v>2.9125783600790838</v>
      </c>
      <c r="I6" s="28" t="str">
        <f t="shared" ref="I6:I69" si="3">IF(H6&gt;=2,"High Anomaly",IF(H6&lt;=-2,"Low Anomaly","Normal"))</f>
        <v>High Anomaly</v>
      </c>
      <c r="J6" s="49" t="e">
        <f t="shared" ref="J6:J69" si="4">IF(I6="Normal",C6,NA())</f>
        <v>#N/A</v>
      </c>
      <c r="K6" s="49">
        <f t="shared" ref="K6:K69" si="5">IF(I6&lt;&gt;"Normal",C6,NA())</f>
        <v>40</v>
      </c>
    </row>
    <row r="7" spans="1:11">
      <c r="A7" s="74">
        <v>40544</v>
      </c>
      <c r="B7" s="75">
        <v>2</v>
      </c>
      <c r="C7" s="73">
        <v>32</v>
      </c>
      <c r="D7" s="72" cm="1">
        <f t="array" ref="D7">AVERAGE(_xlfn._xlws.FILTER(C:C,B:B=B7))</f>
        <v>7.1707317073170733</v>
      </c>
      <c r="E7" s="61" cm="1">
        <f t="array" ref="E7">_xlfn.STDEV.S(_xlfn._xlws.FILTER(C:C,B:B=B7))</f>
        <v>7.3685223723090854</v>
      </c>
      <c r="F7" s="61">
        <f t="shared" si="1"/>
        <v>-7.5663130373010974</v>
      </c>
      <c r="G7" s="61">
        <f t="shared" si="2"/>
        <v>21.907776451935245</v>
      </c>
      <c r="H7" s="61">
        <f t="shared" si="0"/>
        <v>3.3696400768207395</v>
      </c>
      <c r="I7" s="28" t="str">
        <f t="shared" si="3"/>
        <v>High Anomaly</v>
      </c>
      <c r="J7" s="49" t="e">
        <f t="shared" si="4"/>
        <v>#N/A</v>
      </c>
      <c r="K7" s="49">
        <f t="shared" si="5"/>
        <v>32</v>
      </c>
    </row>
    <row r="8" spans="1:11">
      <c r="A8" s="74">
        <v>40544</v>
      </c>
      <c r="B8" s="75">
        <v>3</v>
      </c>
      <c r="C8" s="73">
        <v>13</v>
      </c>
      <c r="D8" s="72" cm="1">
        <f t="array" ref="D8">AVERAGE(_xlfn._xlws.FILTER(C:C,B:B=B8))</f>
        <v>4.870967741935484</v>
      </c>
      <c r="E8" s="61" cm="1">
        <f t="array" ref="E8">_xlfn.STDEV.S(_xlfn._xlws.FILTER(C:C,B:B=B8))</f>
        <v>4.4702120418303126</v>
      </c>
      <c r="F8" s="61">
        <f t="shared" si="1"/>
        <v>-4.0694563417251413</v>
      </c>
      <c r="G8" s="61">
        <f t="shared" si="2"/>
        <v>13.811391825596109</v>
      </c>
      <c r="H8" s="61">
        <f t="shared" si="0"/>
        <v>1.8184891861944232</v>
      </c>
      <c r="I8" s="28" t="str">
        <f t="shared" si="3"/>
        <v>Normal</v>
      </c>
      <c r="J8" s="49">
        <f t="shared" si="4"/>
        <v>13</v>
      </c>
      <c r="K8" s="49" t="e">
        <f t="shared" si="5"/>
        <v>#N/A</v>
      </c>
    </row>
    <row r="9" spans="1:11">
      <c r="A9" s="74">
        <v>40544</v>
      </c>
      <c r="B9" s="75">
        <v>4</v>
      </c>
      <c r="C9" s="73">
        <v>1</v>
      </c>
      <c r="D9" s="72" cm="1">
        <f t="array" ref="D9">AVERAGE(_xlfn._xlws.FILTER(C:C,B:B=B9))</f>
        <v>2.15625</v>
      </c>
      <c r="E9" s="61" cm="1">
        <f t="array" ref="E9">_xlfn.STDEV.S(_xlfn._xlws.FILTER(C:C,B:B=B9))</f>
        <v>1.5263148747143209</v>
      </c>
      <c r="F9" s="61">
        <f t="shared" si="1"/>
        <v>-0.89637974942864185</v>
      </c>
      <c r="G9" s="61">
        <f t="shared" si="2"/>
        <v>5.2088797494286414</v>
      </c>
      <c r="H9" s="61">
        <f t="shared" si="0"/>
        <v>-0.75754355746314428</v>
      </c>
      <c r="I9" s="28" t="str">
        <f t="shared" si="3"/>
        <v>Normal</v>
      </c>
      <c r="J9" s="49">
        <f t="shared" si="4"/>
        <v>1</v>
      </c>
      <c r="K9" s="49" t="e">
        <f t="shared" si="5"/>
        <v>#N/A</v>
      </c>
    </row>
    <row r="10" spans="1:11">
      <c r="A10" s="74">
        <v>40544</v>
      </c>
      <c r="B10" s="75">
        <v>5</v>
      </c>
      <c r="C10" s="73">
        <v>1</v>
      </c>
      <c r="D10" s="72" cm="1">
        <f t="array" ref="D10">AVERAGE(_xlfn._xlws.FILTER(C:C,B:B=B10))</f>
        <v>4.2051282051282053</v>
      </c>
      <c r="E10" s="61" cm="1">
        <f t="array" ref="E10">_xlfn.STDEV.S(_xlfn._xlws.FILTER(C:C,B:B=B10))</f>
        <v>2.5358429220352288</v>
      </c>
      <c r="F10" s="61">
        <f t="shared" si="1"/>
        <v>-0.86655763894225224</v>
      </c>
      <c r="G10" s="61">
        <f t="shared" si="2"/>
        <v>9.2768140491986628</v>
      </c>
      <c r="H10" s="61">
        <f t="shared" si="0"/>
        <v>-1.2639301027982515</v>
      </c>
      <c r="I10" s="28" t="str">
        <f t="shared" si="3"/>
        <v>Normal</v>
      </c>
      <c r="J10" s="49">
        <f t="shared" si="4"/>
        <v>1</v>
      </c>
      <c r="K10" s="49" t="e">
        <f t="shared" si="5"/>
        <v>#N/A</v>
      </c>
    </row>
    <row r="11" spans="1:11">
      <c r="A11" s="74">
        <v>40544</v>
      </c>
      <c r="B11" s="75">
        <v>6</v>
      </c>
      <c r="C11" s="73">
        <v>2</v>
      </c>
      <c r="D11" s="72" cm="1">
        <f t="array" ref="D11">AVERAGE(_xlfn._xlws.FILTER(C:C,B:B=B11))</f>
        <v>19.571428571428573</v>
      </c>
      <c r="E11" s="61" cm="1">
        <f t="array" ref="E11">_xlfn.STDEV.S(_xlfn._xlws.FILTER(C:C,B:B=B11))</f>
        <v>14.202615453298934</v>
      </c>
      <c r="F11" s="61">
        <f t="shared" si="1"/>
        <v>-8.8338023351692954</v>
      </c>
      <c r="G11" s="61">
        <f t="shared" si="2"/>
        <v>47.976659478026441</v>
      </c>
      <c r="H11" s="61">
        <f t="shared" si="0"/>
        <v>-1.2371966719233494</v>
      </c>
      <c r="I11" s="28" t="str">
        <f t="shared" si="3"/>
        <v>Normal</v>
      </c>
      <c r="J11" s="49">
        <f t="shared" si="4"/>
        <v>2</v>
      </c>
      <c r="K11" s="49" t="e">
        <f t="shared" si="5"/>
        <v>#N/A</v>
      </c>
    </row>
    <row r="12" spans="1:11">
      <c r="A12" s="74">
        <v>40544</v>
      </c>
      <c r="B12" s="75">
        <v>7</v>
      </c>
      <c r="C12" s="73">
        <v>3</v>
      </c>
      <c r="D12" s="72" cm="1">
        <f t="array" ref="D12">AVERAGE(_xlfn._xlws.FILTER(C:C,B:B=B12))</f>
        <v>54.395348837209305</v>
      </c>
      <c r="E12" s="61" cm="1">
        <f t="array" ref="E12">_xlfn.STDEV.S(_xlfn._xlws.FILTER(C:C,B:B=B12))</f>
        <v>39.112864486352777</v>
      </c>
      <c r="F12" s="61">
        <f t="shared" si="1"/>
        <v>-23.830380135496249</v>
      </c>
      <c r="G12" s="61">
        <f t="shared" si="2"/>
        <v>132.62107780991485</v>
      </c>
      <c r="H12" s="61">
        <f t="shared" si="0"/>
        <v>-1.3140267150502905</v>
      </c>
      <c r="I12" s="28" t="str">
        <f t="shared" si="3"/>
        <v>Normal</v>
      </c>
      <c r="J12" s="49">
        <f t="shared" si="4"/>
        <v>3</v>
      </c>
      <c r="K12" s="49" t="e">
        <f t="shared" si="5"/>
        <v>#N/A</v>
      </c>
    </row>
    <row r="13" spans="1:11">
      <c r="A13" s="74">
        <v>40544</v>
      </c>
      <c r="B13" s="75">
        <v>8</v>
      </c>
      <c r="C13" s="73">
        <v>8</v>
      </c>
      <c r="D13" s="72" cm="1">
        <f t="array" ref="D13">AVERAGE(_xlfn._xlws.FILTER(C:C,B:B=B13))</f>
        <v>128.28571428571428</v>
      </c>
      <c r="E13" s="61" cm="1">
        <f t="array" ref="E13">_xlfn.STDEV.S(_xlfn._xlws.FILTER(C:C,B:B=B13))</f>
        <v>88.551565717048547</v>
      </c>
      <c r="F13" s="61">
        <f t="shared" si="1"/>
        <v>-48.817417148382816</v>
      </c>
      <c r="G13" s="61">
        <f t="shared" si="2"/>
        <v>305.38884571981134</v>
      </c>
      <c r="H13" s="61">
        <f t="shared" si="0"/>
        <v>-1.3583691413211914</v>
      </c>
      <c r="I13" s="28" t="str">
        <f t="shared" si="3"/>
        <v>Normal</v>
      </c>
      <c r="J13" s="49">
        <f t="shared" si="4"/>
        <v>8</v>
      </c>
      <c r="K13" s="49" t="e">
        <f t="shared" si="5"/>
        <v>#N/A</v>
      </c>
    </row>
    <row r="14" spans="1:11">
      <c r="A14" s="74">
        <v>40544</v>
      </c>
      <c r="B14" s="75">
        <v>9</v>
      </c>
      <c r="C14" s="73">
        <v>14</v>
      </c>
      <c r="D14" s="72" cm="1">
        <f t="array" ref="D14">AVERAGE(_xlfn._xlws.FILTER(C:C,B:B=B14))</f>
        <v>87.428571428571431</v>
      </c>
      <c r="E14" s="61" cm="1">
        <f t="array" ref="E14">_xlfn.STDEV.S(_xlfn._xlws.FILTER(C:C,B:B=B14))</f>
        <v>45.93852884078624</v>
      </c>
      <c r="F14" s="61">
        <f t="shared" si="1"/>
        <v>-4.4484862530010503</v>
      </c>
      <c r="G14" s="61">
        <f t="shared" si="2"/>
        <v>179.30562911014391</v>
      </c>
      <c r="H14" s="61">
        <f t="shared" si="0"/>
        <v>-1.5984092934943603</v>
      </c>
      <c r="I14" s="28" t="str">
        <f t="shared" si="3"/>
        <v>Normal</v>
      </c>
      <c r="J14" s="49">
        <f t="shared" si="4"/>
        <v>14</v>
      </c>
      <c r="K14" s="49" t="e">
        <f t="shared" si="5"/>
        <v>#N/A</v>
      </c>
    </row>
    <row r="15" spans="1:11">
      <c r="A15" s="74">
        <v>40544</v>
      </c>
      <c r="B15" s="75">
        <v>10</v>
      </c>
      <c r="C15" s="73">
        <v>36</v>
      </c>
      <c r="D15" s="72" cm="1">
        <f t="array" ref="D15">AVERAGE(_xlfn._xlws.FILTER(C:C,B:B=B15))</f>
        <v>53.642857142857146</v>
      </c>
      <c r="E15" s="61" cm="1">
        <f t="array" ref="E15">_xlfn.STDEV.S(_xlfn._xlws.FILTER(C:C,B:B=B15))</f>
        <v>15.395313554536934</v>
      </c>
      <c r="F15" s="61">
        <f>D15-(2*E15)</f>
        <v>22.852230033783279</v>
      </c>
      <c r="G15" s="61">
        <f t="shared" si="2"/>
        <v>84.43348425193102</v>
      </c>
      <c r="H15" s="61">
        <f t="shared" si="0"/>
        <v>-1.1459888153858271</v>
      </c>
      <c r="I15" s="28" t="str">
        <f t="shared" si="3"/>
        <v>Normal</v>
      </c>
      <c r="J15" s="49">
        <f t="shared" si="4"/>
        <v>36</v>
      </c>
      <c r="K15" s="49" t="e">
        <f t="shared" si="5"/>
        <v>#N/A</v>
      </c>
    </row>
    <row r="16" spans="1:11">
      <c r="A16" s="74">
        <v>40544</v>
      </c>
      <c r="B16" s="75">
        <v>11</v>
      </c>
      <c r="C16" s="73">
        <v>56</v>
      </c>
      <c r="D16" s="72" cm="1">
        <f t="array" ref="D16">AVERAGE(_xlfn._xlws.FILTER(C:C,B:B=B16))</f>
        <v>59.38095238095238</v>
      </c>
      <c r="E16" s="61" cm="1">
        <f t="array" ref="E16">_xlfn.STDEV.S(_xlfn._xlws.FILTER(C:C,B:B=B16))</f>
        <v>20.89573696860419</v>
      </c>
      <c r="F16" s="61">
        <f t="shared" si="1"/>
        <v>17.589478443743999</v>
      </c>
      <c r="G16" s="61">
        <f t="shared" si="2"/>
        <v>101.17242631816076</v>
      </c>
      <c r="H16" s="61">
        <f t="shared" si="0"/>
        <v>-0.16180105951909018</v>
      </c>
      <c r="I16" s="28" t="str">
        <f t="shared" si="3"/>
        <v>Normal</v>
      </c>
      <c r="J16" s="49">
        <f t="shared" si="4"/>
        <v>56</v>
      </c>
      <c r="K16" s="49" t="e">
        <f t="shared" si="5"/>
        <v>#N/A</v>
      </c>
    </row>
    <row r="17" spans="1:11">
      <c r="A17" s="74">
        <v>40544</v>
      </c>
      <c r="B17" s="75">
        <v>12</v>
      </c>
      <c r="C17" s="73">
        <v>84</v>
      </c>
      <c r="D17" s="72" cm="1">
        <f t="array" ref="D17">AVERAGE(_xlfn._xlws.FILTER(C:C,B:B=B17))</f>
        <v>76.348837209302332</v>
      </c>
      <c r="E17" s="61" cm="1">
        <f t="array" ref="E17">_xlfn.STDEV.S(_xlfn._xlws.FILTER(C:C,B:B=B17))</f>
        <v>29.034366927857054</v>
      </c>
      <c r="F17" s="61">
        <f t="shared" si="1"/>
        <v>18.280103353588224</v>
      </c>
      <c r="G17" s="61">
        <f t="shared" si="2"/>
        <v>134.41757106501643</v>
      </c>
      <c r="H17" s="61">
        <f t="shared" si="0"/>
        <v>0.26352090988272081</v>
      </c>
      <c r="I17" s="28" t="str">
        <f t="shared" si="3"/>
        <v>Normal</v>
      </c>
      <c r="J17" s="49">
        <f t="shared" si="4"/>
        <v>84</v>
      </c>
      <c r="K17" s="49" t="e">
        <f t="shared" si="5"/>
        <v>#N/A</v>
      </c>
    </row>
    <row r="18" spans="1:11">
      <c r="A18" s="74">
        <v>40544</v>
      </c>
      <c r="B18" s="75">
        <v>13</v>
      </c>
      <c r="C18" s="73">
        <v>94</v>
      </c>
      <c r="D18" s="72" cm="1">
        <f t="array" ref="D18">AVERAGE(_xlfn._xlws.FILTER(C:C,B:B=B18))</f>
        <v>78.511627906976742</v>
      </c>
      <c r="E18" s="61" cm="1">
        <f t="array" ref="E18">_xlfn.STDEV.S(_xlfn._xlws.FILTER(C:C,B:B=B18))</f>
        <v>30.072430098825187</v>
      </c>
      <c r="F18" s="61">
        <f t="shared" si="1"/>
        <v>18.366767709326368</v>
      </c>
      <c r="G18" s="61">
        <f t="shared" si="2"/>
        <v>138.6564881046271</v>
      </c>
      <c r="H18" s="61">
        <f t="shared" si="0"/>
        <v>0.51503560045279906</v>
      </c>
      <c r="I18" s="28" t="str">
        <f t="shared" si="3"/>
        <v>Normal</v>
      </c>
      <c r="J18" s="49">
        <f t="shared" si="4"/>
        <v>94</v>
      </c>
      <c r="K18" s="49" t="e">
        <f t="shared" si="5"/>
        <v>#N/A</v>
      </c>
    </row>
    <row r="19" spans="1:11">
      <c r="A19" s="74">
        <v>40544</v>
      </c>
      <c r="B19" s="75">
        <v>14</v>
      </c>
      <c r="C19" s="73">
        <v>106</v>
      </c>
      <c r="D19" s="72" cm="1">
        <f t="array" ref="D19">AVERAGE(_xlfn._xlws.FILTER(C:C,B:B=B19))</f>
        <v>74.418604651162795</v>
      </c>
      <c r="E19" s="61" cm="1">
        <f t="array" ref="E19">_xlfn.STDEV.S(_xlfn._xlws.FILTER(C:C,B:B=B19))</f>
        <v>30.30576918056515</v>
      </c>
      <c r="F19" s="61">
        <f t="shared" si="1"/>
        <v>13.807066290032495</v>
      </c>
      <c r="G19" s="61">
        <f t="shared" si="2"/>
        <v>135.03014301229308</v>
      </c>
      <c r="H19" s="61">
        <f t="shared" si="0"/>
        <v>1.0420918591662114</v>
      </c>
      <c r="I19" s="28" t="str">
        <f t="shared" si="3"/>
        <v>Normal</v>
      </c>
      <c r="J19" s="49">
        <f t="shared" si="4"/>
        <v>106</v>
      </c>
      <c r="K19" s="49" t="e">
        <f t="shared" si="5"/>
        <v>#N/A</v>
      </c>
    </row>
    <row r="20" spans="1:11">
      <c r="A20" s="74">
        <v>40544</v>
      </c>
      <c r="B20" s="75">
        <v>15</v>
      </c>
      <c r="C20" s="73">
        <v>110</v>
      </c>
      <c r="D20" s="72" cm="1">
        <f t="array" ref="D20">AVERAGE(_xlfn._xlws.FILTER(C:C,B:B=B20))</f>
        <v>77.95348837209302</v>
      </c>
      <c r="E20" s="61" cm="1">
        <f t="array" ref="E20">_xlfn.STDEV.S(_xlfn._xlws.FILTER(C:C,B:B=B20))</f>
        <v>34.481156681772681</v>
      </c>
      <c r="F20" s="61">
        <f t="shared" si="1"/>
        <v>8.9911750085476569</v>
      </c>
      <c r="G20" s="61">
        <f t="shared" si="2"/>
        <v>146.91580173563838</v>
      </c>
      <c r="H20" s="61">
        <f t="shared" si="0"/>
        <v>0.92939201325712206</v>
      </c>
      <c r="I20" s="28" t="str">
        <f t="shared" si="3"/>
        <v>Normal</v>
      </c>
      <c r="J20" s="49">
        <f t="shared" si="4"/>
        <v>110</v>
      </c>
      <c r="K20" s="49" t="e">
        <f t="shared" si="5"/>
        <v>#N/A</v>
      </c>
    </row>
    <row r="21" spans="1:11">
      <c r="A21" s="74">
        <v>40544</v>
      </c>
      <c r="B21" s="75">
        <v>16</v>
      </c>
      <c r="C21" s="73">
        <v>93</v>
      </c>
      <c r="D21" s="72" cm="1">
        <f t="array" ref="D21">AVERAGE(_xlfn._xlws.FILTER(C:C,B:B=B21))</f>
        <v>89.272727272727266</v>
      </c>
      <c r="E21" s="61" cm="1">
        <f t="array" ref="E21">_xlfn.STDEV.S(_xlfn._xlws.FILTER(C:C,B:B=B21))</f>
        <v>25.461657115880758</v>
      </c>
      <c r="F21" s="61">
        <f t="shared" si="1"/>
        <v>38.34941304096575</v>
      </c>
      <c r="G21" s="61">
        <f t="shared" si="2"/>
        <v>140.19604150448879</v>
      </c>
      <c r="H21" s="61">
        <f t="shared" si="0"/>
        <v>0.14638767266047215</v>
      </c>
      <c r="I21" s="28" t="str">
        <f t="shared" si="3"/>
        <v>Normal</v>
      </c>
      <c r="J21" s="49">
        <f t="shared" si="4"/>
        <v>93</v>
      </c>
      <c r="K21" s="49" t="e">
        <f t="shared" si="5"/>
        <v>#N/A</v>
      </c>
    </row>
    <row r="22" spans="1:11">
      <c r="A22" s="74">
        <v>40544</v>
      </c>
      <c r="B22" s="75">
        <v>17</v>
      </c>
      <c r="C22" s="73">
        <v>67</v>
      </c>
      <c r="D22" s="72" cm="1">
        <f t="array" ref="D22">AVERAGE(_xlfn._xlws.FILTER(C:C,B:B=B22))</f>
        <v>140.20454545454547</v>
      </c>
      <c r="E22" s="61" cm="1">
        <f t="array" ref="E22">_xlfn.STDEV.S(_xlfn._xlws.FILTER(C:C,B:B=B22))</f>
        <v>54.067391000084555</v>
      </c>
      <c r="F22" s="61">
        <f t="shared" si="1"/>
        <v>32.069763454376357</v>
      </c>
      <c r="G22" s="61">
        <f t="shared" si="2"/>
        <v>248.33932745471458</v>
      </c>
      <c r="H22" s="61">
        <f t="shared" si="0"/>
        <v>-1.3539500260782138</v>
      </c>
      <c r="I22" s="28" t="str">
        <f t="shared" si="3"/>
        <v>Normal</v>
      </c>
      <c r="J22" s="49">
        <f t="shared" si="4"/>
        <v>67</v>
      </c>
      <c r="K22" s="49" t="e">
        <f t="shared" si="5"/>
        <v>#N/A</v>
      </c>
    </row>
    <row r="23" spans="1:11">
      <c r="A23" s="74">
        <v>40544</v>
      </c>
      <c r="B23" s="75">
        <v>18</v>
      </c>
      <c r="C23" s="73">
        <v>35</v>
      </c>
      <c r="D23" s="72" cm="1">
        <f t="array" ref="D23">AVERAGE(_xlfn._xlws.FILTER(C:C,B:B=B23))</f>
        <v>122.86046511627907</v>
      </c>
      <c r="E23" s="61" cm="1">
        <f t="array" ref="E23">_xlfn.STDEV.S(_xlfn._xlws.FILTER(C:C,B:B=B23))</f>
        <v>48.613432101949932</v>
      </c>
      <c r="F23" s="61">
        <f t="shared" si="1"/>
        <v>25.633600912379208</v>
      </c>
      <c r="G23" s="61">
        <f t="shared" si="2"/>
        <v>220.08732932017892</v>
      </c>
      <c r="H23" s="61">
        <f t="shared" si="0"/>
        <v>-1.8073289894863216</v>
      </c>
      <c r="I23" s="28" t="str">
        <f t="shared" si="3"/>
        <v>Normal</v>
      </c>
      <c r="J23" s="49">
        <f t="shared" si="4"/>
        <v>35</v>
      </c>
      <c r="K23" s="49" t="e">
        <f t="shared" si="5"/>
        <v>#N/A</v>
      </c>
    </row>
    <row r="24" spans="1:11">
      <c r="A24" s="74">
        <v>40544</v>
      </c>
      <c r="B24" s="75">
        <v>19</v>
      </c>
      <c r="C24" s="73">
        <v>37</v>
      </c>
      <c r="D24" s="72" cm="1">
        <f t="array" ref="D24">AVERAGE(_xlfn._xlws.FILTER(C:C,B:B=B24))</f>
        <v>85.139534883720927</v>
      </c>
      <c r="E24" s="61" cm="1">
        <f t="array" ref="E24">_xlfn.STDEV.S(_xlfn._xlws.FILTER(C:C,B:B=B24))</f>
        <v>31.690904054294752</v>
      </c>
      <c r="F24" s="61">
        <f t="shared" si="1"/>
        <v>21.757726775131424</v>
      </c>
      <c r="G24" s="61">
        <f t="shared" si="2"/>
        <v>148.52134299231042</v>
      </c>
      <c r="H24" s="61">
        <f t="shared" si="0"/>
        <v>-1.5190331838197293</v>
      </c>
      <c r="I24" s="28" t="str">
        <f t="shared" si="3"/>
        <v>Normal</v>
      </c>
      <c r="J24" s="49">
        <f t="shared" si="4"/>
        <v>37</v>
      </c>
      <c r="K24" s="49" t="e">
        <f t="shared" si="5"/>
        <v>#N/A</v>
      </c>
    </row>
    <row r="25" spans="1:11">
      <c r="A25" s="74">
        <v>40544</v>
      </c>
      <c r="B25" s="75">
        <v>20</v>
      </c>
      <c r="C25" s="73">
        <v>36</v>
      </c>
      <c r="D25" s="72" cm="1">
        <f t="array" ref="D25">AVERAGE(_xlfn._xlws.FILTER(C:C,B:B=B25))</f>
        <v>61.767441860465119</v>
      </c>
      <c r="E25" s="61" cm="1">
        <f t="array" ref="E25">_xlfn.STDEV.S(_xlfn._xlws.FILTER(C:C,B:B=B25))</f>
        <v>24.632380169685593</v>
      </c>
      <c r="F25" s="61">
        <f t="shared" si="1"/>
        <v>12.502681521093933</v>
      </c>
      <c r="G25" s="61">
        <f t="shared" si="2"/>
        <v>111.03220219983631</v>
      </c>
      <c r="H25" s="61">
        <f t="shared" si="0"/>
        <v>-1.0460800654650668</v>
      </c>
      <c r="I25" s="28" t="str">
        <f t="shared" si="3"/>
        <v>Normal</v>
      </c>
      <c r="J25" s="49">
        <f t="shared" si="4"/>
        <v>36</v>
      </c>
      <c r="K25" s="49" t="e">
        <f t="shared" si="5"/>
        <v>#N/A</v>
      </c>
    </row>
    <row r="26" spans="1:11">
      <c r="A26" s="74">
        <v>40544</v>
      </c>
      <c r="B26" s="75">
        <v>21</v>
      </c>
      <c r="C26" s="73">
        <v>34</v>
      </c>
      <c r="D26" s="72" cm="1">
        <f t="array" ref="D26">AVERAGE(_xlfn._xlws.FILTER(C:C,B:B=B26))</f>
        <v>46.418604651162788</v>
      </c>
      <c r="E26" s="61" cm="1">
        <f t="array" ref="E26">_xlfn.STDEV.S(_xlfn._xlws.FILTER(C:C,B:B=B26))</f>
        <v>14.656759464719496</v>
      </c>
      <c r="F26" s="61">
        <f t="shared" si="1"/>
        <v>17.105085721723796</v>
      </c>
      <c r="G26" s="61">
        <f t="shared" si="2"/>
        <v>75.73212358060178</v>
      </c>
      <c r="H26" s="61">
        <f t="shared" si="0"/>
        <v>-0.84729538483972511</v>
      </c>
      <c r="I26" s="28" t="str">
        <f t="shared" si="3"/>
        <v>Normal</v>
      </c>
      <c r="J26" s="49">
        <f t="shared" si="4"/>
        <v>34</v>
      </c>
      <c r="K26" s="49" t="e">
        <f t="shared" si="5"/>
        <v>#N/A</v>
      </c>
    </row>
    <row r="27" spans="1:11">
      <c r="A27" s="74">
        <v>40544</v>
      </c>
      <c r="B27" s="75">
        <v>22</v>
      </c>
      <c r="C27" s="73">
        <v>28</v>
      </c>
      <c r="D27" s="72" cm="1">
        <f t="array" ref="D27">AVERAGE(_xlfn._xlws.FILTER(C:C,B:B=B27))</f>
        <v>35.069767441860463</v>
      </c>
      <c r="E27" s="61" cm="1">
        <f t="array" ref="E27">_xlfn.STDEV.S(_xlfn._xlws.FILTER(C:C,B:B=B27))</f>
        <v>11.95506537162667</v>
      </c>
      <c r="F27" s="61">
        <f t="shared" si="1"/>
        <v>11.159636698607123</v>
      </c>
      <c r="G27" s="61">
        <f t="shared" si="2"/>
        <v>58.979898185113804</v>
      </c>
      <c r="H27" s="61">
        <f t="shared" si="0"/>
        <v>-0.59136167156721398</v>
      </c>
      <c r="I27" s="28" t="str">
        <f t="shared" si="3"/>
        <v>Normal</v>
      </c>
      <c r="J27" s="49">
        <f t="shared" si="4"/>
        <v>28</v>
      </c>
      <c r="K27" s="49" t="e">
        <f t="shared" si="5"/>
        <v>#N/A</v>
      </c>
    </row>
    <row r="28" spans="1:11">
      <c r="A28" s="74">
        <v>40544</v>
      </c>
      <c r="B28" s="75">
        <v>23</v>
      </c>
      <c r="C28" s="73">
        <v>39</v>
      </c>
      <c r="D28" s="72" cm="1">
        <f t="array" ref="D28">AVERAGE(_xlfn._xlws.FILTER(C:C,B:B=B28))</f>
        <v>25.186046511627907</v>
      </c>
      <c r="E28" s="61" cm="1">
        <f t="array" ref="E28">_xlfn.STDEV.S(_xlfn._xlws.FILTER(C:C,B:B=B28))</f>
        <v>11.751911321656188</v>
      </c>
      <c r="F28" s="61">
        <f t="shared" si="1"/>
        <v>1.6822238683155319</v>
      </c>
      <c r="G28" s="61">
        <f t="shared" si="2"/>
        <v>48.689869154940283</v>
      </c>
      <c r="H28" s="61">
        <f t="shared" si="0"/>
        <v>1.1754644083227563</v>
      </c>
      <c r="I28" s="28" t="str">
        <f t="shared" si="3"/>
        <v>Normal</v>
      </c>
      <c r="J28" s="49">
        <f t="shared" si="4"/>
        <v>39</v>
      </c>
      <c r="K28" s="49" t="e">
        <f t="shared" si="5"/>
        <v>#N/A</v>
      </c>
    </row>
    <row r="29" spans="1:11">
      <c r="A29" s="74">
        <v>40545</v>
      </c>
      <c r="B29" s="75">
        <v>0</v>
      </c>
      <c r="C29" s="73">
        <v>17</v>
      </c>
      <c r="D29" s="72" cm="1">
        <f t="array" ref="D29">AVERAGE(_xlfn._xlws.FILTER(C:C,B:B=B29))</f>
        <v>16.348837209302324</v>
      </c>
      <c r="E29" s="61" cm="1">
        <f t="array" ref="E29">_xlfn.STDEV.S(_xlfn._xlws.FILTER(C:C,B:B=B29))</f>
        <v>10.44232167427621</v>
      </c>
      <c r="F29" s="61">
        <f t="shared" si="1"/>
        <v>-4.535806139250095</v>
      </c>
      <c r="G29" s="61">
        <f t="shared" si="2"/>
        <v>37.233480557854747</v>
      </c>
      <c r="H29" s="61">
        <f t="shared" si="0"/>
        <v>6.2358047473461853E-2</v>
      </c>
      <c r="I29" s="28" t="str">
        <f t="shared" si="3"/>
        <v>Normal</v>
      </c>
      <c r="J29" s="49">
        <f t="shared" si="4"/>
        <v>17</v>
      </c>
      <c r="K29" s="49" t="e">
        <f t="shared" si="5"/>
        <v>#N/A</v>
      </c>
    </row>
    <row r="30" spans="1:11">
      <c r="A30" s="74">
        <v>40545</v>
      </c>
      <c r="B30" s="75">
        <v>1</v>
      </c>
      <c r="C30" s="73">
        <v>17</v>
      </c>
      <c r="D30" s="72" cm="1">
        <f t="array" ref="D30">AVERAGE(_xlfn._xlws.FILTER(C:C,B:B=B30))</f>
        <v>10.697674418604651</v>
      </c>
      <c r="E30" s="61" cm="1">
        <f t="array" ref="E30">_xlfn.STDEV.S(_xlfn._xlws.FILTER(C:C,B:B=B30))</f>
        <v>10.060613641515801</v>
      </c>
      <c r="F30" s="61">
        <f t="shared" si="1"/>
        <v>-9.4235528644269504</v>
      </c>
      <c r="G30" s="61">
        <f t="shared" si="2"/>
        <v>30.81890170163625</v>
      </c>
      <c r="H30" s="61">
        <f t="shared" si="0"/>
        <v>0.62643550442970775</v>
      </c>
      <c r="I30" s="28" t="str">
        <f t="shared" si="3"/>
        <v>Normal</v>
      </c>
      <c r="J30" s="49">
        <f t="shared" si="4"/>
        <v>17</v>
      </c>
      <c r="K30" s="49" t="e">
        <f t="shared" si="5"/>
        <v>#N/A</v>
      </c>
    </row>
    <row r="31" spans="1:11">
      <c r="A31" s="74">
        <v>40545</v>
      </c>
      <c r="B31" s="75">
        <v>2</v>
      </c>
      <c r="C31" s="73">
        <v>9</v>
      </c>
      <c r="D31" s="72" cm="1">
        <f t="array" ref="D31">AVERAGE(_xlfn._xlws.FILTER(C:C,B:B=B31))</f>
        <v>7.1707317073170733</v>
      </c>
      <c r="E31" s="61" cm="1">
        <f t="array" ref="E31">_xlfn.STDEV.S(_xlfn._xlws.FILTER(C:C,B:B=B31))</f>
        <v>7.3685223723090854</v>
      </c>
      <c r="F31" s="61">
        <f t="shared" si="1"/>
        <v>-7.5663130373010974</v>
      </c>
      <c r="G31" s="61">
        <f t="shared" si="2"/>
        <v>21.907776451935245</v>
      </c>
      <c r="H31" s="61">
        <f t="shared" si="0"/>
        <v>0.24825442609190124</v>
      </c>
      <c r="I31" s="28" t="str">
        <f t="shared" si="3"/>
        <v>Normal</v>
      </c>
      <c r="J31" s="49">
        <f t="shared" si="4"/>
        <v>9</v>
      </c>
      <c r="K31" s="49" t="e">
        <f t="shared" si="5"/>
        <v>#N/A</v>
      </c>
    </row>
    <row r="32" spans="1:11">
      <c r="A32" s="74">
        <v>40545</v>
      </c>
      <c r="B32" s="75">
        <v>3</v>
      </c>
      <c r="C32" s="73">
        <v>6</v>
      </c>
      <c r="D32" s="72" cm="1">
        <f t="array" ref="D32">AVERAGE(_xlfn._xlws.FILTER(C:C,B:B=B32))</f>
        <v>4.870967741935484</v>
      </c>
      <c r="E32" s="61" cm="1">
        <f t="array" ref="E32">_xlfn.STDEV.S(_xlfn._xlws.FILTER(C:C,B:B=B32))</f>
        <v>4.4702120418303126</v>
      </c>
      <c r="F32" s="61">
        <f t="shared" si="1"/>
        <v>-4.0694563417251413</v>
      </c>
      <c r="G32" s="61">
        <f t="shared" si="2"/>
        <v>13.811391825596109</v>
      </c>
      <c r="H32" s="61">
        <f t="shared" si="0"/>
        <v>0.25256794252700321</v>
      </c>
      <c r="I32" s="28" t="str">
        <f t="shared" si="3"/>
        <v>Normal</v>
      </c>
      <c r="J32" s="49">
        <f t="shared" si="4"/>
        <v>6</v>
      </c>
      <c r="K32" s="49" t="e">
        <f t="shared" si="5"/>
        <v>#N/A</v>
      </c>
    </row>
    <row r="33" spans="1:11">
      <c r="A33" s="74">
        <v>40545</v>
      </c>
      <c r="B33" s="75">
        <v>4</v>
      </c>
      <c r="C33" s="73">
        <v>3</v>
      </c>
      <c r="D33" s="72" cm="1">
        <f t="array" ref="D33">AVERAGE(_xlfn._xlws.FILTER(C:C,B:B=B33))</f>
        <v>2.15625</v>
      </c>
      <c r="E33" s="61" cm="1">
        <f t="array" ref="E33">_xlfn.STDEV.S(_xlfn._xlws.FILTER(C:C,B:B=B33))</f>
        <v>1.5263148747143209</v>
      </c>
      <c r="F33" s="61">
        <f t="shared" si="1"/>
        <v>-0.89637974942864185</v>
      </c>
      <c r="G33" s="61">
        <f t="shared" si="2"/>
        <v>5.2088797494286414</v>
      </c>
      <c r="H33" s="61">
        <f t="shared" si="0"/>
        <v>0.55280205544607819</v>
      </c>
      <c r="I33" s="28" t="str">
        <f t="shared" si="3"/>
        <v>Normal</v>
      </c>
      <c r="J33" s="49">
        <f t="shared" si="4"/>
        <v>3</v>
      </c>
      <c r="K33" s="49" t="e">
        <f t="shared" si="5"/>
        <v>#N/A</v>
      </c>
    </row>
    <row r="34" spans="1:11">
      <c r="A34" s="74">
        <v>40545</v>
      </c>
      <c r="B34" s="75">
        <v>6</v>
      </c>
      <c r="C34" s="73">
        <v>2</v>
      </c>
      <c r="D34" s="72" cm="1">
        <f t="array" ref="D34">AVERAGE(_xlfn._xlws.FILTER(C:C,B:B=B34))</f>
        <v>19.571428571428573</v>
      </c>
      <c r="E34" s="61" cm="1">
        <f t="array" ref="E34">_xlfn.STDEV.S(_xlfn._xlws.FILTER(C:C,B:B=B34))</f>
        <v>14.202615453298934</v>
      </c>
      <c r="F34" s="61">
        <f t="shared" si="1"/>
        <v>-8.8338023351692954</v>
      </c>
      <c r="G34" s="61">
        <f t="shared" si="2"/>
        <v>47.976659478026441</v>
      </c>
      <c r="H34" s="61">
        <f t="shared" si="0"/>
        <v>-1.2371966719233494</v>
      </c>
      <c r="I34" s="28" t="str">
        <f t="shared" si="3"/>
        <v>Normal</v>
      </c>
      <c r="J34" s="49">
        <f t="shared" si="4"/>
        <v>2</v>
      </c>
      <c r="K34" s="49" t="e">
        <f t="shared" si="5"/>
        <v>#N/A</v>
      </c>
    </row>
    <row r="35" spans="1:11">
      <c r="A35" s="74">
        <v>40545</v>
      </c>
      <c r="B35" s="75">
        <v>7</v>
      </c>
      <c r="C35" s="73">
        <v>1</v>
      </c>
      <c r="D35" s="72" cm="1">
        <f t="array" ref="D35">AVERAGE(_xlfn._xlws.FILTER(C:C,B:B=B35))</f>
        <v>54.395348837209305</v>
      </c>
      <c r="E35" s="61" cm="1">
        <f t="array" ref="E35">_xlfn.STDEV.S(_xlfn._xlws.FILTER(C:C,B:B=B35))</f>
        <v>39.112864486352777</v>
      </c>
      <c r="F35" s="61">
        <f t="shared" si="1"/>
        <v>-23.830380135496249</v>
      </c>
      <c r="G35" s="61">
        <f t="shared" si="2"/>
        <v>132.62107780991485</v>
      </c>
      <c r="H35" s="61">
        <f t="shared" si="0"/>
        <v>-1.3651607863146908</v>
      </c>
      <c r="I35" s="28" t="str">
        <f t="shared" si="3"/>
        <v>Normal</v>
      </c>
      <c r="J35" s="49">
        <f t="shared" si="4"/>
        <v>1</v>
      </c>
      <c r="K35" s="49" t="e">
        <f t="shared" si="5"/>
        <v>#N/A</v>
      </c>
    </row>
    <row r="36" spans="1:11">
      <c r="A36" s="74">
        <v>40545</v>
      </c>
      <c r="B36" s="75">
        <v>8</v>
      </c>
      <c r="C36" s="73">
        <v>8</v>
      </c>
      <c r="D36" s="72" cm="1">
        <f t="array" ref="D36">AVERAGE(_xlfn._xlws.FILTER(C:C,B:B=B36))</f>
        <v>128.28571428571428</v>
      </c>
      <c r="E36" s="61" cm="1">
        <f t="array" ref="E36">_xlfn.STDEV.S(_xlfn._xlws.FILTER(C:C,B:B=B36))</f>
        <v>88.551565717048547</v>
      </c>
      <c r="F36" s="61">
        <f t="shared" si="1"/>
        <v>-48.817417148382816</v>
      </c>
      <c r="G36" s="61">
        <f t="shared" si="2"/>
        <v>305.38884571981134</v>
      </c>
      <c r="H36" s="61">
        <f t="shared" si="0"/>
        <v>-1.3583691413211914</v>
      </c>
      <c r="I36" s="28" t="str">
        <f t="shared" si="3"/>
        <v>Normal</v>
      </c>
      <c r="J36" s="49">
        <f t="shared" si="4"/>
        <v>8</v>
      </c>
      <c r="K36" s="49" t="e">
        <f t="shared" si="5"/>
        <v>#N/A</v>
      </c>
    </row>
    <row r="37" spans="1:11">
      <c r="A37" s="74">
        <v>40545</v>
      </c>
      <c r="B37" s="75">
        <v>9</v>
      </c>
      <c r="C37" s="73">
        <v>20</v>
      </c>
      <c r="D37" s="72" cm="1">
        <f t="array" ref="D37">AVERAGE(_xlfn._xlws.FILTER(C:C,B:B=B37))</f>
        <v>87.428571428571431</v>
      </c>
      <c r="E37" s="61" cm="1">
        <f t="array" ref="E37">_xlfn.STDEV.S(_xlfn._xlws.FILTER(C:C,B:B=B37))</f>
        <v>45.93852884078624</v>
      </c>
      <c r="F37" s="61">
        <f t="shared" si="1"/>
        <v>-4.4484862530010503</v>
      </c>
      <c r="G37" s="61">
        <f t="shared" si="2"/>
        <v>179.30562911014391</v>
      </c>
      <c r="H37" s="61">
        <f t="shared" si="0"/>
        <v>-1.4677999737924865</v>
      </c>
      <c r="I37" s="28" t="str">
        <f t="shared" si="3"/>
        <v>Normal</v>
      </c>
      <c r="J37" s="49">
        <f t="shared" si="4"/>
        <v>20</v>
      </c>
      <c r="K37" s="49" t="e">
        <f t="shared" si="5"/>
        <v>#N/A</v>
      </c>
    </row>
    <row r="38" spans="1:11">
      <c r="A38" s="74">
        <v>40545</v>
      </c>
      <c r="B38" s="75">
        <v>10</v>
      </c>
      <c r="C38" s="73">
        <v>53</v>
      </c>
      <c r="D38" s="72" cm="1">
        <f t="array" ref="D38">AVERAGE(_xlfn._xlws.FILTER(C:C,B:B=B38))</f>
        <v>53.642857142857146</v>
      </c>
      <c r="E38" s="61" cm="1">
        <f t="array" ref="E38">_xlfn.STDEV.S(_xlfn._xlws.FILTER(C:C,B:B=B38))</f>
        <v>15.395313554536934</v>
      </c>
      <c r="F38" s="61">
        <f t="shared" si="1"/>
        <v>22.852230033783279</v>
      </c>
      <c r="G38" s="61">
        <f t="shared" si="2"/>
        <v>84.43348425193102</v>
      </c>
      <c r="H38" s="61">
        <f t="shared" si="0"/>
        <v>-4.1756677483694292E-2</v>
      </c>
      <c r="I38" s="28" t="str">
        <f t="shared" si="3"/>
        <v>Normal</v>
      </c>
      <c r="J38" s="49">
        <f t="shared" si="4"/>
        <v>53</v>
      </c>
      <c r="K38" s="49" t="e">
        <f t="shared" si="5"/>
        <v>#N/A</v>
      </c>
    </row>
    <row r="39" spans="1:11">
      <c r="A39" s="74">
        <v>40545</v>
      </c>
      <c r="B39" s="75">
        <v>11</v>
      </c>
      <c r="C39" s="73">
        <v>70</v>
      </c>
      <c r="D39" s="72" cm="1">
        <f t="array" ref="D39">AVERAGE(_xlfn._xlws.FILTER(C:C,B:B=B39))</f>
        <v>59.38095238095238</v>
      </c>
      <c r="E39" s="61" cm="1">
        <f t="array" ref="E39">_xlfn.STDEV.S(_xlfn._xlws.FILTER(C:C,B:B=B39))</f>
        <v>20.89573696860419</v>
      </c>
      <c r="F39" s="61">
        <f t="shared" si="1"/>
        <v>17.589478443743999</v>
      </c>
      <c r="G39" s="61">
        <f t="shared" si="2"/>
        <v>101.17242631816076</v>
      </c>
      <c r="H39" s="61">
        <f t="shared" si="0"/>
        <v>0.50819206017967788</v>
      </c>
      <c r="I39" s="28" t="str">
        <f t="shared" si="3"/>
        <v>Normal</v>
      </c>
      <c r="J39" s="49">
        <f t="shared" si="4"/>
        <v>70</v>
      </c>
      <c r="K39" s="49" t="e">
        <f t="shared" si="5"/>
        <v>#N/A</v>
      </c>
    </row>
    <row r="40" spans="1:11">
      <c r="A40" s="74">
        <v>40545</v>
      </c>
      <c r="B40" s="75">
        <v>12</v>
      </c>
      <c r="C40" s="73">
        <v>93</v>
      </c>
      <c r="D40" s="72" cm="1">
        <f t="array" ref="D40">AVERAGE(_xlfn._xlws.FILTER(C:C,B:B=B40))</f>
        <v>76.348837209302332</v>
      </c>
      <c r="E40" s="61" cm="1">
        <f t="array" ref="E40">_xlfn.STDEV.S(_xlfn._xlws.FILTER(C:C,B:B=B40))</f>
        <v>29.034366927857054</v>
      </c>
      <c r="F40" s="61">
        <f t="shared" si="1"/>
        <v>18.280103353588224</v>
      </c>
      <c r="G40" s="61">
        <f t="shared" si="2"/>
        <v>134.41757106501643</v>
      </c>
      <c r="H40" s="61">
        <f t="shared" si="0"/>
        <v>0.57349839354415866</v>
      </c>
      <c r="I40" s="28" t="str">
        <f t="shared" si="3"/>
        <v>Normal</v>
      </c>
      <c r="J40" s="49">
        <f t="shared" si="4"/>
        <v>93</v>
      </c>
      <c r="K40" s="49" t="e">
        <f t="shared" si="5"/>
        <v>#N/A</v>
      </c>
    </row>
    <row r="41" spans="1:11">
      <c r="A41" s="74">
        <v>40545</v>
      </c>
      <c r="B41" s="75">
        <v>13</v>
      </c>
      <c r="C41" s="73">
        <v>75</v>
      </c>
      <c r="D41" s="72" cm="1">
        <f t="array" ref="D41">AVERAGE(_xlfn._xlws.FILTER(C:C,B:B=B41))</f>
        <v>78.511627906976742</v>
      </c>
      <c r="E41" s="61" cm="1">
        <f t="array" ref="E41">_xlfn.STDEV.S(_xlfn._xlws.FILTER(C:C,B:B=B41))</f>
        <v>30.072430098825187</v>
      </c>
      <c r="F41" s="61">
        <f t="shared" si="1"/>
        <v>18.366767709326368</v>
      </c>
      <c r="G41" s="61">
        <f t="shared" si="2"/>
        <v>138.6564881046271</v>
      </c>
      <c r="H41" s="61">
        <f t="shared" si="0"/>
        <v>-0.11677233583839729</v>
      </c>
      <c r="I41" s="28" t="str">
        <f t="shared" si="3"/>
        <v>Normal</v>
      </c>
      <c r="J41" s="49">
        <f t="shared" si="4"/>
        <v>75</v>
      </c>
      <c r="K41" s="49" t="e">
        <f t="shared" si="5"/>
        <v>#N/A</v>
      </c>
    </row>
    <row r="42" spans="1:11">
      <c r="A42" s="74">
        <v>40545</v>
      </c>
      <c r="B42" s="75">
        <v>14</v>
      </c>
      <c r="C42" s="73">
        <v>59</v>
      </c>
      <c r="D42" s="72" cm="1">
        <f t="array" ref="D42">AVERAGE(_xlfn._xlws.FILTER(C:C,B:B=B42))</f>
        <v>74.418604651162795</v>
      </c>
      <c r="E42" s="61" cm="1">
        <f t="array" ref="E42">_xlfn.STDEV.S(_xlfn._xlws.FILTER(C:C,B:B=B42))</f>
        <v>30.30576918056515</v>
      </c>
      <c r="F42" s="61">
        <f t="shared" si="1"/>
        <v>13.807066290032495</v>
      </c>
      <c r="G42" s="61">
        <f t="shared" si="2"/>
        <v>135.03014301229308</v>
      </c>
      <c r="H42" s="61">
        <f t="shared" si="0"/>
        <v>-0.50876796953401937</v>
      </c>
      <c r="I42" s="28" t="str">
        <f t="shared" si="3"/>
        <v>Normal</v>
      </c>
      <c r="J42" s="49">
        <f t="shared" si="4"/>
        <v>59</v>
      </c>
      <c r="K42" s="49" t="e">
        <f t="shared" si="5"/>
        <v>#N/A</v>
      </c>
    </row>
    <row r="43" spans="1:11">
      <c r="A43" s="74">
        <v>40545</v>
      </c>
      <c r="B43" s="75">
        <v>15</v>
      </c>
      <c r="C43" s="73">
        <v>74</v>
      </c>
      <c r="D43" s="72" cm="1">
        <f t="array" ref="D43">AVERAGE(_xlfn._xlws.FILTER(C:C,B:B=B43))</f>
        <v>77.95348837209302</v>
      </c>
      <c r="E43" s="61" cm="1">
        <f t="array" ref="E43">_xlfn.STDEV.S(_xlfn._xlws.FILTER(C:C,B:B=B43))</f>
        <v>34.481156681772681</v>
      </c>
      <c r="F43" s="61">
        <f t="shared" si="1"/>
        <v>8.9911750085476569</v>
      </c>
      <c r="G43" s="61">
        <f t="shared" si="2"/>
        <v>146.91580173563838</v>
      </c>
      <c r="H43" s="61">
        <f t="shared" si="0"/>
        <v>-0.11465648929877402</v>
      </c>
      <c r="I43" s="28" t="str">
        <f t="shared" si="3"/>
        <v>Normal</v>
      </c>
      <c r="J43" s="49">
        <f t="shared" si="4"/>
        <v>74</v>
      </c>
      <c r="K43" s="49" t="e">
        <f t="shared" si="5"/>
        <v>#N/A</v>
      </c>
    </row>
    <row r="44" spans="1:11">
      <c r="A44" s="74">
        <v>40545</v>
      </c>
      <c r="B44" s="75">
        <v>16</v>
      </c>
      <c r="C44" s="73">
        <v>76</v>
      </c>
      <c r="D44" s="72" cm="1">
        <f t="array" ref="D44">AVERAGE(_xlfn._xlws.FILTER(C:C,B:B=B44))</f>
        <v>89.272727272727266</v>
      </c>
      <c r="E44" s="61" cm="1">
        <f t="array" ref="E44">_xlfn.STDEV.S(_xlfn._xlws.FILTER(C:C,B:B=B44))</f>
        <v>25.461657115880758</v>
      </c>
      <c r="F44" s="61">
        <f t="shared" si="1"/>
        <v>38.34941304096575</v>
      </c>
      <c r="G44" s="61">
        <f t="shared" si="2"/>
        <v>140.19604150448879</v>
      </c>
      <c r="H44" s="61">
        <f t="shared" si="0"/>
        <v>-0.52128293191289965</v>
      </c>
      <c r="I44" s="28" t="str">
        <f t="shared" si="3"/>
        <v>Normal</v>
      </c>
      <c r="J44" s="49">
        <f t="shared" si="4"/>
        <v>76</v>
      </c>
      <c r="K44" s="49" t="e">
        <f t="shared" si="5"/>
        <v>#N/A</v>
      </c>
    </row>
    <row r="45" spans="1:11">
      <c r="A45" s="74">
        <v>40545</v>
      </c>
      <c r="B45" s="75">
        <v>17</v>
      </c>
      <c r="C45" s="73">
        <v>65</v>
      </c>
      <c r="D45" s="72" cm="1">
        <f t="array" ref="D45">AVERAGE(_xlfn._xlws.FILTER(C:C,B:B=B45))</f>
        <v>140.20454545454547</v>
      </c>
      <c r="E45" s="61" cm="1">
        <f t="array" ref="E45">_xlfn.STDEV.S(_xlfn._xlws.FILTER(C:C,B:B=B45))</f>
        <v>54.067391000084555</v>
      </c>
      <c r="F45" s="61">
        <f t="shared" si="1"/>
        <v>32.069763454376357</v>
      </c>
      <c r="G45" s="61">
        <f t="shared" si="2"/>
        <v>248.33932745471458</v>
      </c>
      <c r="H45" s="61">
        <f t="shared" si="0"/>
        <v>-1.390940899190565</v>
      </c>
      <c r="I45" s="28" t="str">
        <f t="shared" si="3"/>
        <v>Normal</v>
      </c>
      <c r="J45" s="49">
        <f t="shared" si="4"/>
        <v>65</v>
      </c>
      <c r="K45" s="49" t="e">
        <f t="shared" si="5"/>
        <v>#N/A</v>
      </c>
    </row>
    <row r="46" spans="1:11">
      <c r="A46" s="74">
        <v>40545</v>
      </c>
      <c r="B46" s="75">
        <v>18</v>
      </c>
      <c r="C46" s="73">
        <v>53</v>
      </c>
      <c r="D46" s="72" cm="1">
        <f t="array" ref="D46">AVERAGE(_xlfn._xlws.FILTER(C:C,B:B=B46))</f>
        <v>122.86046511627907</v>
      </c>
      <c r="E46" s="61" cm="1">
        <f t="array" ref="E46">_xlfn.STDEV.S(_xlfn._xlws.FILTER(C:C,B:B=B46))</f>
        <v>48.613432101949932</v>
      </c>
      <c r="F46" s="61">
        <f t="shared" si="1"/>
        <v>25.633600912379208</v>
      </c>
      <c r="G46" s="61">
        <f t="shared" si="2"/>
        <v>220.08732932017892</v>
      </c>
      <c r="H46" s="61">
        <f t="shared" si="0"/>
        <v>-1.4370609540542376</v>
      </c>
      <c r="I46" s="28" t="str">
        <f t="shared" si="3"/>
        <v>Normal</v>
      </c>
      <c r="J46" s="49">
        <f t="shared" si="4"/>
        <v>53</v>
      </c>
      <c r="K46" s="49" t="e">
        <f t="shared" si="5"/>
        <v>#N/A</v>
      </c>
    </row>
    <row r="47" spans="1:11">
      <c r="A47" s="74">
        <v>40545</v>
      </c>
      <c r="B47" s="75">
        <v>19</v>
      </c>
      <c r="C47" s="73">
        <v>30</v>
      </c>
      <c r="D47" s="72" cm="1">
        <f t="array" ref="D47">AVERAGE(_xlfn._xlws.FILTER(C:C,B:B=B47))</f>
        <v>85.139534883720927</v>
      </c>
      <c r="E47" s="61" cm="1">
        <f t="array" ref="E47">_xlfn.STDEV.S(_xlfn._xlws.FILTER(C:C,B:B=B47))</f>
        <v>31.690904054294752</v>
      </c>
      <c r="F47" s="61">
        <f t="shared" si="1"/>
        <v>21.757726775131424</v>
      </c>
      <c r="G47" s="61">
        <f t="shared" si="2"/>
        <v>148.52134299231042</v>
      </c>
      <c r="H47" s="61">
        <f t="shared" si="0"/>
        <v>-1.739916753061149</v>
      </c>
      <c r="I47" s="28" t="str">
        <f t="shared" si="3"/>
        <v>Normal</v>
      </c>
      <c r="J47" s="49">
        <f t="shared" si="4"/>
        <v>30</v>
      </c>
      <c r="K47" s="49" t="e">
        <f t="shared" si="5"/>
        <v>#N/A</v>
      </c>
    </row>
    <row r="48" spans="1:11">
      <c r="A48" s="74">
        <v>40545</v>
      </c>
      <c r="B48" s="75">
        <v>20</v>
      </c>
      <c r="C48" s="73">
        <v>22</v>
      </c>
      <c r="D48" s="72" cm="1">
        <f t="array" ref="D48">AVERAGE(_xlfn._xlws.FILTER(C:C,B:B=B48))</f>
        <v>61.767441860465119</v>
      </c>
      <c r="E48" s="61" cm="1">
        <f t="array" ref="E48">_xlfn.STDEV.S(_xlfn._xlws.FILTER(C:C,B:B=B48))</f>
        <v>24.632380169685593</v>
      </c>
      <c r="F48" s="61">
        <f t="shared" si="1"/>
        <v>12.502681521093933</v>
      </c>
      <c r="G48" s="61">
        <f t="shared" si="2"/>
        <v>111.03220219983631</v>
      </c>
      <c r="H48" s="61">
        <f t="shared" si="0"/>
        <v>-1.6144376461599859</v>
      </c>
      <c r="I48" s="28" t="str">
        <f t="shared" si="3"/>
        <v>Normal</v>
      </c>
      <c r="J48" s="49">
        <f t="shared" si="4"/>
        <v>22</v>
      </c>
      <c r="K48" s="49" t="e">
        <f t="shared" si="5"/>
        <v>#N/A</v>
      </c>
    </row>
    <row r="49" spans="1:11">
      <c r="A49" s="74">
        <v>40545</v>
      </c>
      <c r="B49" s="75">
        <v>21</v>
      </c>
      <c r="C49" s="73">
        <v>31</v>
      </c>
      <c r="D49" s="72" cm="1">
        <f t="array" ref="D49">AVERAGE(_xlfn._xlws.FILTER(C:C,B:B=B49))</f>
        <v>46.418604651162788</v>
      </c>
      <c r="E49" s="61" cm="1">
        <f t="array" ref="E49">_xlfn.STDEV.S(_xlfn._xlws.FILTER(C:C,B:B=B49))</f>
        <v>14.656759464719496</v>
      </c>
      <c r="F49" s="61">
        <f t="shared" si="1"/>
        <v>17.105085721723796</v>
      </c>
      <c r="G49" s="61">
        <f t="shared" si="2"/>
        <v>75.73212358060178</v>
      </c>
      <c r="H49" s="61">
        <f t="shared" si="0"/>
        <v>-1.0519791014021307</v>
      </c>
      <c r="I49" s="28" t="str">
        <f t="shared" si="3"/>
        <v>Normal</v>
      </c>
      <c r="J49" s="49">
        <f t="shared" si="4"/>
        <v>31</v>
      </c>
      <c r="K49" s="49" t="e">
        <f t="shared" si="5"/>
        <v>#N/A</v>
      </c>
    </row>
    <row r="50" spans="1:11">
      <c r="A50" s="74">
        <v>40545</v>
      </c>
      <c r="B50" s="75">
        <v>22</v>
      </c>
      <c r="C50" s="73">
        <v>9</v>
      </c>
      <c r="D50" s="72" cm="1">
        <f t="array" ref="D50">AVERAGE(_xlfn._xlws.FILTER(C:C,B:B=B50))</f>
        <v>35.069767441860463</v>
      </c>
      <c r="E50" s="61" cm="1">
        <f t="array" ref="E50">_xlfn.STDEV.S(_xlfn._xlws.FILTER(C:C,B:B=B50))</f>
        <v>11.95506537162667</v>
      </c>
      <c r="F50" s="61">
        <f t="shared" si="1"/>
        <v>11.159636698607123</v>
      </c>
      <c r="G50" s="61">
        <f t="shared" si="2"/>
        <v>58.979898185113804</v>
      </c>
      <c r="H50" s="61">
        <f t="shared" si="0"/>
        <v>-2.1806461639041017</v>
      </c>
      <c r="I50" s="28" t="str">
        <f t="shared" si="3"/>
        <v>Low Anomaly</v>
      </c>
      <c r="J50" s="49" t="e">
        <f t="shared" si="4"/>
        <v>#N/A</v>
      </c>
      <c r="K50" s="49">
        <f t="shared" si="5"/>
        <v>9</v>
      </c>
    </row>
    <row r="51" spans="1:11">
      <c r="A51" s="74">
        <v>40545</v>
      </c>
      <c r="B51" s="75">
        <v>23</v>
      </c>
      <c r="C51" s="73">
        <v>8</v>
      </c>
      <c r="D51" s="72" cm="1">
        <f t="array" ref="D51">AVERAGE(_xlfn._xlws.FILTER(C:C,B:B=B51))</f>
        <v>25.186046511627907</v>
      </c>
      <c r="E51" s="61" cm="1">
        <f t="array" ref="E51">_xlfn.STDEV.S(_xlfn._xlws.FILTER(C:C,B:B=B51))</f>
        <v>11.751911321656188</v>
      </c>
      <c r="F51" s="61">
        <f t="shared" si="1"/>
        <v>1.6822238683155319</v>
      </c>
      <c r="G51" s="61">
        <f t="shared" si="2"/>
        <v>48.689869154940283</v>
      </c>
      <c r="H51" s="61">
        <f t="shared" si="0"/>
        <v>-1.4624043733173686</v>
      </c>
      <c r="I51" s="28" t="str">
        <f t="shared" si="3"/>
        <v>Normal</v>
      </c>
      <c r="J51" s="49">
        <f t="shared" si="4"/>
        <v>8</v>
      </c>
      <c r="K51" s="49" t="e">
        <f t="shared" si="5"/>
        <v>#N/A</v>
      </c>
    </row>
    <row r="52" spans="1:11">
      <c r="A52" s="74">
        <v>40546</v>
      </c>
      <c r="B52" s="75">
        <v>0</v>
      </c>
      <c r="C52" s="73">
        <v>5</v>
      </c>
      <c r="D52" s="72" cm="1">
        <f t="array" ref="D52">AVERAGE(_xlfn._xlws.FILTER(C:C,B:B=B52))</f>
        <v>16.348837209302324</v>
      </c>
      <c r="E52" s="61" cm="1">
        <f t="array" ref="E52">_xlfn.STDEV.S(_xlfn._xlws.FILTER(C:C,B:B=B52))</f>
        <v>10.44232167427621</v>
      </c>
      <c r="F52" s="61">
        <f t="shared" si="1"/>
        <v>-4.535806139250095</v>
      </c>
      <c r="G52" s="61">
        <f t="shared" si="2"/>
        <v>37.233480557854747</v>
      </c>
      <c r="H52" s="61">
        <f t="shared" si="0"/>
        <v>-1.086811684537476</v>
      </c>
      <c r="I52" s="28" t="str">
        <f t="shared" si="3"/>
        <v>Normal</v>
      </c>
      <c r="J52" s="49">
        <f t="shared" si="4"/>
        <v>5</v>
      </c>
      <c r="K52" s="49" t="e">
        <f t="shared" si="5"/>
        <v>#N/A</v>
      </c>
    </row>
    <row r="53" spans="1:11">
      <c r="A53" s="74">
        <v>40546</v>
      </c>
      <c r="B53" s="75">
        <v>1</v>
      </c>
      <c r="C53" s="73">
        <v>2</v>
      </c>
      <c r="D53" s="72" cm="1">
        <f t="array" ref="D53">AVERAGE(_xlfn._xlws.FILTER(C:C,B:B=B53))</f>
        <v>10.697674418604651</v>
      </c>
      <c r="E53" s="61" cm="1">
        <f t="array" ref="E53">_xlfn.STDEV.S(_xlfn._xlws.FILTER(C:C,B:B=B53))</f>
        <v>10.060613641515801</v>
      </c>
      <c r="F53" s="61">
        <f t="shared" si="1"/>
        <v>-9.4235528644269504</v>
      </c>
      <c r="G53" s="61">
        <f t="shared" si="2"/>
        <v>30.81890170163625</v>
      </c>
      <c r="H53" s="61">
        <f t="shared" si="0"/>
        <v>-0.86452722751553746</v>
      </c>
      <c r="I53" s="28" t="str">
        <f t="shared" si="3"/>
        <v>Normal</v>
      </c>
      <c r="J53" s="49">
        <f t="shared" si="4"/>
        <v>2</v>
      </c>
      <c r="K53" s="49" t="e">
        <f t="shared" si="5"/>
        <v>#N/A</v>
      </c>
    </row>
    <row r="54" spans="1:11">
      <c r="A54" s="74">
        <v>40546</v>
      </c>
      <c r="B54" s="75">
        <v>4</v>
      </c>
      <c r="C54" s="73">
        <v>1</v>
      </c>
      <c r="D54" s="72" cm="1">
        <f t="array" ref="D54">AVERAGE(_xlfn._xlws.FILTER(C:C,B:B=B54))</f>
        <v>2.15625</v>
      </c>
      <c r="E54" s="61" cm="1">
        <f t="array" ref="E54">_xlfn.STDEV.S(_xlfn._xlws.FILTER(C:C,B:B=B54))</f>
        <v>1.5263148747143209</v>
      </c>
      <c r="F54" s="61">
        <f t="shared" si="1"/>
        <v>-0.89637974942864185</v>
      </c>
      <c r="G54" s="61">
        <f t="shared" si="2"/>
        <v>5.2088797494286414</v>
      </c>
      <c r="H54" s="61">
        <f t="shared" si="0"/>
        <v>-0.75754355746314428</v>
      </c>
      <c r="I54" s="28" t="str">
        <f t="shared" si="3"/>
        <v>Normal</v>
      </c>
      <c r="J54" s="49">
        <f t="shared" si="4"/>
        <v>1</v>
      </c>
      <c r="K54" s="49" t="e">
        <f t="shared" si="5"/>
        <v>#N/A</v>
      </c>
    </row>
    <row r="55" spans="1:11">
      <c r="A55" s="74">
        <v>40546</v>
      </c>
      <c r="B55" s="75">
        <v>5</v>
      </c>
      <c r="C55" s="73">
        <v>3</v>
      </c>
      <c r="D55" s="72" cm="1">
        <f t="array" ref="D55">AVERAGE(_xlfn._xlws.FILTER(C:C,B:B=B55))</f>
        <v>4.2051282051282053</v>
      </c>
      <c r="E55" s="61" cm="1">
        <f t="array" ref="E55">_xlfn.STDEV.S(_xlfn._xlws.FILTER(C:C,B:B=B55))</f>
        <v>2.5358429220352288</v>
      </c>
      <c r="F55" s="61">
        <f t="shared" si="1"/>
        <v>-0.86655763894225224</v>
      </c>
      <c r="G55" s="61">
        <f t="shared" si="2"/>
        <v>9.2768140491986628</v>
      </c>
      <c r="H55" s="61">
        <f t="shared" si="0"/>
        <v>-0.47523771865214265</v>
      </c>
      <c r="I55" s="28" t="str">
        <f t="shared" si="3"/>
        <v>Normal</v>
      </c>
      <c r="J55" s="49">
        <f t="shared" si="4"/>
        <v>3</v>
      </c>
      <c r="K55" s="49" t="e">
        <f t="shared" si="5"/>
        <v>#N/A</v>
      </c>
    </row>
    <row r="56" spans="1:11">
      <c r="A56" s="74">
        <v>40546</v>
      </c>
      <c r="B56" s="75">
        <v>6</v>
      </c>
      <c r="C56" s="73">
        <v>30</v>
      </c>
      <c r="D56" s="72" cm="1">
        <f t="array" ref="D56">AVERAGE(_xlfn._xlws.FILTER(C:C,B:B=B56))</f>
        <v>19.571428571428573</v>
      </c>
      <c r="E56" s="61" cm="1">
        <f t="array" ref="E56">_xlfn.STDEV.S(_xlfn._xlws.FILTER(C:C,B:B=B56))</f>
        <v>14.202615453298934</v>
      </c>
      <c r="F56" s="61">
        <f t="shared" si="1"/>
        <v>-8.8338023351692954</v>
      </c>
      <c r="G56" s="61">
        <f t="shared" si="2"/>
        <v>47.976659478026441</v>
      </c>
      <c r="H56" s="61">
        <f t="shared" si="0"/>
        <v>0.7342711955317438</v>
      </c>
      <c r="I56" s="28" t="str">
        <f t="shared" si="3"/>
        <v>Normal</v>
      </c>
      <c r="J56" s="49">
        <f t="shared" si="4"/>
        <v>30</v>
      </c>
      <c r="K56" s="49" t="e">
        <f t="shared" si="5"/>
        <v>#N/A</v>
      </c>
    </row>
    <row r="57" spans="1:11">
      <c r="A57" s="74">
        <v>40546</v>
      </c>
      <c r="B57" s="75">
        <v>7</v>
      </c>
      <c r="C57" s="73">
        <v>64</v>
      </c>
      <c r="D57" s="72" cm="1">
        <f t="array" ref="D57">AVERAGE(_xlfn._xlws.FILTER(C:C,B:B=B57))</f>
        <v>54.395348837209305</v>
      </c>
      <c r="E57" s="61" cm="1">
        <f t="array" ref="E57">_xlfn.STDEV.S(_xlfn._xlws.FILTER(C:C,B:B=B57))</f>
        <v>39.112864486352777</v>
      </c>
      <c r="F57" s="61">
        <f t="shared" si="1"/>
        <v>-23.830380135496249</v>
      </c>
      <c r="G57" s="61">
        <f t="shared" si="2"/>
        <v>132.62107780991485</v>
      </c>
      <c r="H57" s="61">
        <f t="shared" si="0"/>
        <v>0.24556245851392297</v>
      </c>
      <c r="I57" s="28" t="str">
        <f t="shared" si="3"/>
        <v>Normal</v>
      </c>
      <c r="J57" s="49">
        <f t="shared" si="4"/>
        <v>64</v>
      </c>
      <c r="K57" s="49" t="e">
        <f t="shared" si="5"/>
        <v>#N/A</v>
      </c>
    </row>
    <row r="58" spans="1:11">
      <c r="A58" s="74">
        <v>40546</v>
      </c>
      <c r="B58" s="75">
        <v>8</v>
      </c>
      <c r="C58" s="73">
        <v>154</v>
      </c>
      <c r="D58" s="72" cm="1">
        <f t="array" ref="D58">AVERAGE(_xlfn._xlws.FILTER(C:C,B:B=B58))</f>
        <v>128.28571428571428</v>
      </c>
      <c r="E58" s="61" cm="1">
        <f t="array" ref="E58">_xlfn.STDEV.S(_xlfn._xlws.FILTER(C:C,B:B=B58))</f>
        <v>88.551565717048547</v>
      </c>
      <c r="F58" s="61">
        <f t="shared" si="1"/>
        <v>-48.817417148382816</v>
      </c>
      <c r="G58" s="61">
        <f t="shared" si="2"/>
        <v>305.38884571981134</v>
      </c>
      <c r="H58" s="61">
        <f t="shared" si="0"/>
        <v>0.29038770242020728</v>
      </c>
      <c r="I58" s="28" t="str">
        <f t="shared" si="3"/>
        <v>Normal</v>
      </c>
      <c r="J58" s="49">
        <f t="shared" si="4"/>
        <v>154</v>
      </c>
      <c r="K58" s="49" t="e">
        <f t="shared" si="5"/>
        <v>#N/A</v>
      </c>
    </row>
    <row r="59" spans="1:11">
      <c r="A59" s="74">
        <v>40546</v>
      </c>
      <c r="B59" s="75">
        <v>9</v>
      </c>
      <c r="C59" s="73">
        <v>88</v>
      </c>
      <c r="D59" s="72" cm="1">
        <f t="array" ref="D59">AVERAGE(_xlfn._xlws.FILTER(C:C,B:B=B59))</f>
        <v>87.428571428571431</v>
      </c>
      <c r="E59" s="61" cm="1">
        <f t="array" ref="E59">_xlfn.STDEV.S(_xlfn._xlws.FILTER(C:C,B:B=B59))</f>
        <v>45.93852884078624</v>
      </c>
      <c r="F59" s="61">
        <f t="shared" si="1"/>
        <v>-4.4484862530010503</v>
      </c>
      <c r="G59" s="61">
        <f t="shared" si="2"/>
        <v>179.30562911014391</v>
      </c>
      <c r="H59" s="61">
        <f t="shared" si="0"/>
        <v>1.2438982828749841E-2</v>
      </c>
      <c r="I59" s="28" t="str">
        <f t="shared" si="3"/>
        <v>Normal</v>
      </c>
      <c r="J59" s="49">
        <f t="shared" si="4"/>
        <v>88</v>
      </c>
      <c r="K59" s="49" t="e">
        <f t="shared" si="5"/>
        <v>#N/A</v>
      </c>
    </row>
    <row r="60" spans="1:11">
      <c r="A60" s="74">
        <v>40546</v>
      </c>
      <c r="B60" s="75">
        <v>10</v>
      </c>
      <c r="C60" s="73">
        <v>44</v>
      </c>
      <c r="D60" s="72" cm="1">
        <f t="array" ref="D60">AVERAGE(_xlfn._xlws.FILTER(C:C,B:B=B60))</f>
        <v>53.642857142857146</v>
      </c>
      <c r="E60" s="61" cm="1">
        <f t="array" ref="E60">_xlfn.STDEV.S(_xlfn._xlws.FILTER(C:C,B:B=B60))</f>
        <v>15.395313554536934</v>
      </c>
      <c r="F60" s="61">
        <f t="shared" si="1"/>
        <v>22.852230033783279</v>
      </c>
      <c r="G60" s="61">
        <f t="shared" si="2"/>
        <v>84.43348425193102</v>
      </c>
      <c r="H60" s="61">
        <f t="shared" si="0"/>
        <v>-0.62635016225541162</v>
      </c>
      <c r="I60" s="28" t="str">
        <f t="shared" si="3"/>
        <v>Normal</v>
      </c>
      <c r="J60" s="49">
        <f t="shared" si="4"/>
        <v>44</v>
      </c>
      <c r="K60" s="49" t="e">
        <f t="shared" si="5"/>
        <v>#N/A</v>
      </c>
    </row>
    <row r="61" spans="1:11">
      <c r="A61" s="74">
        <v>40546</v>
      </c>
      <c r="B61" s="75">
        <v>11</v>
      </c>
      <c r="C61" s="73">
        <v>51</v>
      </c>
      <c r="D61" s="72" cm="1">
        <f t="array" ref="D61">AVERAGE(_xlfn._xlws.FILTER(C:C,B:B=B61))</f>
        <v>59.38095238095238</v>
      </c>
      <c r="E61" s="61" cm="1">
        <f t="array" ref="E61">_xlfn.STDEV.S(_xlfn._xlws.FILTER(C:C,B:B=B61))</f>
        <v>20.89573696860419</v>
      </c>
      <c r="F61" s="61">
        <f t="shared" si="1"/>
        <v>17.589478443743999</v>
      </c>
      <c r="G61" s="61">
        <f t="shared" si="2"/>
        <v>101.17242631816076</v>
      </c>
      <c r="H61" s="61">
        <f t="shared" si="0"/>
        <v>-0.4010843165543645</v>
      </c>
      <c r="I61" s="28" t="str">
        <f t="shared" si="3"/>
        <v>Normal</v>
      </c>
      <c r="J61" s="49">
        <f t="shared" si="4"/>
        <v>51</v>
      </c>
      <c r="K61" s="49" t="e">
        <f t="shared" si="5"/>
        <v>#N/A</v>
      </c>
    </row>
    <row r="62" spans="1:11">
      <c r="A62" s="74">
        <v>40546</v>
      </c>
      <c r="B62" s="75">
        <v>12</v>
      </c>
      <c r="C62" s="73">
        <v>61</v>
      </c>
      <c r="D62" s="72" cm="1">
        <f t="array" ref="D62">AVERAGE(_xlfn._xlws.FILTER(C:C,B:B=B62))</f>
        <v>76.348837209302332</v>
      </c>
      <c r="E62" s="61" cm="1">
        <f t="array" ref="E62">_xlfn.STDEV.S(_xlfn._xlws.FILTER(C:C,B:B=B62))</f>
        <v>29.034366927857054</v>
      </c>
      <c r="F62" s="61">
        <f t="shared" si="1"/>
        <v>18.280103353588224</v>
      </c>
      <c r="G62" s="61">
        <f t="shared" si="2"/>
        <v>134.41757106501643</v>
      </c>
      <c r="H62" s="61">
        <f t="shared" si="0"/>
        <v>-0.52864377058539802</v>
      </c>
      <c r="I62" s="28" t="str">
        <f t="shared" si="3"/>
        <v>Normal</v>
      </c>
      <c r="J62" s="49">
        <f t="shared" si="4"/>
        <v>61</v>
      </c>
      <c r="K62" s="49" t="e">
        <f t="shared" si="5"/>
        <v>#N/A</v>
      </c>
    </row>
    <row r="63" spans="1:11">
      <c r="A63" s="74">
        <v>40546</v>
      </c>
      <c r="B63" s="75">
        <v>13</v>
      </c>
      <c r="C63" s="73">
        <v>61</v>
      </c>
      <c r="D63" s="72" cm="1">
        <f t="array" ref="D63">AVERAGE(_xlfn._xlws.FILTER(C:C,B:B=B63))</f>
        <v>78.511627906976742</v>
      </c>
      <c r="E63" s="61" cm="1">
        <f t="array" ref="E63">_xlfn.STDEV.S(_xlfn._xlws.FILTER(C:C,B:B=B63))</f>
        <v>30.072430098825187</v>
      </c>
      <c r="F63" s="61">
        <f t="shared" si="1"/>
        <v>18.366767709326368</v>
      </c>
      <c r="G63" s="61">
        <f t="shared" si="2"/>
        <v>138.6564881046271</v>
      </c>
      <c r="H63" s="61">
        <f t="shared" si="0"/>
        <v>-0.58231502573717353</v>
      </c>
      <c r="I63" s="28" t="str">
        <f t="shared" si="3"/>
        <v>Normal</v>
      </c>
      <c r="J63" s="49">
        <f t="shared" si="4"/>
        <v>61</v>
      </c>
      <c r="K63" s="49" t="e">
        <f t="shared" si="5"/>
        <v>#N/A</v>
      </c>
    </row>
    <row r="64" spans="1:11">
      <c r="A64" s="74">
        <v>40546</v>
      </c>
      <c r="B64" s="75">
        <v>14</v>
      </c>
      <c r="C64" s="73">
        <v>77</v>
      </c>
      <c r="D64" s="72" cm="1">
        <f t="array" ref="D64">AVERAGE(_xlfn._xlws.FILTER(C:C,B:B=B64))</f>
        <v>74.418604651162795</v>
      </c>
      <c r="E64" s="61" cm="1">
        <f t="array" ref="E64">_xlfn.STDEV.S(_xlfn._xlws.FILTER(C:C,B:B=B64))</f>
        <v>30.30576918056515</v>
      </c>
      <c r="F64" s="61">
        <f t="shared" si="1"/>
        <v>13.807066290032495</v>
      </c>
      <c r="G64" s="61">
        <f t="shared" si="2"/>
        <v>135.03014301229308</v>
      </c>
      <c r="H64" s="61">
        <f t="shared" si="0"/>
        <v>8.5178347840537016E-2</v>
      </c>
      <c r="I64" s="28" t="str">
        <f t="shared" si="3"/>
        <v>Normal</v>
      </c>
      <c r="J64" s="49">
        <f t="shared" si="4"/>
        <v>77</v>
      </c>
      <c r="K64" s="49" t="e">
        <f t="shared" si="5"/>
        <v>#N/A</v>
      </c>
    </row>
    <row r="65" spans="1:11">
      <c r="A65" s="74">
        <v>40546</v>
      </c>
      <c r="B65" s="75">
        <v>15</v>
      </c>
      <c r="C65" s="73">
        <v>72</v>
      </c>
      <c r="D65" s="72" cm="1">
        <f t="array" ref="D65">AVERAGE(_xlfn._xlws.FILTER(C:C,B:B=B65))</f>
        <v>77.95348837209302</v>
      </c>
      <c r="E65" s="61" cm="1">
        <f t="array" ref="E65">_xlfn.STDEV.S(_xlfn._xlws.FILTER(C:C,B:B=B65))</f>
        <v>34.481156681772681</v>
      </c>
      <c r="F65" s="61">
        <f t="shared" si="1"/>
        <v>8.9911750085476569</v>
      </c>
      <c r="G65" s="61">
        <f t="shared" si="2"/>
        <v>146.91580173563838</v>
      </c>
      <c r="H65" s="61">
        <f t="shared" si="0"/>
        <v>-0.1726591838852127</v>
      </c>
      <c r="I65" s="28" t="str">
        <f t="shared" si="3"/>
        <v>Normal</v>
      </c>
      <c r="J65" s="49">
        <f t="shared" si="4"/>
        <v>72</v>
      </c>
      <c r="K65" s="49" t="e">
        <f t="shared" si="5"/>
        <v>#N/A</v>
      </c>
    </row>
    <row r="66" spans="1:11">
      <c r="A66" s="74">
        <v>40546</v>
      </c>
      <c r="B66" s="75">
        <v>16</v>
      </c>
      <c r="C66" s="73">
        <v>76</v>
      </c>
      <c r="D66" s="72" cm="1">
        <f t="array" ref="D66">AVERAGE(_xlfn._xlws.FILTER(C:C,B:B=B66))</f>
        <v>89.272727272727266</v>
      </c>
      <c r="E66" s="61" cm="1">
        <f t="array" ref="E66">_xlfn.STDEV.S(_xlfn._xlws.FILTER(C:C,B:B=B66))</f>
        <v>25.461657115880758</v>
      </c>
      <c r="F66" s="61">
        <f t="shared" si="1"/>
        <v>38.34941304096575</v>
      </c>
      <c r="G66" s="61">
        <f t="shared" si="2"/>
        <v>140.19604150448879</v>
      </c>
      <c r="H66" s="61">
        <f t="shared" si="0"/>
        <v>-0.52128293191289965</v>
      </c>
      <c r="I66" s="28" t="str">
        <f t="shared" si="3"/>
        <v>Normal</v>
      </c>
      <c r="J66" s="49">
        <f t="shared" si="4"/>
        <v>76</v>
      </c>
      <c r="K66" s="49" t="e">
        <f t="shared" si="5"/>
        <v>#N/A</v>
      </c>
    </row>
    <row r="67" spans="1:11">
      <c r="A67" s="74">
        <v>40546</v>
      </c>
      <c r="B67" s="75">
        <v>17</v>
      </c>
      <c r="C67" s="73">
        <v>157</v>
      </c>
      <c r="D67" s="72" cm="1">
        <f t="array" ref="D67">AVERAGE(_xlfn._xlws.FILTER(C:C,B:B=B67))</f>
        <v>140.20454545454547</v>
      </c>
      <c r="E67" s="61" cm="1">
        <f t="array" ref="E67">_xlfn.STDEV.S(_xlfn._xlws.FILTER(C:C,B:B=B67))</f>
        <v>54.067391000084555</v>
      </c>
      <c r="F67" s="61">
        <f t="shared" si="1"/>
        <v>32.069763454376357</v>
      </c>
      <c r="G67" s="61">
        <f t="shared" si="2"/>
        <v>248.33932745471458</v>
      </c>
      <c r="H67" s="61">
        <f t="shared" si="0"/>
        <v>0.31063926397758429</v>
      </c>
      <c r="I67" s="28" t="str">
        <f t="shared" si="3"/>
        <v>Normal</v>
      </c>
      <c r="J67" s="49">
        <f t="shared" si="4"/>
        <v>157</v>
      </c>
      <c r="K67" s="49" t="e">
        <f t="shared" si="5"/>
        <v>#N/A</v>
      </c>
    </row>
    <row r="68" spans="1:11">
      <c r="A68" s="74">
        <v>40546</v>
      </c>
      <c r="B68" s="75">
        <v>18</v>
      </c>
      <c r="C68" s="73">
        <v>157</v>
      </c>
      <c r="D68" s="72" cm="1">
        <f t="array" ref="D68">AVERAGE(_xlfn._xlws.FILTER(C:C,B:B=B68))</f>
        <v>122.86046511627907</v>
      </c>
      <c r="E68" s="61" cm="1">
        <f t="array" ref="E68">_xlfn.STDEV.S(_xlfn._xlws.FILTER(C:C,B:B=B68))</f>
        <v>48.613432101949932</v>
      </c>
      <c r="F68" s="61">
        <f t="shared" si="1"/>
        <v>25.633600912379208</v>
      </c>
      <c r="G68" s="61">
        <f t="shared" si="2"/>
        <v>220.08732932017892</v>
      </c>
      <c r="H68" s="61">
        <f t="shared" si="0"/>
        <v>0.70226547288669128</v>
      </c>
      <c r="I68" s="28" t="str">
        <f t="shared" si="3"/>
        <v>Normal</v>
      </c>
      <c r="J68" s="49">
        <f t="shared" si="4"/>
        <v>157</v>
      </c>
      <c r="K68" s="49" t="e">
        <f t="shared" si="5"/>
        <v>#N/A</v>
      </c>
    </row>
    <row r="69" spans="1:11">
      <c r="A69" s="74">
        <v>40546</v>
      </c>
      <c r="B69" s="75">
        <v>19</v>
      </c>
      <c r="C69" s="73">
        <v>110</v>
      </c>
      <c r="D69" s="72" cm="1">
        <f t="array" ref="D69">AVERAGE(_xlfn._xlws.FILTER(C:C,B:B=B69))</f>
        <v>85.139534883720927</v>
      </c>
      <c r="E69" s="61" cm="1">
        <f t="array" ref="E69">_xlfn.STDEV.S(_xlfn._xlws.FILTER(C:C,B:B=B69))</f>
        <v>31.690904054294752</v>
      </c>
      <c r="F69" s="61">
        <f t="shared" si="1"/>
        <v>21.757726775131424</v>
      </c>
      <c r="G69" s="61">
        <f t="shared" si="2"/>
        <v>148.52134299231042</v>
      </c>
      <c r="H69" s="61">
        <f t="shared" ref="H69:H132" si="6">(C69-D69)/E69</f>
        <v>0.78446689541221792</v>
      </c>
      <c r="I69" s="28" t="str">
        <f t="shared" si="3"/>
        <v>Normal</v>
      </c>
      <c r="J69" s="49">
        <f t="shared" si="4"/>
        <v>110</v>
      </c>
      <c r="K69" s="49" t="e">
        <f t="shared" si="5"/>
        <v>#N/A</v>
      </c>
    </row>
    <row r="70" spans="1:11">
      <c r="A70" s="74">
        <v>40546</v>
      </c>
      <c r="B70" s="75">
        <v>20</v>
      </c>
      <c r="C70" s="73">
        <v>52</v>
      </c>
      <c r="D70" s="72" cm="1">
        <f t="array" ref="D70">AVERAGE(_xlfn._xlws.FILTER(C:C,B:B=B70))</f>
        <v>61.767441860465119</v>
      </c>
      <c r="E70" s="61" cm="1">
        <f t="array" ref="E70">_xlfn.STDEV.S(_xlfn._xlws.FILTER(C:C,B:B=B70))</f>
        <v>24.632380169685593</v>
      </c>
      <c r="F70" s="61">
        <f t="shared" ref="F70:F133" si="7">D70-(2*E70)</f>
        <v>12.502681521093933</v>
      </c>
      <c r="G70" s="61">
        <f t="shared" ref="G70:G133" si="8">D70+(2*E70)</f>
        <v>111.03220219983631</v>
      </c>
      <c r="H70" s="61">
        <f t="shared" si="6"/>
        <v>-0.39652854467087378</v>
      </c>
      <c r="I70" s="28" t="str">
        <f t="shared" ref="I70:I133" si="9">IF(H70&gt;=2,"High Anomaly",IF(H70&lt;=-2,"Low Anomaly","Normal"))</f>
        <v>Normal</v>
      </c>
      <c r="J70" s="49">
        <f t="shared" ref="J70:J133" si="10">IF(I70="Normal",C70,NA())</f>
        <v>52</v>
      </c>
      <c r="K70" s="49" t="e">
        <f t="shared" ref="K70:K133" si="11">IF(I70&lt;&gt;"Normal",C70,NA())</f>
        <v>#N/A</v>
      </c>
    </row>
    <row r="71" spans="1:11">
      <c r="A71" s="74">
        <v>40546</v>
      </c>
      <c r="B71" s="75">
        <v>21</v>
      </c>
      <c r="C71" s="73">
        <v>52</v>
      </c>
      <c r="D71" s="72" cm="1">
        <f t="array" ref="D71">AVERAGE(_xlfn._xlws.FILTER(C:C,B:B=B71))</f>
        <v>46.418604651162788</v>
      </c>
      <c r="E71" s="61" cm="1">
        <f t="array" ref="E71">_xlfn.STDEV.S(_xlfn._xlws.FILTER(C:C,B:B=B71))</f>
        <v>14.656759464719496</v>
      </c>
      <c r="F71" s="61">
        <f t="shared" si="7"/>
        <v>17.105085721723796</v>
      </c>
      <c r="G71" s="61">
        <f t="shared" si="8"/>
        <v>75.73212358060178</v>
      </c>
      <c r="H71" s="61">
        <f t="shared" si="6"/>
        <v>0.38080691453470816</v>
      </c>
      <c r="I71" s="28" t="str">
        <f t="shared" si="9"/>
        <v>Normal</v>
      </c>
      <c r="J71" s="49">
        <f t="shared" si="10"/>
        <v>52</v>
      </c>
      <c r="K71" s="49" t="e">
        <f t="shared" si="11"/>
        <v>#N/A</v>
      </c>
    </row>
    <row r="72" spans="1:11">
      <c r="A72" s="74">
        <v>40546</v>
      </c>
      <c r="B72" s="75">
        <v>22</v>
      </c>
      <c r="C72" s="73">
        <v>20</v>
      </c>
      <c r="D72" s="72" cm="1">
        <f t="array" ref="D72">AVERAGE(_xlfn._xlws.FILTER(C:C,B:B=B72))</f>
        <v>35.069767441860463</v>
      </c>
      <c r="E72" s="61" cm="1">
        <f t="array" ref="E72">_xlfn.STDEV.S(_xlfn._xlws.FILTER(C:C,B:B=B72))</f>
        <v>11.95506537162667</v>
      </c>
      <c r="F72" s="61">
        <f t="shared" si="7"/>
        <v>11.159636698607123</v>
      </c>
      <c r="G72" s="61">
        <f t="shared" si="8"/>
        <v>58.979898185113804</v>
      </c>
      <c r="H72" s="61">
        <f t="shared" si="6"/>
        <v>-1.2605340893932719</v>
      </c>
      <c r="I72" s="28" t="str">
        <f t="shared" si="9"/>
        <v>Normal</v>
      </c>
      <c r="J72" s="49">
        <f t="shared" si="10"/>
        <v>20</v>
      </c>
      <c r="K72" s="49" t="e">
        <f t="shared" si="11"/>
        <v>#N/A</v>
      </c>
    </row>
    <row r="73" spans="1:11">
      <c r="A73" s="74">
        <v>40546</v>
      </c>
      <c r="B73" s="75">
        <v>23</v>
      </c>
      <c r="C73" s="73">
        <v>12</v>
      </c>
      <c r="D73" s="72" cm="1">
        <f t="array" ref="D73">AVERAGE(_xlfn._xlws.FILTER(C:C,B:B=B73))</f>
        <v>25.186046511627907</v>
      </c>
      <c r="E73" s="61" cm="1">
        <f t="array" ref="E73">_xlfn.STDEV.S(_xlfn._xlws.FILTER(C:C,B:B=B73))</f>
        <v>11.751911321656188</v>
      </c>
      <c r="F73" s="61">
        <f t="shared" si="7"/>
        <v>1.6822238683155319</v>
      </c>
      <c r="G73" s="61">
        <f t="shared" si="8"/>
        <v>48.689869154940283</v>
      </c>
      <c r="H73" s="61">
        <f t="shared" si="6"/>
        <v>-1.1220342079444494</v>
      </c>
      <c r="I73" s="28" t="str">
        <f t="shared" si="9"/>
        <v>Normal</v>
      </c>
      <c r="J73" s="49">
        <f t="shared" si="10"/>
        <v>12</v>
      </c>
      <c r="K73" s="49" t="e">
        <f t="shared" si="11"/>
        <v>#N/A</v>
      </c>
    </row>
    <row r="74" spans="1:11">
      <c r="A74" s="74">
        <v>40547</v>
      </c>
      <c r="B74" s="75">
        <v>0</v>
      </c>
      <c r="C74" s="73">
        <v>5</v>
      </c>
      <c r="D74" s="72" cm="1">
        <f t="array" ref="D74">AVERAGE(_xlfn._xlws.FILTER(C:C,B:B=B74))</f>
        <v>16.348837209302324</v>
      </c>
      <c r="E74" s="61" cm="1">
        <f t="array" ref="E74">_xlfn.STDEV.S(_xlfn._xlws.FILTER(C:C,B:B=B74))</f>
        <v>10.44232167427621</v>
      </c>
      <c r="F74" s="61">
        <f t="shared" si="7"/>
        <v>-4.535806139250095</v>
      </c>
      <c r="G74" s="61">
        <f t="shared" si="8"/>
        <v>37.233480557854747</v>
      </c>
      <c r="H74" s="61">
        <f t="shared" si="6"/>
        <v>-1.086811684537476</v>
      </c>
      <c r="I74" s="28" t="str">
        <f t="shared" si="9"/>
        <v>Normal</v>
      </c>
      <c r="J74" s="49">
        <f t="shared" si="10"/>
        <v>5</v>
      </c>
      <c r="K74" s="49" t="e">
        <f t="shared" si="11"/>
        <v>#N/A</v>
      </c>
    </row>
    <row r="75" spans="1:11">
      <c r="A75" s="74">
        <v>40547</v>
      </c>
      <c r="B75" s="75">
        <v>1</v>
      </c>
      <c r="C75" s="73">
        <v>2</v>
      </c>
      <c r="D75" s="72" cm="1">
        <f t="array" ref="D75">AVERAGE(_xlfn._xlws.FILTER(C:C,B:B=B75))</f>
        <v>10.697674418604651</v>
      </c>
      <c r="E75" s="61" cm="1">
        <f t="array" ref="E75">_xlfn.STDEV.S(_xlfn._xlws.FILTER(C:C,B:B=B75))</f>
        <v>10.060613641515801</v>
      </c>
      <c r="F75" s="61">
        <f t="shared" si="7"/>
        <v>-9.4235528644269504</v>
      </c>
      <c r="G75" s="61">
        <f t="shared" si="8"/>
        <v>30.81890170163625</v>
      </c>
      <c r="H75" s="61">
        <f t="shared" si="6"/>
        <v>-0.86452722751553746</v>
      </c>
      <c r="I75" s="28" t="str">
        <f t="shared" si="9"/>
        <v>Normal</v>
      </c>
      <c r="J75" s="49">
        <f t="shared" si="10"/>
        <v>2</v>
      </c>
      <c r="K75" s="49" t="e">
        <f t="shared" si="11"/>
        <v>#N/A</v>
      </c>
    </row>
    <row r="76" spans="1:11">
      <c r="A76" s="74">
        <v>40547</v>
      </c>
      <c r="B76" s="75">
        <v>2</v>
      </c>
      <c r="C76" s="73">
        <v>1</v>
      </c>
      <c r="D76" s="72" cm="1">
        <f t="array" ref="D76">AVERAGE(_xlfn._xlws.FILTER(C:C,B:B=B76))</f>
        <v>7.1707317073170733</v>
      </c>
      <c r="E76" s="61" cm="1">
        <f t="array" ref="E76">_xlfn.STDEV.S(_xlfn._xlws.FILTER(C:C,B:B=B76))</f>
        <v>7.3685223723090854</v>
      </c>
      <c r="F76" s="61">
        <f t="shared" si="7"/>
        <v>-7.5663130373010974</v>
      </c>
      <c r="G76" s="61">
        <f t="shared" si="8"/>
        <v>21.907776451935245</v>
      </c>
      <c r="H76" s="61">
        <f t="shared" si="6"/>
        <v>-0.83744493068334691</v>
      </c>
      <c r="I76" s="28" t="str">
        <f t="shared" si="9"/>
        <v>Normal</v>
      </c>
      <c r="J76" s="49">
        <f t="shared" si="10"/>
        <v>1</v>
      </c>
      <c r="K76" s="49" t="e">
        <f t="shared" si="11"/>
        <v>#N/A</v>
      </c>
    </row>
    <row r="77" spans="1:11">
      <c r="A77" s="74">
        <v>40547</v>
      </c>
      <c r="B77" s="75">
        <v>4</v>
      </c>
      <c r="C77" s="73">
        <v>2</v>
      </c>
      <c r="D77" s="72" cm="1">
        <f t="array" ref="D77">AVERAGE(_xlfn._xlws.FILTER(C:C,B:B=B77))</f>
        <v>2.15625</v>
      </c>
      <c r="E77" s="61" cm="1">
        <f t="array" ref="E77">_xlfn.STDEV.S(_xlfn._xlws.FILTER(C:C,B:B=B77))</f>
        <v>1.5263148747143209</v>
      </c>
      <c r="F77" s="61">
        <f t="shared" si="7"/>
        <v>-0.89637974942864185</v>
      </c>
      <c r="G77" s="61">
        <f t="shared" si="8"/>
        <v>5.2088797494286414</v>
      </c>
      <c r="H77" s="61">
        <f t="shared" si="6"/>
        <v>-0.102370751008533</v>
      </c>
      <c r="I77" s="28" t="str">
        <f t="shared" si="9"/>
        <v>Normal</v>
      </c>
      <c r="J77" s="49">
        <f t="shared" si="10"/>
        <v>2</v>
      </c>
      <c r="K77" s="49" t="e">
        <f t="shared" si="11"/>
        <v>#N/A</v>
      </c>
    </row>
    <row r="78" spans="1:11">
      <c r="A78" s="74">
        <v>40547</v>
      </c>
      <c r="B78" s="75">
        <v>5</v>
      </c>
      <c r="C78" s="73">
        <v>4</v>
      </c>
      <c r="D78" s="72" cm="1">
        <f t="array" ref="D78">AVERAGE(_xlfn._xlws.FILTER(C:C,B:B=B78))</f>
        <v>4.2051282051282053</v>
      </c>
      <c r="E78" s="61" cm="1">
        <f t="array" ref="E78">_xlfn.STDEV.S(_xlfn._xlws.FILTER(C:C,B:B=B78))</f>
        <v>2.5358429220352288</v>
      </c>
      <c r="F78" s="61">
        <f t="shared" si="7"/>
        <v>-0.86655763894225224</v>
      </c>
      <c r="G78" s="61">
        <f t="shared" si="8"/>
        <v>9.2768140491986628</v>
      </c>
      <c r="H78" s="61">
        <f t="shared" si="6"/>
        <v>-8.0891526579088158E-2</v>
      </c>
      <c r="I78" s="28" t="str">
        <f t="shared" si="9"/>
        <v>Normal</v>
      </c>
      <c r="J78" s="49">
        <f t="shared" si="10"/>
        <v>4</v>
      </c>
      <c r="K78" s="49" t="e">
        <f t="shared" si="11"/>
        <v>#N/A</v>
      </c>
    </row>
    <row r="79" spans="1:11">
      <c r="A79" s="74">
        <v>40547</v>
      </c>
      <c r="B79" s="75">
        <v>6</v>
      </c>
      <c r="C79" s="73">
        <v>36</v>
      </c>
      <c r="D79" s="72" cm="1">
        <f t="array" ref="D79">AVERAGE(_xlfn._xlws.FILTER(C:C,B:B=B79))</f>
        <v>19.571428571428573</v>
      </c>
      <c r="E79" s="61" cm="1">
        <f t="array" ref="E79">_xlfn.STDEV.S(_xlfn._xlws.FILTER(C:C,B:B=B79))</f>
        <v>14.202615453298934</v>
      </c>
      <c r="F79" s="61">
        <f t="shared" si="7"/>
        <v>-8.8338023351692954</v>
      </c>
      <c r="G79" s="61">
        <f t="shared" si="8"/>
        <v>47.976659478026441</v>
      </c>
      <c r="H79" s="61">
        <f t="shared" si="6"/>
        <v>1.1567285957006923</v>
      </c>
      <c r="I79" s="28" t="str">
        <f t="shared" si="9"/>
        <v>Normal</v>
      </c>
      <c r="J79" s="49">
        <f t="shared" si="10"/>
        <v>36</v>
      </c>
      <c r="K79" s="49" t="e">
        <f t="shared" si="11"/>
        <v>#N/A</v>
      </c>
    </row>
    <row r="80" spans="1:11">
      <c r="A80" s="74">
        <v>40547</v>
      </c>
      <c r="B80" s="75">
        <v>7</v>
      </c>
      <c r="C80" s="73">
        <v>94</v>
      </c>
      <c r="D80" s="72" cm="1">
        <f t="array" ref="D80">AVERAGE(_xlfn._xlws.FILTER(C:C,B:B=B80))</f>
        <v>54.395348837209305</v>
      </c>
      <c r="E80" s="61" cm="1">
        <f t="array" ref="E80">_xlfn.STDEV.S(_xlfn._xlws.FILTER(C:C,B:B=B80))</f>
        <v>39.112864486352777</v>
      </c>
      <c r="F80" s="61">
        <f t="shared" si="7"/>
        <v>-23.830380135496249</v>
      </c>
      <c r="G80" s="61">
        <f t="shared" si="8"/>
        <v>132.62107780991485</v>
      </c>
      <c r="H80" s="61">
        <f t="shared" si="6"/>
        <v>1.0125735274799297</v>
      </c>
      <c r="I80" s="28" t="str">
        <f t="shared" si="9"/>
        <v>Normal</v>
      </c>
      <c r="J80" s="49">
        <f t="shared" si="10"/>
        <v>94</v>
      </c>
      <c r="K80" s="49" t="e">
        <f t="shared" si="11"/>
        <v>#N/A</v>
      </c>
    </row>
    <row r="81" spans="1:11">
      <c r="A81" s="74">
        <v>40547</v>
      </c>
      <c r="B81" s="75">
        <v>8</v>
      </c>
      <c r="C81" s="73">
        <v>179</v>
      </c>
      <c r="D81" s="72" cm="1">
        <f t="array" ref="D81">AVERAGE(_xlfn._xlws.FILTER(C:C,B:B=B81))</f>
        <v>128.28571428571428</v>
      </c>
      <c r="E81" s="61" cm="1">
        <f t="array" ref="E81">_xlfn.STDEV.S(_xlfn._xlws.FILTER(C:C,B:B=B81))</f>
        <v>88.551565717048547</v>
      </c>
      <c r="F81" s="61">
        <f t="shared" si="7"/>
        <v>-48.817417148382816</v>
      </c>
      <c r="G81" s="61">
        <f t="shared" si="8"/>
        <v>305.38884571981134</v>
      </c>
      <c r="H81" s="61">
        <f t="shared" si="6"/>
        <v>0.57270907977318652</v>
      </c>
      <c r="I81" s="28" t="str">
        <f t="shared" si="9"/>
        <v>Normal</v>
      </c>
      <c r="J81" s="49">
        <f t="shared" si="10"/>
        <v>179</v>
      </c>
      <c r="K81" s="49" t="e">
        <f t="shared" si="11"/>
        <v>#N/A</v>
      </c>
    </row>
    <row r="82" spans="1:11">
      <c r="A82" s="74">
        <v>40547</v>
      </c>
      <c r="B82" s="75">
        <v>9</v>
      </c>
      <c r="C82" s="73">
        <v>100</v>
      </c>
      <c r="D82" s="72" cm="1">
        <f t="array" ref="D82">AVERAGE(_xlfn._xlws.FILTER(C:C,B:B=B82))</f>
        <v>87.428571428571431</v>
      </c>
      <c r="E82" s="61" cm="1">
        <f t="array" ref="E82">_xlfn.STDEV.S(_xlfn._xlws.FILTER(C:C,B:B=B82))</f>
        <v>45.93852884078624</v>
      </c>
      <c r="F82" s="61">
        <f t="shared" si="7"/>
        <v>-4.4484862530010503</v>
      </c>
      <c r="G82" s="61">
        <f t="shared" si="8"/>
        <v>179.30562911014391</v>
      </c>
      <c r="H82" s="61">
        <f t="shared" si="6"/>
        <v>0.27365762223249745</v>
      </c>
      <c r="I82" s="28" t="str">
        <f t="shared" si="9"/>
        <v>Normal</v>
      </c>
      <c r="J82" s="49">
        <f t="shared" si="10"/>
        <v>100</v>
      </c>
      <c r="K82" s="49" t="e">
        <f t="shared" si="11"/>
        <v>#N/A</v>
      </c>
    </row>
    <row r="83" spans="1:11">
      <c r="A83" s="74">
        <v>40547</v>
      </c>
      <c r="B83" s="75">
        <v>10</v>
      </c>
      <c r="C83" s="73">
        <v>42</v>
      </c>
      <c r="D83" s="72" cm="1">
        <f t="array" ref="D83">AVERAGE(_xlfn._xlws.FILTER(C:C,B:B=B83))</f>
        <v>53.642857142857146</v>
      </c>
      <c r="E83" s="61" cm="1">
        <f t="array" ref="E83">_xlfn.STDEV.S(_xlfn._xlws.FILTER(C:C,B:B=B83))</f>
        <v>15.395313554536934</v>
      </c>
      <c r="F83" s="61">
        <f t="shared" si="7"/>
        <v>22.852230033783279</v>
      </c>
      <c r="G83" s="61">
        <f t="shared" si="8"/>
        <v>84.43348425193102</v>
      </c>
      <c r="H83" s="61">
        <f t="shared" si="6"/>
        <v>-0.75625982553801541</v>
      </c>
      <c r="I83" s="28" t="str">
        <f t="shared" si="9"/>
        <v>Normal</v>
      </c>
      <c r="J83" s="49">
        <f t="shared" si="10"/>
        <v>42</v>
      </c>
      <c r="K83" s="49" t="e">
        <f t="shared" si="11"/>
        <v>#N/A</v>
      </c>
    </row>
    <row r="84" spans="1:11">
      <c r="A84" s="74">
        <v>40547</v>
      </c>
      <c r="B84" s="75">
        <v>11</v>
      </c>
      <c r="C84" s="73">
        <v>57</v>
      </c>
      <c r="D84" s="72" cm="1">
        <f t="array" ref="D84">AVERAGE(_xlfn._xlws.FILTER(C:C,B:B=B84))</f>
        <v>59.38095238095238</v>
      </c>
      <c r="E84" s="61" cm="1">
        <f t="array" ref="E84">_xlfn.STDEV.S(_xlfn._xlws.FILTER(C:C,B:B=B84))</f>
        <v>20.89573696860419</v>
      </c>
      <c r="F84" s="61">
        <f t="shared" si="7"/>
        <v>17.589478443743999</v>
      </c>
      <c r="G84" s="61">
        <f t="shared" si="8"/>
        <v>101.17242631816076</v>
      </c>
      <c r="H84" s="61">
        <f t="shared" si="6"/>
        <v>-0.11394440811203532</v>
      </c>
      <c r="I84" s="28" t="str">
        <f t="shared" si="9"/>
        <v>Normal</v>
      </c>
      <c r="J84" s="49">
        <f t="shared" si="10"/>
        <v>57</v>
      </c>
      <c r="K84" s="49" t="e">
        <f t="shared" si="11"/>
        <v>#N/A</v>
      </c>
    </row>
    <row r="85" spans="1:11">
      <c r="A85" s="74">
        <v>40547</v>
      </c>
      <c r="B85" s="75">
        <v>12</v>
      </c>
      <c r="C85" s="73">
        <v>78</v>
      </c>
      <c r="D85" s="72" cm="1">
        <f t="array" ref="D85">AVERAGE(_xlfn._xlws.FILTER(C:C,B:B=B85))</f>
        <v>76.348837209302332</v>
      </c>
      <c r="E85" s="61" cm="1">
        <f t="array" ref="E85">_xlfn.STDEV.S(_xlfn._xlws.FILTER(C:C,B:B=B85))</f>
        <v>29.034366927857054</v>
      </c>
      <c r="F85" s="61">
        <f t="shared" si="7"/>
        <v>18.280103353588224</v>
      </c>
      <c r="G85" s="61">
        <f t="shared" si="8"/>
        <v>134.41757106501643</v>
      </c>
      <c r="H85" s="61">
        <f t="shared" si="6"/>
        <v>5.6869254108428954E-2</v>
      </c>
      <c r="I85" s="28" t="str">
        <f t="shared" si="9"/>
        <v>Normal</v>
      </c>
      <c r="J85" s="49">
        <f t="shared" si="10"/>
        <v>78</v>
      </c>
      <c r="K85" s="49" t="e">
        <f t="shared" si="11"/>
        <v>#N/A</v>
      </c>
    </row>
    <row r="86" spans="1:11">
      <c r="A86" s="74">
        <v>40547</v>
      </c>
      <c r="B86" s="75">
        <v>13</v>
      </c>
      <c r="C86" s="73">
        <v>97</v>
      </c>
      <c r="D86" s="72" cm="1">
        <f t="array" ref="D86">AVERAGE(_xlfn._xlws.FILTER(C:C,B:B=B86))</f>
        <v>78.511627906976742</v>
      </c>
      <c r="E86" s="61" cm="1">
        <f t="array" ref="E86">_xlfn.STDEV.S(_xlfn._xlws.FILTER(C:C,B:B=B86))</f>
        <v>30.072430098825187</v>
      </c>
      <c r="F86" s="61">
        <f t="shared" si="7"/>
        <v>18.366767709326368</v>
      </c>
      <c r="G86" s="61">
        <f t="shared" si="8"/>
        <v>138.6564881046271</v>
      </c>
      <c r="H86" s="61">
        <f t="shared" si="6"/>
        <v>0.6147947482882512</v>
      </c>
      <c r="I86" s="28" t="str">
        <f t="shared" si="9"/>
        <v>Normal</v>
      </c>
      <c r="J86" s="49">
        <f t="shared" si="10"/>
        <v>97</v>
      </c>
      <c r="K86" s="49" t="e">
        <f t="shared" si="11"/>
        <v>#N/A</v>
      </c>
    </row>
    <row r="87" spans="1:11">
      <c r="A87" s="74">
        <v>40547</v>
      </c>
      <c r="B87" s="75">
        <v>14</v>
      </c>
      <c r="C87" s="73">
        <v>63</v>
      </c>
      <c r="D87" s="72" cm="1">
        <f t="array" ref="D87">AVERAGE(_xlfn._xlws.FILTER(C:C,B:B=B87))</f>
        <v>74.418604651162795</v>
      </c>
      <c r="E87" s="61" cm="1">
        <f t="array" ref="E87">_xlfn.STDEV.S(_xlfn._xlws.FILTER(C:C,B:B=B87))</f>
        <v>30.30576918056515</v>
      </c>
      <c r="F87" s="61">
        <f t="shared" si="7"/>
        <v>13.807066290032495</v>
      </c>
      <c r="G87" s="61">
        <f t="shared" si="8"/>
        <v>135.03014301229308</v>
      </c>
      <c r="H87" s="61">
        <f t="shared" si="6"/>
        <v>-0.37677989900634024</v>
      </c>
      <c r="I87" s="28" t="str">
        <f t="shared" si="9"/>
        <v>Normal</v>
      </c>
      <c r="J87" s="49">
        <f t="shared" si="10"/>
        <v>63</v>
      </c>
      <c r="K87" s="49" t="e">
        <f t="shared" si="11"/>
        <v>#N/A</v>
      </c>
    </row>
    <row r="88" spans="1:11">
      <c r="A88" s="74">
        <v>40547</v>
      </c>
      <c r="B88" s="75">
        <v>15</v>
      </c>
      <c r="C88" s="73">
        <v>65</v>
      </c>
      <c r="D88" s="72" cm="1">
        <f t="array" ref="D88">AVERAGE(_xlfn._xlws.FILTER(C:C,B:B=B88))</f>
        <v>77.95348837209302</v>
      </c>
      <c r="E88" s="61" cm="1">
        <f t="array" ref="E88">_xlfn.STDEV.S(_xlfn._xlws.FILTER(C:C,B:B=B88))</f>
        <v>34.481156681772681</v>
      </c>
      <c r="F88" s="61">
        <f t="shared" si="7"/>
        <v>8.9911750085476569</v>
      </c>
      <c r="G88" s="61">
        <f t="shared" si="8"/>
        <v>146.91580173563838</v>
      </c>
      <c r="H88" s="61">
        <f t="shared" si="6"/>
        <v>-0.37566861493774806</v>
      </c>
      <c r="I88" s="28" t="str">
        <f t="shared" si="9"/>
        <v>Normal</v>
      </c>
      <c r="J88" s="49">
        <f t="shared" si="10"/>
        <v>65</v>
      </c>
      <c r="K88" s="49" t="e">
        <f t="shared" si="11"/>
        <v>#N/A</v>
      </c>
    </row>
    <row r="89" spans="1:11">
      <c r="A89" s="74">
        <v>40547</v>
      </c>
      <c r="B89" s="75">
        <v>16</v>
      </c>
      <c r="C89" s="73">
        <v>83</v>
      </c>
      <c r="D89" s="72" cm="1">
        <f t="array" ref="D89">AVERAGE(_xlfn._xlws.FILTER(C:C,B:B=B89))</f>
        <v>89.272727272727266</v>
      </c>
      <c r="E89" s="61" cm="1">
        <f t="array" ref="E89">_xlfn.STDEV.S(_xlfn._xlws.FILTER(C:C,B:B=B89))</f>
        <v>25.461657115880758</v>
      </c>
      <c r="F89" s="61">
        <f t="shared" si="7"/>
        <v>38.34941304096575</v>
      </c>
      <c r="G89" s="61">
        <f t="shared" si="8"/>
        <v>140.19604150448879</v>
      </c>
      <c r="H89" s="61">
        <f t="shared" si="6"/>
        <v>-0.24635974179445244</v>
      </c>
      <c r="I89" s="28" t="str">
        <f t="shared" si="9"/>
        <v>Normal</v>
      </c>
      <c r="J89" s="49">
        <f t="shared" si="10"/>
        <v>83</v>
      </c>
      <c r="K89" s="49" t="e">
        <f t="shared" si="11"/>
        <v>#N/A</v>
      </c>
    </row>
    <row r="90" spans="1:11">
      <c r="A90" s="74">
        <v>40547</v>
      </c>
      <c r="B90" s="75">
        <v>17</v>
      </c>
      <c r="C90" s="73">
        <v>212</v>
      </c>
      <c r="D90" s="72" cm="1">
        <f t="array" ref="D90">AVERAGE(_xlfn._xlws.FILTER(C:C,B:B=B90))</f>
        <v>140.20454545454547</v>
      </c>
      <c r="E90" s="61" cm="1">
        <f t="array" ref="E90">_xlfn.STDEV.S(_xlfn._xlws.FILTER(C:C,B:B=B90))</f>
        <v>54.067391000084555</v>
      </c>
      <c r="F90" s="61">
        <f t="shared" si="7"/>
        <v>32.069763454376357</v>
      </c>
      <c r="G90" s="61">
        <f t="shared" si="8"/>
        <v>248.33932745471458</v>
      </c>
      <c r="H90" s="61">
        <f t="shared" si="6"/>
        <v>1.3278882745672387</v>
      </c>
      <c r="I90" s="28" t="str">
        <f t="shared" si="9"/>
        <v>Normal</v>
      </c>
      <c r="J90" s="49">
        <f t="shared" si="10"/>
        <v>212</v>
      </c>
      <c r="K90" s="49" t="e">
        <f t="shared" si="11"/>
        <v>#N/A</v>
      </c>
    </row>
    <row r="91" spans="1:11">
      <c r="A91" s="74">
        <v>40547</v>
      </c>
      <c r="B91" s="75">
        <v>18</v>
      </c>
      <c r="C91" s="73">
        <v>182</v>
      </c>
      <c r="D91" s="72" cm="1">
        <f t="array" ref="D91">AVERAGE(_xlfn._xlws.FILTER(C:C,B:B=B91))</f>
        <v>122.86046511627907</v>
      </c>
      <c r="E91" s="61" cm="1">
        <f t="array" ref="E91">_xlfn.STDEV.S(_xlfn._xlws.FILTER(C:C,B:B=B91))</f>
        <v>48.613432101949932</v>
      </c>
      <c r="F91" s="61">
        <f t="shared" si="7"/>
        <v>25.633600912379208</v>
      </c>
      <c r="G91" s="61">
        <f t="shared" si="8"/>
        <v>220.08732932017892</v>
      </c>
      <c r="H91" s="61">
        <f t="shared" si="6"/>
        <v>1.2165266332090299</v>
      </c>
      <c r="I91" s="28" t="str">
        <f t="shared" si="9"/>
        <v>Normal</v>
      </c>
      <c r="J91" s="49">
        <f t="shared" si="10"/>
        <v>182</v>
      </c>
      <c r="K91" s="49" t="e">
        <f t="shared" si="11"/>
        <v>#N/A</v>
      </c>
    </row>
    <row r="92" spans="1:11">
      <c r="A92" s="74">
        <v>40547</v>
      </c>
      <c r="B92" s="75">
        <v>19</v>
      </c>
      <c r="C92" s="73">
        <v>112</v>
      </c>
      <c r="D92" s="72" cm="1">
        <f t="array" ref="D92">AVERAGE(_xlfn._xlws.FILTER(C:C,B:B=B92))</f>
        <v>85.139534883720927</v>
      </c>
      <c r="E92" s="61" cm="1">
        <f t="array" ref="E92">_xlfn.STDEV.S(_xlfn._xlws.FILTER(C:C,B:B=B92))</f>
        <v>31.690904054294752</v>
      </c>
      <c r="F92" s="61">
        <f t="shared" si="7"/>
        <v>21.757726775131424</v>
      </c>
      <c r="G92" s="61">
        <f t="shared" si="8"/>
        <v>148.52134299231042</v>
      </c>
      <c r="H92" s="61">
        <f t="shared" si="6"/>
        <v>0.84757648662405205</v>
      </c>
      <c r="I92" s="28" t="str">
        <f t="shared" si="9"/>
        <v>Normal</v>
      </c>
      <c r="J92" s="49">
        <f t="shared" si="10"/>
        <v>112</v>
      </c>
      <c r="K92" s="49" t="e">
        <f t="shared" si="11"/>
        <v>#N/A</v>
      </c>
    </row>
    <row r="93" spans="1:11">
      <c r="A93" s="74">
        <v>40547</v>
      </c>
      <c r="B93" s="75">
        <v>20</v>
      </c>
      <c r="C93" s="73">
        <v>54</v>
      </c>
      <c r="D93" s="72" cm="1">
        <f t="array" ref="D93">AVERAGE(_xlfn._xlws.FILTER(C:C,B:B=B93))</f>
        <v>61.767441860465119</v>
      </c>
      <c r="E93" s="61" cm="1">
        <f t="array" ref="E93">_xlfn.STDEV.S(_xlfn._xlws.FILTER(C:C,B:B=B93))</f>
        <v>24.632380169685593</v>
      </c>
      <c r="F93" s="61">
        <f t="shared" si="7"/>
        <v>12.502681521093933</v>
      </c>
      <c r="G93" s="61">
        <f t="shared" si="8"/>
        <v>111.03220219983631</v>
      </c>
      <c r="H93" s="61">
        <f t="shared" si="6"/>
        <v>-0.31533460457159967</v>
      </c>
      <c r="I93" s="28" t="str">
        <f t="shared" si="9"/>
        <v>Normal</v>
      </c>
      <c r="J93" s="49">
        <f t="shared" si="10"/>
        <v>54</v>
      </c>
      <c r="K93" s="49" t="e">
        <f t="shared" si="11"/>
        <v>#N/A</v>
      </c>
    </row>
    <row r="94" spans="1:11">
      <c r="A94" s="74">
        <v>40547</v>
      </c>
      <c r="B94" s="75">
        <v>21</v>
      </c>
      <c r="C94" s="73">
        <v>48</v>
      </c>
      <c r="D94" s="72" cm="1">
        <f t="array" ref="D94">AVERAGE(_xlfn._xlws.FILTER(C:C,B:B=B94))</f>
        <v>46.418604651162788</v>
      </c>
      <c r="E94" s="61" cm="1">
        <f t="array" ref="E94">_xlfn.STDEV.S(_xlfn._xlws.FILTER(C:C,B:B=B94))</f>
        <v>14.656759464719496</v>
      </c>
      <c r="F94" s="61">
        <f t="shared" si="7"/>
        <v>17.105085721723796</v>
      </c>
      <c r="G94" s="61">
        <f t="shared" si="8"/>
        <v>75.73212358060178</v>
      </c>
      <c r="H94" s="61">
        <f t="shared" si="6"/>
        <v>0.10789529245150078</v>
      </c>
      <c r="I94" s="28" t="str">
        <f t="shared" si="9"/>
        <v>Normal</v>
      </c>
      <c r="J94" s="49">
        <f t="shared" si="10"/>
        <v>48</v>
      </c>
      <c r="K94" s="49" t="e">
        <f t="shared" si="11"/>
        <v>#N/A</v>
      </c>
    </row>
    <row r="95" spans="1:11">
      <c r="A95" s="74">
        <v>40547</v>
      </c>
      <c r="B95" s="75">
        <v>22</v>
      </c>
      <c r="C95" s="73">
        <v>35</v>
      </c>
      <c r="D95" s="72" cm="1">
        <f t="array" ref="D95">AVERAGE(_xlfn._xlws.FILTER(C:C,B:B=B95))</f>
        <v>35.069767441860463</v>
      </c>
      <c r="E95" s="61" cm="1">
        <f t="array" ref="E95">_xlfn.STDEV.S(_xlfn._xlws.FILTER(C:C,B:B=B95))</f>
        <v>11.95506537162667</v>
      </c>
      <c r="F95" s="61">
        <f t="shared" si="7"/>
        <v>11.159636698607123</v>
      </c>
      <c r="G95" s="61">
        <f t="shared" si="8"/>
        <v>58.979898185113804</v>
      </c>
      <c r="H95" s="61">
        <f t="shared" si="6"/>
        <v>-5.8358059694131586E-3</v>
      </c>
      <c r="I95" s="28" t="str">
        <f t="shared" si="9"/>
        <v>Normal</v>
      </c>
      <c r="J95" s="49">
        <f t="shared" si="10"/>
        <v>35</v>
      </c>
      <c r="K95" s="49" t="e">
        <f t="shared" si="11"/>
        <v>#N/A</v>
      </c>
    </row>
    <row r="96" spans="1:11">
      <c r="A96" s="74">
        <v>40547</v>
      </c>
      <c r="B96" s="75">
        <v>23</v>
      </c>
      <c r="C96" s="73">
        <v>11</v>
      </c>
      <c r="D96" s="72" cm="1">
        <f t="array" ref="D96">AVERAGE(_xlfn._xlws.FILTER(C:C,B:B=B96))</f>
        <v>25.186046511627907</v>
      </c>
      <c r="E96" s="61" cm="1">
        <f t="array" ref="E96">_xlfn.STDEV.S(_xlfn._xlws.FILTER(C:C,B:B=B96))</f>
        <v>11.751911321656188</v>
      </c>
      <c r="F96" s="61">
        <f t="shared" si="7"/>
        <v>1.6822238683155319</v>
      </c>
      <c r="G96" s="61">
        <f t="shared" si="8"/>
        <v>48.689869154940283</v>
      </c>
      <c r="H96" s="61">
        <f t="shared" si="6"/>
        <v>-1.2071267492876792</v>
      </c>
      <c r="I96" s="28" t="str">
        <f t="shared" si="9"/>
        <v>Normal</v>
      </c>
      <c r="J96" s="49">
        <f t="shared" si="10"/>
        <v>11</v>
      </c>
      <c r="K96" s="49" t="e">
        <f t="shared" si="11"/>
        <v>#N/A</v>
      </c>
    </row>
    <row r="97" spans="1:11">
      <c r="A97" s="74">
        <v>40548</v>
      </c>
      <c r="B97" s="75">
        <v>0</v>
      </c>
      <c r="C97" s="73">
        <v>6</v>
      </c>
      <c r="D97" s="72" cm="1">
        <f t="array" ref="D97">AVERAGE(_xlfn._xlws.FILTER(C:C,B:B=B97))</f>
        <v>16.348837209302324</v>
      </c>
      <c r="E97" s="61" cm="1">
        <f t="array" ref="E97">_xlfn.STDEV.S(_xlfn._xlws.FILTER(C:C,B:B=B97))</f>
        <v>10.44232167427621</v>
      </c>
      <c r="F97" s="61">
        <f t="shared" si="7"/>
        <v>-4.535806139250095</v>
      </c>
      <c r="G97" s="61">
        <f t="shared" si="8"/>
        <v>37.233480557854747</v>
      </c>
      <c r="H97" s="61">
        <f t="shared" si="6"/>
        <v>-0.99104754020323116</v>
      </c>
      <c r="I97" s="28" t="str">
        <f t="shared" si="9"/>
        <v>Normal</v>
      </c>
      <c r="J97" s="49">
        <f t="shared" si="10"/>
        <v>6</v>
      </c>
      <c r="K97" s="49" t="e">
        <f t="shared" si="11"/>
        <v>#N/A</v>
      </c>
    </row>
    <row r="98" spans="1:11">
      <c r="A98" s="74">
        <v>40548</v>
      </c>
      <c r="B98" s="75">
        <v>1</v>
      </c>
      <c r="C98" s="73">
        <v>6</v>
      </c>
      <c r="D98" s="72" cm="1">
        <f t="array" ref="D98">AVERAGE(_xlfn._xlws.FILTER(C:C,B:B=B98))</f>
        <v>10.697674418604651</v>
      </c>
      <c r="E98" s="61" cm="1">
        <f t="array" ref="E98">_xlfn.STDEV.S(_xlfn._xlws.FILTER(C:C,B:B=B98))</f>
        <v>10.060613641515801</v>
      </c>
      <c r="F98" s="61">
        <f t="shared" si="7"/>
        <v>-9.4235528644269504</v>
      </c>
      <c r="G98" s="61">
        <f t="shared" si="8"/>
        <v>30.81890170163625</v>
      </c>
      <c r="H98" s="61">
        <f t="shared" si="6"/>
        <v>-0.4669371656634721</v>
      </c>
      <c r="I98" s="28" t="str">
        <f t="shared" si="9"/>
        <v>Normal</v>
      </c>
      <c r="J98" s="49">
        <f t="shared" si="10"/>
        <v>6</v>
      </c>
      <c r="K98" s="49" t="e">
        <f t="shared" si="11"/>
        <v>#N/A</v>
      </c>
    </row>
    <row r="99" spans="1:11">
      <c r="A99" s="74">
        <v>40548</v>
      </c>
      <c r="B99" s="75">
        <v>2</v>
      </c>
      <c r="C99" s="73">
        <v>2</v>
      </c>
      <c r="D99" s="72" cm="1">
        <f t="array" ref="D99">AVERAGE(_xlfn._xlws.FILTER(C:C,B:B=B99))</f>
        <v>7.1707317073170733</v>
      </c>
      <c r="E99" s="61" cm="1">
        <f t="array" ref="E99">_xlfn.STDEV.S(_xlfn._xlws.FILTER(C:C,B:B=B99))</f>
        <v>7.3685223723090854</v>
      </c>
      <c r="F99" s="61">
        <f t="shared" si="7"/>
        <v>-7.5663130373010974</v>
      </c>
      <c r="G99" s="61">
        <f t="shared" si="8"/>
        <v>21.907776451935245</v>
      </c>
      <c r="H99" s="61">
        <f t="shared" si="6"/>
        <v>-0.70173251108644097</v>
      </c>
      <c r="I99" s="28" t="str">
        <f t="shared" si="9"/>
        <v>Normal</v>
      </c>
      <c r="J99" s="49">
        <f t="shared" si="10"/>
        <v>2</v>
      </c>
      <c r="K99" s="49" t="e">
        <f t="shared" si="11"/>
        <v>#N/A</v>
      </c>
    </row>
    <row r="100" spans="1:11">
      <c r="A100" s="74">
        <v>40548</v>
      </c>
      <c r="B100" s="75">
        <v>4</v>
      </c>
      <c r="C100" s="73">
        <v>2</v>
      </c>
      <c r="D100" s="72" cm="1">
        <f t="array" ref="D100">AVERAGE(_xlfn._xlws.FILTER(C:C,B:B=B100))</f>
        <v>2.15625</v>
      </c>
      <c r="E100" s="61" cm="1">
        <f t="array" ref="E100">_xlfn.STDEV.S(_xlfn._xlws.FILTER(C:C,B:B=B100))</f>
        <v>1.5263148747143209</v>
      </c>
      <c r="F100" s="61">
        <f t="shared" si="7"/>
        <v>-0.89637974942864185</v>
      </c>
      <c r="G100" s="61">
        <f t="shared" si="8"/>
        <v>5.2088797494286414</v>
      </c>
      <c r="H100" s="61">
        <f t="shared" si="6"/>
        <v>-0.102370751008533</v>
      </c>
      <c r="I100" s="28" t="str">
        <f t="shared" si="9"/>
        <v>Normal</v>
      </c>
      <c r="J100" s="49">
        <f t="shared" si="10"/>
        <v>2</v>
      </c>
      <c r="K100" s="49" t="e">
        <f t="shared" si="11"/>
        <v>#N/A</v>
      </c>
    </row>
    <row r="101" spans="1:11">
      <c r="A101" s="74">
        <v>40548</v>
      </c>
      <c r="B101" s="75">
        <v>5</v>
      </c>
      <c r="C101" s="73">
        <v>3</v>
      </c>
      <c r="D101" s="72" cm="1">
        <f t="array" ref="D101">AVERAGE(_xlfn._xlws.FILTER(C:C,B:B=B101))</f>
        <v>4.2051282051282053</v>
      </c>
      <c r="E101" s="61" cm="1">
        <f t="array" ref="E101">_xlfn.STDEV.S(_xlfn._xlws.FILTER(C:C,B:B=B101))</f>
        <v>2.5358429220352288</v>
      </c>
      <c r="F101" s="61">
        <f t="shared" si="7"/>
        <v>-0.86655763894225224</v>
      </c>
      <c r="G101" s="61">
        <f t="shared" si="8"/>
        <v>9.2768140491986628</v>
      </c>
      <c r="H101" s="61">
        <f t="shared" si="6"/>
        <v>-0.47523771865214265</v>
      </c>
      <c r="I101" s="28" t="str">
        <f t="shared" si="9"/>
        <v>Normal</v>
      </c>
      <c r="J101" s="49">
        <f t="shared" si="10"/>
        <v>3</v>
      </c>
      <c r="K101" s="49" t="e">
        <f t="shared" si="11"/>
        <v>#N/A</v>
      </c>
    </row>
    <row r="102" spans="1:11">
      <c r="A102" s="74">
        <v>40548</v>
      </c>
      <c r="B102" s="75">
        <v>6</v>
      </c>
      <c r="C102" s="73">
        <v>33</v>
      </c>
      <c r="D102" s="72" cm="1">
        <f t="array" ref="D102">AVERAGE(_xlfn._xlws.FILTER(C:C,B:B=B102))</f>
        <v>19.571428571428573</v>
      </c>
      <c r="E102" s="61" cm="1">
        <f t="array" ref="E102">_xlfn.STDEV.S(_xlfn._xlws.FILTER(C:C,B:B=B102))</f>
        <v>14.202615453298934</v>
      </c>
      <c r="F102" s="61">
        <f t="shared" si="7"/>
        <v>-8.8338023351692954</v>
      </c>
      <c r="G102" s="61">
        <f t="shared" si="8"/>
        <v>47.976659478026441</v>
      </c>
      <c r="H102" s="61">
        <f t="shared" si="6"/>
        <v>0.94549989561621806</v>
      </c>
      <c r="I102" s="28" t="str">
        <f t="shared" si="9"/>
        <v>Normal</v>
      </c>
      <c r="J102" s="49">
        <f t="shared" si="10"/>
        <v>33</v>
      </c>
      <c r="K102" s="49" t="e">
        <f t="shared" si="11"/>
        <v>#N/A</v>
      </c>
    </row>
    <row r="103" spans="1:11">
      <c r="A103" s="74">
        <v>40548</v>
      </c>
      <c r="B103" s="75">
        <v>7</v>
      </c>
      <c r="C103" s="73">
        <v>88</v>
      </c>
      <c r="D103" s="72" cm="1">
        <f t="array" ref="D103">AVERAGE(_xlfn._xlws.FILTER(C:C,B:B=B103))</f>
        <v>54.395348837209305</v>
      </c>
      <c r="E103" s="61" cm="1">
        <f t="array" ref="E103">_xlfn.STDEV.S(_xlfn._xlws.FILTER(C:C,B:B=B103))</f>
        <v>39.112864486352777</v>
      </c>
      <c r="F103" s="61">
        <f t="shared" si="7"/>
        <v>-23.830380135496249</v>
      </c>
      <c r="G103" s="61">
        <f t="shared" si="8"/>
        <v>132.62107780991485</v>
      </c>
      <c r="H103" s="61">
        <f t="shared" si="6"/>
        <v>0.85917131368672828</v>
      </c>
      <c r="I103" s="28" t="str">
        <f t="shared" si="9"/>
        <v>Normal</v>
      </c>
      <c r="J103" s="49">
        <f t="shared" si="10"/>
        <v>88</v>
      </c>
      <c r="K103" s="49" t="e">
        <f t="shared" si="11"/>
        <v>#N/A</v>
      </c>
    </row>
    <row r="104" spans="1:11">
      <c r="A104" s="74">
        <v>40548</v>
      </c>
      <c r="B104" s="75">
        <v>8</v>
      </c>
      <c r="C104" s="73">
        <v>195</v>
      </c>
      <c r="D104" s="72" cm="1">
        <f t="array" ref="D104">AVERAGE(_xlfn._xlws.FILTER(C:C,B:B=B104))</f>
        <v>128.28571428571428</v>
      </c>
      <c r="E104" s="61" cm="1">
        <f t="array" ref="E104">_xlfn.STDEV.S(_xlfn._xlws.FILTER(C:C,B:B=B104))</f>
        <v>88.551565717048547</v>
      </c>
      <c r="F104" s="61">
        <f t="shared" si="7"/>
        <v>-48.817417148382816</v>
      </c>
      <c r="G104" s="61">
        <f t="shared" si="8"/>
        <v>305.38884571981134</v>
      </c>
      <c r="H104" s="61">
        <f t="shared" si="6"/>
        <v>0.75339476127909322</v>
      </c>
      <c r="I104" s="28" t="str">
        <f t="shared" si="9"/>
        <v>Normal</v>
      </c>
      <c r="J104" s="49">
        <f t="shared" si="10"/>
        <v>195</v>
      </c>
      <c r="K104" s="49" t="e">
        <f t="shared" si="11"/>
        <v>#N/A</v>
      </c>
    </row>
    <row r="105" spans="1:11">
      <c r="A105" s="74">
        <v>40548</v>
      </c>
      <c r="B105" s="75">
        <v>9</v>
      </c>
      <c r="C105" s="73">
        <v>115</v>
      </c>
      <c r="D105" s="72" cm="1">
        <f t="array" ref="D105">AVERAGE(_xlfn._xlws.FILTER(C:C,B:B=B105))</f>
        <v>87.428571428571431</v>
      </c>
      <c r="E105" s="61" cm="1">
        <f t="array" ref="E105">_xlfn.STDEV.S(_xlfn._xlws.FILTER(C:C,B:B=B105))</f>
        <v>45.93852884078624</v>
      </c>
      <c r="F105" s="61">
        <f t="shared" si="7"/>
        <v>-4.4484862530010503</v>
      </c>
      <c r="G105" s="61">
        <f t="shared" si="8"/>
        <v>179.30562911014391</v>
      </c>
      <c r="H105" s="61">
        <f t="shared" si="6"/>
        <v>0.60018092148718194</v>
      </c>
      <c r="I105" s="28" t="str">
        <f t="shared" si="9"/>
        <v>Normal</v>
      </c>
      <c r="J105" s="49">
        <f t="shared" si="10"/>
        <v>115</v>
      </c>
      <c r="K105" s="49" t="e">
        <f t="shared" si="11"/>
        <v>#N/A</v>
      </c>
    </row>
    <row r="106" spans="1:11">
      <c r="A106" s="74">
        <v>40548</v>
      </c>
      <c r="B106" s="75">
        <v>10</v>
      </c>
      <c r="C106" s="73">
        <v>57</v>
      </c>
      <c r="D106" s="72" cm="1">
        <f t="array" ref="D106">AVERAGE(_xlfn._xlws.FILTER(C:C,B:B=B106))</f>
        <v>53.642857142857146</v>
      </c>
      <c r="E106" s="61" cm="1">
        <f t="array" ref="E106">_xlfn.STDEV.S(_xlfn._xlws.FILTER(C:C,B:B=B106))</f>
        <v>15.395313554536934</v>
      </c>
      <c r="F106" s="61">
        <f t="shared" si="7"/>
        <v>22.852230033783279</v>
      </c>
      <c r="G106" s="61">
        <f t="shared" si="8"/>
        <v>84.43348425193102</v>
      </c>
      <c r="H106" s="61">
        <f t="shared" si="6"/>
        <v>0.2180626490815134</v>
      </c>
      <c r="I106" s="28" t="str">
        <f t="shared" si="9"/>
        <v>Normal</v>
      </c>
      <c r="J106" s="49">
        <f t="shared" si="10"/>
        <v>57</v>
      </c>
      <c r="K106" s="49" t="e">
        <f t="shared" si="11"/>
        <v>#N/A</v>
      </c>
    </row>
    <row r="107" spans="1:11">
      <c r="A107" s="74">
        <v>40548</v>
      </c>
      <c r="B107" s="75">
        <v>11</v>
      </c>
      <c r="C107" s="73">
        <v>46</v>
      </c>
      <c r="D107" s="72" cm="1">
        <f t="array" ref="D107">AVERAGE(_xlfn._xlws.FILTER(C:C,B:B=B107))</f>
        <v>59.38095238095238</v>
      </c>
      <c r="E107" s="61" cm="1">
        <f t="array" ref="E107">_xlfn.STDEV.S(_xlfn._xlws.FILTER(C:C,B:B=B107))</f>
        <v>20.89573696860419</v>
      </c>
      <c r="F107" s="61">
        <f t="shared" si="7"/>
        <v>17.589478443743999</v>
      </c>
      <c r="G107" s="61">
        <f t="shared" si="8"/>
        <v>101.17242631816076</v>
      </c>
      <c r="H107" s="61">
        <f t="shared" si="6"/>
        <v>-0.64036757358963881</v>
      </c>
      <c r="I107" s="28" t="str">
        <f t="shared" si="9"/>
        <v>Normal</v>
      </c>
      <c r="J107" s="49">
        <f t="shared" si="10"/>
        <v>46</v>
      </c>
      <c r="K107" s="49" t="e">
        <f t="shared" si="11"/>
        <v>#N/A</v>
      </c>
    </row>
    <row r="108" spans="1:11">
      <c r="A108" s="74">
        <v>40548</v>
      </c>
      <c r="B108" s="75">
        <v>12</v>
      </c>
      <c r="C108" s="73">
        <v>79</v>
      </c>
      <c r="D108" s="72" cm="1">
        <f t="array" ref="D108">AVERAGE(_xlfn._xlws.FILTER(C:C,B:B=B108))</f>
        <v>76.348837209302332</v>
      </c>
      <c r="E108" s="61" cm="1">
        <f t="array" ref="E108">_xlfn.STDEV.S(_xlfn._xlws.FILTER(C:C,B:B=B108))</f>
        <v>29.034366927857054</v>
      </c>
      <c r="F108" s="61">
        <f t="shared" si="7"/>
        <v>18.280103353588224</v>
      </c>
      <c r="G108" s="61">
        <f t="shared" si="8"/>
        <v>134.41757106501643</v>
      </c>
      <c r="H108" s="61">
        <f t="shared" si="6"/>
        <v>9.1311196737477604E-2</v>
      </c>
      <c r="I108" s="28" t="str">
        <f t="shared" si="9"/>
        <v>Normal</v>
      </c>
      <c r="J108" s="49">
        <f t="shared" si="10"/>
        <v>79</v>
      </c>
      <c r="K108" s="49" t="e">
        <f t="shared" si="11"/>
        <v>#N/A</v>
      </c>
    </row>
    <row r="109" spans="1:11">
      <c r="A109" s="74">
        <v>40548</v>
      </c>
      <c r="B109" s="75">
        <v>13</v>
      </c>
      <c r="C109" s="73">
        <v>71</v>
      </c>
      <c r="D109" s="72" cm="1">
        <f t="array" ref="D109">AVERAGE(_xlfn._xlws.FILTER(C:C,B:B=B109))</f>
        <v>78.511627906976742</v>
      </c>
      <c r="E109" s="61" cm="1">
        <f t="array" ref="E109">_xlfn.STDEV.S(_xlfn._xlws.FILTER(C:C,B:B=B109))</f>
        <v>30.072430098825187</v>
      </c>
      <c r="F109" s="61">
        <f t="shared" si="7"/>
        <v>18.366767709326368</v>
      </c>
      <c r="G109" s="61">
        <f t="shared" si="8"/>
        <v>138.6564881046271</v>
      </c>
      <c r="H109" s="61">
        <f t="shared" si="6"/>
        <v>-0.24978453295233335</v>
      </c>
      <c r="I109" s="28" t="str">
        <f t="shared" si="9"/>
        <v>Normal</v>
      </c>
      <c r="J109" s="49">
        <f t="shared" si="10"/>
        <v>71</v>
      </c>
      <c r="K109" s="49" t="e">
        <f t="shared" si="11"/>
        <v>#N/A</v>
      </c>
    </row>
    <row r="110" spans="1:11">
      <c r="A110" s="74">
        <v>40548</v>
      </c>
      <c r="B110" s="75">
        <v>14</v>
      </c>
      <c r="C110" s="73">
        <v>62</v>
      </c>
      <c r="D110" s="72" cm="1">
        <f t="array" ref="D110">AVERAGE(_xlfn._xlws.FILTER(C:C,B:B=B110))</f>
        <v>74.418604651162795</v>
      </c>
      <c r="E110" s="61" cm="1">
        <f t="array" ref="E110">_xlfn.STDEV.S(_xlfn._xlws.FILTER(C:C,B:B=B110))</f>
        <v>30.30576918056515</v>
      </c>
      <c r="F110" s="61">
        <f t="shared" si="7"/>
        <v>13.807066290032495</v>
      </c>
      <c r="G110" s="61">
        <f t="shared" si="8"/>
        <v>135.03014301229308</v>
      </c>
      <c r="H110" s="61">
        <f t="shared" si="6"/>
        <v>-0.40977691663825999</v>
      </c>
      <c r="I110" s="28" t="str">
        <f t="shared" si="9"/>
        <v>Normal</v>
      </c>
      <c r="J110" s="49">
        <f t="shared" si="10"/>
        <v>62</v>
      </c>
      <c r="K110" s="49" t="e">
        <f t="shared" si="11"/>
        <v>#N/A</v>
      </c>
    </row>
    <row r="111" spans="1:11">
      <c r="A111" s="74">
        <v>40548</v>
      </c>
      <c r="B111" s="75">
        <v>15</v>
      </c>
      <c r="C111" s="73">
        <v>62</v>
      </c>
      <c r="D111" s="72" cm="1">
        <f t="array" ref="D111">AVERAGE(_xlfn._xlws.FILTER(C:C,B:B=B111))</f>
        <v>77.95348837209302</v>
      </c>
      <c r="E111" s="61" cm="1">
        <f t="array" ref="E111">_xlfn.STDEV.S(_xlfn._xlws.FILTER(C:C,B:B=B111))</f>
        <v>34.481156681772681</v>
      </c>
      <c r="F111" s="61">
        <f t="shared" si="7"/>
        <v>8.9911750085476569</v>
      </c>
      <c r="G111" s="61">
        <f t="shared" si="8"/>
        <v>146.91580173563838</v>
      </c>
      <c r="H111" s="61">
        <f t="shared" si="6"/>
        <v>-0.46267265681740605</v>
      </c>
      <c r="I111" s="28" t="str">
        <f t="shared" si="9"/>
        <v>Normal</v>
      </c>
      <c r="J111" s="49">
        <f t="shared" si="10"/>
        <v>62</v>
      </c>
      <c r="K111" s="49" t="e">
        <f t="shared" si="11"/>
        <v>#N/A</v>
      </c>
    </row>
    <row r="112" spans="1:11">
      <c r="A112" s="74">
        <v>40548</v>
      </c>
      <c r="B112" s="75">
        <v>16</v>
      </c>
      <c r="C112" s="73">
        <v>89</v>
      </c>
      <c r="D112" s="72" cm="1">
        <f t="array" ref="D112">AVERAGE(_xlfn._xlws.FILTER(C:C,B:B=B112))</f>
        <v>89.272727272727266</v>
      </c>
      <c r="E112" s="61" cm="1">
        <f t="array" ref="E112">_xlfn.STDEV.S(_xlfn._xlws.FILTER(C:C,B:B=B112))</f>
        <v>25.461657115880758</v>
      </c>
      <c r="F112" s="61">
        <f t="shared" si="7"/>
        <v>38.34941304096575</v>
      </c>
      <c r="G112" s="61">
        <f t="shared" si="8"/>
        <v>140.19604150448879</v>
      </c>
      <c r="H112" s="61">
        <f t="shared" si="6"/>
        <v>-1.0711293121497689E-2</v>
      </c>
      <c r="I112" s="28" t="str">
        <f t="shared" si="9"/>
        <v>Normal</v>
      </c>
      <c r="J112" s="49">
        <f t="shared" si="10"/>
        <v>89</v>
      </c>
      <c r="K112" s="49" t="e">
        <f t="shared" si="11"/>
        <v>#N/A</v>
      </c>
    </row>
    <row r="113" spans="1:11">
      <c r="A113" s="74">
        <v>40548</v>
      </c>
      <c r="B113" s="75">
        <v>17</v>
      </c>
      <c r="C113" s="73">
        <v>190</v>
      </c>
      <c r="D113" s="72" cm="1">
        <f t="array" ref="D113">AVERAGE(_xlfn._xlws.FILTER(C:C,B:B=B113))</f>
        <v>140.20454545454547</v>
      </c>
      <c r="E113" s="61" cm="1">
        <f t="array" ref="E113">_xlfn.STDEV.S(_xlfn._xlws.FILTER(C:C,B:B=B113))</f>
        <v>54.067391000084555</v>
      </c>
      <c r="F113" s="61">
        <f t="shared" si="7"/>
        <v>32.069763454376357</v>
      </c>
      <c r="G113" s="61">
        <f t="shared" si="8"/>
        <v>248.33932745471458</v>
      </c>
      <c r="H113" s="61">
        <f t="shared" si="6"/>
        <v>0.92098867033137699</v>
      </c>
      <c r="I113" s="28" t="str">
        <f t="shared" si="9"/>
        <v>Normal</v>
      </c>
      <c r="J113" s="49">
        <f t="shared" si="10"/>
        <v>190</v>
      </c>
      <c r="K113" s="49" t="e">
        <f t="shared" si="11"/>
        <v>#N/A</v>
      </c>
    </row>
    <row r="114" spans="1:11">
      <c r="A114" s="74">
        <v>40548</v>
      </c>
      <c r="B114" s="75">
        <v>18</v>
      </c>
      <c r="C114" s="73">
        <v>169</v>
      </c>
      <c r="D114" s="72" cm="1">
        <f t="array" ref="D114">AVERAGE(_xlfn._xlws.FILTER(C:C,B:B=B114))</f>
        <v>122.86046511627907</v>
      </c>
      <c r="E114" s="61" cm="1">
        <f t="array" ref="E114">_xlfn.STDEV.S(_xlfn._xlws.FILTER(C:C,B:B=B114))</f>
        <v>48.613432101949932</v>
      </c>
      <c r="F114" s="61">
        <f t="shared" si="7"/>
        <v>25.633600912379208</v>
      </c>
      <c r="G114" s="61">
        <f t="shared" si="8"/>
        <v>220.08732932017892</v>
      </c>
      <c r="H114" s="61">
        <f t="shared" si="6"/>
        <v>0.94911082984141382</v>
      </c>
      <c r="I114" s="28" t="str">
        <f t="shared" si="9"/>
        <v>Normal</v>
      </c>
      <c r="J114" s="49">
        <f t="shared" si="10"/>
        <v>169</v>
      </c>
      <c r="K114" s="49" t="e">
        <f t="shared" si="11"/>
        <v>#N/A</v>
      </c>
    </row>
    <row r="115" spans="1:11">
      <c r="A115" s="74">
        <v>40548</v>
      </c>
      <c r="B115" s="75">
        <v>19</v>
      </c>
      <c r="C115" s="73">
        <v>132</v>
      </c>
      <c r="D115" s="72" cm="1">
        <f t="array" ref="D115">AVERAGE(_xlfn._xlws.FILTER(C:C,B:B=B115))</f>
        <v>85.139534883720927</v>
      </c>
      <c r="E115" s="61" cm="1">
        <f t="array" ref="E115">_xlfn.STDEV.S(_xlfn._xlws.FILTER(C:C,B:B=B115))</f>
        <v>31.690904054294752</v>
      </c>
      <c r="F115" s="61">
        <f t="shared" si="7"/>
        <v>21.757726775131424</v>
      </c>
      <c r="G115" s="61">
        <f t="shared" si="8"/>
        <v>148.52134299231042</v>
      </c>
      <c r="H115" s="61">
        <f t="shared" si="6"/>
        <v>1.4786723987423938</v>
      </c>
      <c r="I115" s="28" t="str">
        <f t="shared" si="9"/>
        <v>Normal</v>
      </c>
      <c r="J115" s="49">
        <f t="shared" si="10"/>
        <v>132</v>
      </c>
      <c r="K115" s="49" t="e">
        <f t="shared" si="11"/>
        <v>#N/A</v>
      </c>
    </row>
    <row r="116" spans="1:11">
      <c r="A116" s="74">
        <v>40548</v>
      </c>
      <c r="B116" s="75">
        <v>20</v>
      </c>
      <c r="C116" s="73">
        <v>89</v>
      </c>
      <c r="D116" s="72" cm="1">
        <f t="array" ref="D116">AVERAGE(_xlfn._xlws.FILTER(C:C,B:B=B116))</f>
        <v>61.767441860465119</v>
      </c>
      <c r="E116" s="61" cm="1">
        <f t="array" ref="E116">_xlfn.STDEV.S(_xlfn._xlws.FILTER(C:C,B:B=B116))</f>
        <v>24.632380169685593</v>
      </c>
      <c r="F116" s="61">
        <f t="shared" si="7"/>
        <v>12.502681521093933</v>
      </c>
      <c r="G116" s="61">
        <f t="shared" si="8"/>
        <v>111.03220219983631</v>
      </c>
      <c r="H116" s="61">
        <f t="shared" si="6"/>
        <v>1.1055593471656977</v>
      </c>
      <c r="I116" s="28" t="str">
        <f t="shared" si="9"/>
        <v>Normal</v>
      </c>
      <c r="J116" s="49">
        <f t="shared" si="10"/>
        <v>89</v>
      </c>
      <c r="K116" s="49" t="e">
        <f t="shared" si="11"/>
        <v>#N/A</v>
      </c>
    </row>
    <row r="117" spans="1:11">
      <c r="A117" s="74">
        <v>40548</v>
      </c>
      <c r="B117" s="75">
        <v>21</v>
      </c>
      <c r="C117" s="73">
        <v>43</v>
      </c>
      <c r="D117" s="72" cm="1">
        <f t="array" ref="D117">AVERAGE(_xlfn._xlws.FILTER(C:C,B:B=B117))</f>
        <v>46.418604651162788</v>
      </c>
      <c r="E117" s="61" cm="1">
        <f t="array" ref="E117">_xlfn.STDEV.S(_xlfn._xlws.FILTER(C:C,B:B=B117))</f>
        <v>14.656759464719496</v>
      </c>
      <c r="F117" s="61">
        <f t="shared" si="7"/>
        <v>17.105085721723796</v>
      </c>
      <c r="G117" s="61">
        <f t="shared" si="8"/>
        <v>75.73212358060178</v>
      </c>
      <c r="H117" s="61">
        <f t="shared" si="6"/>
        <v>-0.23324423515250844</v>
      </c>
      <c r="I117" s="28" t="str">
        <f t="shared" si="9"/>
        <v>Normal</v>
      </c>
      <c r="J117" s="49">
        <f t="shared" si="10"/>
        <v>43</v>
      </c>
      <c r="K117" s="49" t="e">
        <f t="shared" si="11"/>
        <v>#N/A</v>
      </c>
    </row>
    <row r="118" spans="1:11">
      <c r="A118" s="74">
        <v>40548</v>
      </c>
      <c r="B118" s="75">
        <v>22</v>
      </c>
      <c r="C118" s="73">
        <v>42</v>
      </c>
      <c r="D118" s="72" cm="1">
        <f t="array" ref="D118">AVERAGE(_xlfn._xlws.FILTER(C:C,B:B=B118))</f>
        <v>35.069767441860463</v>
      </c>
      <c r="E118" s="61" cm="1">
        <f t="array" ref="E118">_xlfn.STDEV.S(_xlfn._xlws.FILTER(C:C,B:B=B118))</f>
        <v>11.95506537162667</v>
      </c>
      <c r="F118" s="61">
        <f t="shared" si="7"/>
        <v>11.159636698607123</v>
      </c>
      <c r="G118" s="61">
        <f t="shared" si="8"/>
        <v>58.979898185113804</v>
      </c>
      <c r="H118" s="61">
        <f t="shared" si="6"/>
        <v>0.5796900596283876</v>
      </c>
      <c r="I118" s="28" t="str">
        <f t="shared" si="9"/>
        <v>Normal</v>
      </c>
      <c r="J118" s="49">
        <f t="shared" si="10"/>
        <v>42</v>
      </c>
      <c r="K118" s="49" t="e">
        <f t="shared" si="11"/>
        <v>#N/A</v>
      </c>
    </row>
    <row r="119" spans="1:11">
      <c r="A119" s="74">
        <v>40548</v>
      </c>
      <c r="B119" s="75">
        <v>23</v>
      </c>
      <c r="C119" s="73">
        <v>19</v>
      </c>
      <c r="D119" s="72" cm="1">
        <f t="array" ref="D119">AVERAGE(_xlfn._xlws.FILTER(C:C,B:B=B119))</f>
        <v>25.186046511627907</v>
      </c>
      <c r="E119" s="61" cm="1">
        <f t="array" ref="E119">_xlfn.STDEV.S(_xlfn._xlws.FILTER(C:C,B:B=B119))</f>
        <v>11.751911321656188</v>
      </c>
      <c r="F119" s="61">
        <f t="shared" si="7"/>
        <v>1.6822238683155319</v>
      </c>
      <c r="G119" s="61">
        <f t="shared" si="8"/>
        <v>48.689869154940283</v>
      </c>
      <c r="H119" s="61">
        <f t="shared" si="6"/>
        <v>-0.52638641854184043</v>
      </c>
      <c r="I119" s="28" t="str">
        <f t="shared" si="9"/>
        <v>Normal</v>
      </c>
      <c r="J119" s="49">
        <f t="shared" si="10"/>
        <v>19</v>
      </c>
      <c r="K119" s="49" t="e">
        <f t="shared" si="11"/>
        <v>#N/A</v>
      </c>
    </row>
    <row r="120" spans="1:11">
      <c r="A120" s="74">
        <v>40549</v>
      </c>
      <c r="B120" s="75">
        <v>0</v>
      </c>
      <c r="C120" s="73">
        <v>11</v>
      </c>
      <c r="D120" s="72" cm="1">
        <f t="array" ref="D120">AVERAGE(_xlfn._xlws.FILTER(C:C,B:B=B120))</f>
        <v>16.348837209302324</v>
      </c>
      <c r="E120" s="61" cm="1">
        <f t="array" ref="E120">_xlfn.STDEV.S(_xlfn._xlws.FILTER(C:C,B:B=B120))</f>
        <v>10.44232167427621</v>
      </c>
      <c r="F120" s="61">
        <f t="shared" si="7"/>
        <v>-4.535806139250095</v>
      </c>
      <c r="G120" s="61">
        <f t="shared" si="8"/>
        <v>37.233480557854747</v>
      </c>
      <c r="H120" s="61">
        <f t="shared" si="6"/>
        <v>-0.51222681853200713</v>
      </c>
      <c r="I120" s="28" t="str">
        <f t="shared" si="9"/>
        <v>Normal</v>
      </c>
      <c r="J120" s="49">
        <f t="shared" si="10"/>
        <v>11</v>
      </c>
      <c r="K120" s="49" t="e">
        <f t="shared" si="11"/>
        <v>#N/A</v>
      </c>
    </row>
    <row r="121" spans="1:11">
      <c r="A121" s="74">
        <v>40549</v>
      </c>
      <c r="B121" s="75">
        <v>1</v>
      </c>
      <c r="C121" s="73">
        <v>4</v>
      </c>
      <c r="D121" s="72" cm="1">
        <f t="array" ref="D121">AVERAGE(_xlfn._xlws.FILTER(C:C,B:B=B121))</f>
        <v>10.697674418604651</v>
      </c>
      <c r="E121" s="61" cm="1">
        <f t="array" ref="E121">_xlfn.STDEV.S(_xlfn._xlws.FILTER(C:C,B:B=B121))</f>
        <v>10.060613641515801</v>
      </c>
      <c r="F121" s="61">
        <f t="shared" si="7"/>
        <v>-9.4235528644269504</v>
      </c>
      <c r="G121" s="61">
        <f t="shared" si="8"/>
        <v>30.81890170163625</v>
      </c>
      <c r="H121" s="61">
        <f t="shared" si="6"/>
        <v>-0.66573219658950478</v>
      </c>
      <c r="I121" s="28" t="str">
        <f t="shared" si="9"/>
        <v>Normal</v>
      </c>
      <c r="J121" s="49">
        <f t="shared" si="10"/>
        <v>4</v>
      </c>
      <c r="K121" s="49" t="e">
        <f t="shared" si="11"/>
        <v>#N/A</v>
      </c>
    </row>
    <row r="122" spans="1:11">
      <c r="A122" s="74">
        <v>40549</v>
      </c>
      <c r="B122" s="75">
        <v>2</v>
      </c>
      <c r="C122" s="73">
        <v>2</v>
      </c>
      <c r="D122" s="72" cm="1">
        <f t="array" ref="D122">AVERAGE(_xlfn._xlws.FILTER(C:C,B:B=B122))</f>
        <v>7.1707317073170733</v>
      </c>
      <c r="E122" s="61" cm="1">
        <f t="array" ref="E122">_xlfn.STDEV.S(_xlfn._xlws.FILTER(C:C,B:B=B122))</f>
        <v>7.3685223723090854</v>
      </c>
      <c r="F122" s="61">
        <f t="shared" si="7"/>
        <v>-7.5663130373010974</v>
      </c>
      <c r="G122" s="61">
        <f t="shared" si="8"/>
        <v>21.907776451935245</v>
      </c>
      <c r="H122" s="61">
        <f t="shared" si="6"/>
        <v>-0.70173251108644097</v>
      </c>
      <c r="I122" s="28" t="str">
        <f t="shared" si="9"/>
        <v>Normal</v>
      </c>
      <c r="J122" s="49">
        <f t="shared" si="10"/>
        <v>2</v>
      </c>
      <c r="K122" s="49" t="e">
        <f t="shared" si="11"/>
        <v>#N/A</v>
      </c>
    </row>
    <row r="123" spans="1:11">
      <c r="A123" s="74">
        <v>40549</v>
      </c>
      <c r="B123" s="75">
        <v>4</v>
      </c>
      <c r="C123" s="73">
        <v>1</v>
      </c>
      <c r="D123" s="72" cm="1">
        <f t="array" ref="D123">AVERAGE(_xlfn._xlws.FILTER(C:C,B:B=B123))</f>
        <v>2.15625</v>
      </c>
      <c r="E123" s="61" cm="1">
        <f t="array" ref="E123">_xlfn.STDEV.S(_xlfn._xlws.FILTER(C:C,B:B=B123))</f>
        <v>1.5263148747143209</v>
      </c>
      <c r="F123" s="61">
        <f t="shared" si="7"/>
        <v>-0.89637974942864185</v>
      </c>
      <c r="G123" s="61">
        <f t="shared" si="8"/>
        <v>5.2088797494286414</v>
      </c>
      <c r="H123" s="61">
        <f t="shared" si="6"/>
        <v>-0.75754355746314428</v>
      </c>
      <c r="I123" s="28" t="str">
        <f t="shared" si="9"/>
        <v>Normal</v>
      </c>
      <c r="J123" s="49">
        <f t="shared" si="10"/>
        <v>1</v>
      </c>
      <c r="K123" s="49" t="e">
        <f t="shared" si="11"/>
        <v>#N/A</v>
      </c>
    </row>
    <row r="124" spans="1:11">
      <c r="A124" s="74">
        <v>40549</v>
      </c>
      <c r="B124" s="75">
        <v>5</v>
      </c>
      <c r="C124" s="73">
        <v>4</v>
      </c>
      <c r="D124" s="72" cm="1">
        <f t="array" ref="D124">AVERAGE(_xlfn._xlws.FILTER(C:C,B:B=B124))</f>
        <v>4.2051282051282053</v>
      </c>
      <c r="E124" s="61" cm="1">
        <f t="array" ref="E124">_xlfn.STDEV.S(_xlfn._xlws.FILTER(C:C,B:B=B124))</f>
        <v>2.5358429220352288</v>
      </c>
      <c r="F124" s="61">
        <f t="shared" si="7"/>
        <v>-0.86655763894225224</v>
      </c>
      <c r="G124" s="61">
        <f t="shared" si="8"/>
        <v>9.2768140491986628</v>
      </c>
      <c r="H124" s="61">
        <f t="shared" si="6"/>
        <v>-8.0891526579088158E-2</v>
      </c>
      <c r="I124" s="28" t="str">
        <f t="shared" si="9"/>
        <v>Normal</v>
      </c>
      <c r="J124" s="49">
        <f t="shared" si="10"/>
        <v>4</v>
      </c>
      <c r="K124" s="49" t="e">
        <f t="shared" si="11"/>
        <v>#N/A</v>
      </c>
    </row>
    <row r="125" spans="1:11">
      <c r="A125" s="74">
        <v>40549</v>
      </c>
      <c r="B125" s="75">
        <v>6</v>
      </c>
      <c r="C125" s="73">
        <v>36</v>
      </c>
      <c r="D125" s="72" cm="1">
        <f t="array" ref="D125">AVERAGE(_xlfn._xlws.FILTER(C:C,B:B=B125))</f>
        <v>19.571428571428573</v>
      </c>
      <c r="E125" s="61" cm="1">
        <f t="array" ref="E125">_xlfn.STDEV.S(_xlfn._xlws.FILTER(C:C,B:B=B125))</f>
        <v>14.202615453298934</v>
      </c>
      <c r="F125" s="61">
        <f t="shared" si="7"/>
        <v>-8.8338023351692954</v>
      </c>
      <c r="G125" s="61">
        <f t="shared" si="8"/>
        <v>47.976659478026441</v>
      </c>
      <c r="H125" s="61">
        <f t="shared" si="6"/>
        <v>1.1567285957006923</v>
      </c>
      <c r="I125" s="28" t="str">
        <f t="shared" si="9"/>
        <v>Normal</v>
      </c>
      <c r="J125" s="49">
        <f t="shared" si="10"/>
        <v>36</v>
      </c>
      <c r="K125" s="49" t="e">
        <f t="shared" si="11"/>
        <v>#N/A</v>
      </c>
    </row>
    <row r="126" spans="1:11">
      <c r="A126" s="74">
        <v>40549</v>
      </c>
      <c r="B126" s="75">
        <v>7</v>
      </c>
      <c r="C126" s="73">
        <v>95</v>
      </c>
      <c r="D126" s="72" cm="1">
        <f t="array" ref="D126">AVERAGE(_xlfn._xlws.FILTER(C:C,B:B=B126))</f>
        <v>54.395348837209305</v>
      </c>
      <c r="E126" s="61" cm="1">
        <f t="array" ref="E126">_xlfn.STDEV.S(_xlfn._xlws.FILTER(C:C,B:B=B126))</f>
        <v>39.112864486352777</v>
      </c>
      <c r="F126" s="61">
        <f t="shared" si="7"/>
        <v>-23.830380135496249</v>
      </c>
      <c r="G126" s="61">
        <f t="shared" si="8"/>
        <v>132.62107780991485</v>
      </c>
      <c r="H126" s="61">
        <f t="shared" si="6"/>
        <v>1.0381405631121299</v>
      </c>
      <c r="I126" s="28" t="str">
        <f t="shared" si="9"/>
        <v>Normal</v>
      </c>
      <c r="J126" s="49">
        <f t="shared" si="10"/>
        <v>95</v>
      </c>
      <c r="K126" s="49" t="e">
        <f t="shared" si="11"/>
        <v>#N/A</v>
      </c>
    </row>
    <row r="127" spans="1:11">
      <c r="A127" s="74">
        <v>40549</v>
      </c>
      <c r="B127" s="75">
        <v>8</v>
      </c>
      <c r="C127" s="73">
        <v>219</v>
      </c>
      <c r="D127" s="72" cm="1">
        <f t="array" ref="D127">AVERAGE(_xlfn._xlws.FILTER(C:C,B:B=B127))</f>
        <v>128.28571428571428</v>
      </c>
      <c r="E127" s="61" cm="1">
        <f t="array" ref="E127">_xlfn.STDEV.S(_xlfn._xlws.FILTER(C:C,B:B=B127))</f>
        <v>88.551565717048547</v>
      </c>
      <c r="F127" s="61">
        <f t="shared" si="7"/>
        <v>-48.817417148382816</v>
      </c>
      <c r="G127" s="61">
        <f t="shared" si="8"/>
        <v>305.38884571981134</v>
      </c>
      <c r="H127" s="61">
        <f t="shared" si="6"/>
        <v>1.0244232835379532</v>
      </c>
      <c r="I127" s="28" t="str">
        <f t="shared" si="9"/>
        <v>Normal</v>
      </c>
      <c r="J127" s="49">
        <f t="shared" si="10"/>
        <v>219</v>
      </c>
      <c r="K127" s="49" t="e">
        <f t="shared" si="11"/>
        <v>#N/A</v>
      </c>
    </row>
    <row r="128" spans="1:11">
      <c r="A128" s="74">
        <v>40549</v>
      </c>
      <c r="B128" s="75">
        <v>9</v>
      </c>
      <c r="C128" s="73">
        <v>122</v>
      </c>
      <c r="D128" s="72" cm="1">
        <f t="array" ref="D128">AVERAGE(_xlfn._xlws.FILTER(C:C,B:B=B128))</f>
        <v>87.428571428571431</v>
      </c>
      <c r="E128" s="61" cm="1">
        <f t="array" ref="E128">_xlfn.STDEV.S(_xlfn._xlws.FILTER(C:C,B:B=B128))</f>
        <v>45.93852884078624</v>
      </c>
      <c r="F128" s="61">
        <f t="shared" si="7"/>
        <v>-4.4484862530010503</v>
      </c>
      <c r="G128" s="61">
        <f t="shared" si="8"/>
        <v>179.30562911014391</v>
      </c>
      <c r="H128" s="61">
        <f t="shared" si="6"/>
        <v>0.75255846113936808</v>
      </c>
      <c r="I128" s="28" t="str">
        <f t="shared" si="9"/>
        <v>Normal</v>
      </c>
      <c r="J128" s="49">
        <f t="shared" si="10"/>
        <v>122</v>
      </c>
      <c r="K128" s="49" t="e">
        <f t="shared" si="11"/>
        <v>#N/A</v>
      </c>
    </row>
    <row r="129" spans="1:11">
      <c r="A129" s="74">
        <v>40549</v>
      </c>
      <c r="B129" s="75">
        <v>10</v>
      </c>
      <c r="C129" s="73">
        <v>45</v>
      </c>
      <c r="D129" s="72" cm="1">
        <f t="array" ref="D129">AVERAGE(_xlfn._xlws.FILTER(C:C,B:B=B129))</f>
        <v>53.642857142857146</v>
      </c>
      <c r="E129" s="61" cm="1">
        <f t="array" ref="E129">_xlfn.STDEV.S(_xlfn._xlws.FILTER(C:C,B:B=B129))</f>
        <v>15.395313554536934</v>
      </c>
      <c r="F129" s="61">
        <f t="shared" si="7"/>
        <v>22.852230033783279</v>
      </c>
      <c r="G129" s="61">
        <f t="shared" si="8"/>
        <v>84.43348425193102</v>
      </c>
      <c r="H129" s="61">
        <f t="shared" si="6"/>
        <v>-0.56139533061410973</v>
      </c>
      <c r="I129" s="28" t="str">
        <f t="shared" si="9"/>
        <v>Normal</v>
      </c>
      <c r="J129" s="49">
        <f t="shared" si="10"/>
        <v>45</v>
      </c>
      <c r="K129" s="49" t="e">
        <f t="shared" si="11"/>
        <v>#N/A</v>
      </c>
    </row>
    <row r="130" spans="1:11">
      <c r="A130" s="74">
        <v>40549</v>
      </c>
      <c r="B130" s="75">
        <v>11</v>
      </c>
      <c r="C130" s="73">
        <v>59</v>
      </c>
      <c r="D130" s="72" cm="1">
        <f t="array" ref="D130">AVERAGE(_xlfn._xlws.FILTER(C:C,B:B=B130))</f>
        <v>59.38095238095238</v>
      </c>
      <c r="E130" s="61" cm="1">
        <f t="array" ref="E130">_xlfn.STDEV.S(_xlfn._xlws.FILTER(C:C,B:B=B130))</f>
        <v>20.89573696860419</v>
      </c>
      <c r="F130" s="61">
        <f t="shared" si="7"/>
        <v>17.589478443743999</v>
      </c>
      <c r="G130" s="61">
        <f t="shared" si="8"/>
        <v>101.17242631816076</v>
      </c>
      <c r="H130" s="61">
        <f t="shared" si="6"/>
        <v>-1.8231105297925598E-2</v>
      </c>
      <c r="I130" s="28" t="str">
        <f t="shared" si="9"/>
        <v>Normal</v>
      </c>
      <c r="J130" s="49">
        <f t="shared" si="10"/>
        <v>59</v>
      </c>
      <c r="K130" s="49" t="e">
        <f t="shared" si="11"/>
        <v>#N/A</v>
      </c>
    </row>
    <row r="131" spans="1:11">
      <c r="A131" s="74">
        <v>40549</v>
      </c>
      <c r="B131" s="75">
        <v>12</v>
      </c>
      <c r="C131" s="73">
        <v>84</v>
      </c>
      <c r="D131" s="72" cm="1">
        <f t="array" ref="D131">AVERAGE(_xlfn._xlws.FILTER(C:C,B:B=B131))</f>
        <v>76.348837209302332</v>
      </c>
      <c r="E131" s="61" cm="1">
        <f t="array" ref="E131">_xlfn.STDEV.S(_xlfn._xlws.FILTER(C:C,B:B=B131))</f>
        <v>29.034366927857054</v>
      </c>
      <c r="F131" s="61">
        <f t="shared" si="7"/>
        <v>18.280103353588224</v>
      </c>
      <c r="G131" s="61">
        <f t="shared" si="8"/>
        <v>134.41757106501643</v>
      </c>
      <c r="H131" s="61">
        <f t="shared" si="6"/>
        <v>0.26352090988272081</v>
      </c>
      <c r="I131" s="28" t="str">
        <f t="shared" si="9"/>
        <v>Normal</v>
      </c>
      <c r="J131" s="49">
        <f t="shared" si="10"/>
        <v>84</v>
      </c>
      <c r="K131" s="49" t="e">
        <f t="shared" si="11"/>
        <v>#N/A</v>
      </c>
    </row>
    <row r="132" spans="1:11">
      <c r="A132" s="74">
        <v>40549</v>
      </c>
      <c r="B132" s="75">
        <v>13</v>
      </c>
      <c r="C132" s="73">
        <v>67</v>
      </c>
      <c r="D132" s="72" cm="1">
        <f t="array" ref="D132">AVERAGE(_xlfn._xlws.FILTER(C:C,B:B=B132))</f>
        <v>78.511627906976742</v>
      </c>
      <c r="E132" s="61" cm="1">
        <f t="array" ref="E132">_xlfn.STDEV.S(_xlfn._xlws.FILTER(C:C,B:B=B132))</f>
        <v>30.072430098825187</v>
      </c>
      <c r="F132" s="61">
        <f t="shared" si="7"/>
        <v>18.366767709326368</v>
      </c>
      <c r="G132" s="61">
        <f t="shared" si="8"/>
        <v>138.6564881046271</v>
      </c>
      <c r="H132" s="61">
        <f t="shared" si="6"/>
        <v>-0.38279673006626946</v>
      </c>
      <c r="I132" s="28" t="str">
        <f t="shared" si="9"/>
        <v>Normal</v>
      </c>
      <c r="J132" s="49">
        <f t="shared" si="10"/>
        <v>67</v>
      </c>
      <c r="K132" s="49" t="e">
        <f t="shared" si="11"/>
        <v>#N/A</v>
      </c>
    </row>
    <row r="133" spans="1:11">
      <c r="A133" s="74">
        <v>40549</v>
      </c>
      <c r="B133" s="75">
        <v>14</v>
      </c>
      <c r="C133" s="73">
        <v>70</v>
      </c>
      <c r="D133" s="72" cm="1">
        <f t="array" ref="D133">AVERAGE(_xlfn._xlws.FILTER(C:C,B:B=B133))</f>
        <v>74.418604651162795</v>
      </c>
      <c r="E133" s="61" cm="1">
        <f t="array" ref="E133">_xlfn.STDEV.S(_xlfn._xlws.FILTER(C:C,B:B=B133))</f>
        <v>30.30576918056515</v>
      </c>
      <c r="F133" s="61">
        <f t="shared" si="7"/>
        <v>13.807066290032495</v>
      </c>
      <c r="G133" s="61">
        <f t="shared" si="8"/>
        <v>135.03014301229308</v>
      </c>
      <c r="H133" s="61">
        <f t="shared" ref="H133:H196" si="12">(C133-D133)/E133</f>
        <v>-0.14580077558290158</v>
      </c>
      <c r="I133" s="28" t="str">
        <f t="shared" si="9"/>
        <v>Normal</v>
      </c>
      <c r="J133" s="49">
        <f t="shared" si="10"/>
        <v>70</v>
      </c>
      <c r="K133" s="49" t="e">
        <f t="shared" si="11"/>
        <v>#N/A</v>
      </c>
    </row>
    <row r="134" spans="1:11">
      <c r="A134" s="74">
        <v>40549</v>
      </c>
      <c r="B134" s="75">
        <v>15</v>
      </c>
      <c r="C134" s="73">
        <v>62</v>
      </c>
      <c r="D134" s="72" cm="1">
        <f t="array" ref="D134">AVERAGE(_xlfn._xlws.FILTER(C:C,B:B=B134))</f>
        <v>77.95348837209302</v>
      </c>
      <c r="E134" s="61" cm="1">
        <f t="array" ref="E134">_xlfn.STDEV.S(_xlfn._xlws.FILTER(C:C,B:B=B134))</f>
        <v>34.481156681772681</v>
      </c>
      <c r="F134" s="61">
        <f t="shared" ref="F134:F197" si="13">D134-(2*E134)</f>
        <v>8.9911750085476569</v>
      </c>
      <c r="G134" s="61">
        <f t="shared" ref="G134:G197" si="14">D134+(2*E134)</f>
        <v>146.91580173563838</v>
      </c>
      <c r="H134" s="61">
        <f t="shared" si="12"/>
        <v>-0.46267265681740605</v>
      </c>
      <c r="I134" s="28" t="str">
        <f t="shared" ref="I134:I197" si="15">IF(H134&gt;=2,"High Anomaly",IF(H134&lt;=-2,"Low Anomaly","Normal"))</f>
        <v>Normal</v>
      </c>
      <c r="J134" s="49">
        <f t="shared" ref="J134:J197" si="16">IF(I134="Normal",C134,NA())</f>
        <v>62</v>
      </c>
      <c r="K134" s="49" t="e">
        <f t="shared" ref="K134:K197" si="17">IF(I134&lt;&gt;"Normal",C134,NA())</f>
        <v>#N/A</v>
      </c>
    </row>
    <row r="135" spans="1:11">
      <c r="A135" s="74">
        <v>40549</v>
      </c>
      <c r="B135" s="75">
        <v>16</v>
      </c>
      <c r="C135" s="73">
        <v>86</v>
      </c>
      <c r="D135" s="72" cm="1">
        <f t="array" ref="D135">AVERAGE(_xlfn._xlws.FILTER(C:C,B:B=B135))</f>
        <v>89.272727272727266</v>
      </c>
      <c r="E135" s="61" cm="1">
        <f t="array" ref="E135">_xlfn.STDEV.S(_xlfn._xlws.FILTER(C:C,B:B=B135))</f>
        <v>25.461657115880758</v>
      </c>
      <c r="F135" s="61">
        <f t="shared" si="13"/>
        <v>38.34941304096575</v>
      </c>
      <c r="G135" s="61">
        <f t="shared" si="14"/>
        <v>140.19604150448879</v>
      </c>
      <c r="H135" s="61">
        <f t="shared" si="12"/>
        <v>-0.12853551745797506</v>
      </c>
      <c r="I135" s="28" t="str">
        <f t="shared" si="15"/>
        <v>Normal</v>
      </c>
      <c r="J135" s="49">
        <f t="shared" si="16"/>
        <v>86</v>
      </c>
      <c r="K135" s="49" t="e">
        <f t="shared" si="17"/>
        <v>#N/A</v>
      </c>
    </row>
    <row r="136" spans="1:11">
      <c r="A136" s="74">
        <v>40549</v>
      </c>
      <c r="B136" s="75">
        <v>17</v>
      </c>
      <c r="C136" s="73">
        <v>172</v>
      </c>
      <c r="D136" s="72" cm="1">
        <f t="array" ref="D136">AVERAGE(_xlfn._xlws.FILTER(C:C,B:B=B136))</f>
        <v>140.20454545454547</v>
      </c>
      <c r="E136" s="61" cm="1">
        <f t="array" ref="E136">_xlfn.STDEV.S(_xlfn._xlws.FILTER(C:C,B:B=B136))</f>
        <v>54.067391000084555</v>
      </c>
      <c r="F136" s="61">
        <f t="shared" si="13"/>
        <v>32.069763454376357</v>
      </c>
      <c r="G136" s="61">
        <f t="shared" si="14"/>
        <v>248.33932745471458</v>
      </c>
      <c r="H136" s="61">
        <f t="shared" si="12"/>
        <v>0.5880708123202173</v>
      </c>
      <c r="I136" s="28" t="str">
        <f t="shared" si="15"/>
        <v>Normal</v>
      </c>
      <c r="J136" s="49">
        <f t="shared" si="16"/>
        <v>172</v>
      </c>
      <c r="K136" s="49" t="e">
        <f t="shared" si="17"/>
        <v>#N/A</v>
      </c>
    </row>
    <row r="137" spans="1:11">
      <c r="A137" s="74">
        <v>40549</v>
      </c>
      <c r="B137" s="75">
        <v>18</v>
      </c>
      <c r="C137" s="73">
        <v>163</v>
      </c>
      <c r="D137" s="72" cm="1">
        <f t="array" ref="D137">AVERAGE(_xlfn._xlws.FILTER(C:C,B:B=B137))</f>
        <v>122.86046511627907</v>
      </c>
      <c r="E137" s="61" cm="1">
        <f t="array" ref="E137">_xlfn.STDEV.S(_xlfn._xlws.FILTER(C:C,B:B=B137))</f>
        <v>48.613432101949932</v>
      </c>
      <c r="F137" s="61">
        <f t="shared" si="13"/>
        <v>25.633600912379208</v>
      </c>
      <c r="G137" s="61">
        <f t="shared" si="14"/>
        <v>220.08732932017892</v>
      </c>
      <c r="H137" s="61">
        <f t="shared" si="12"/>
        <v>0.82568815136405249</v>
      </c>
      <c r="I137" s="28" t="str">
        <f t="shared" si="15"/>
        <v>Normal</v>
      </c>
      <c r="J137" s="49">
        <f t="shared" si="16"/>
        <v>163</v>
      </c>
      <c r="K137" s="49" t="e">
        <f t="shared" si="17"/>
        <v>#N/A</v>
      </c>
    </row>
    <row r="138" spans="1:11">
      <c r="A138" s="74">
        <v>40549</v>
      </c>
      <c r="B138" s="75">
        <v>19</v>
      </c>
      <c r="C138" s="73">
        <v>112</v>
      </c>
      <c r="D138" s="72" cm="1">
        <f t="array" ref="D138">AVERAGE(_xlfn._xlws.FILTER(C:C,B:B=B138))</f>
        <v>85.139534883720927</v>
      </c>
      <c r="E138" s="61" cm="1">
        <f t="array" ref="E138">_xlfn.STDEV.S(_xlfn._xlws.FILTER(C:C,B:B=B138))</f>
        <v>31.690904054294752</v>
      </c>
      <c r="F138" s="61">
        <f t="shared" si="13"/>
        <v>21.757726775131424</v>
      </c>
      <c r="G138" s="61">
        <f t="shared" si="14"/>
        <v>148.52134299231042</v>
      </c>
      <c r="H138" s="61">
        <f t="shared" si="12"/>
        <v>0.84757648662405205</v>
      </c>
      <c r="I138" s="28" t="str">
        <f t="shared" si="15"/>
        <v>Normal</v>
      </c>
      <c r="J138" s="49">
        <f t="shared" si="16"/>
        <v>112</v>
      </c>
      <c r="K138" s="49" t="e">
        <f t="shared" si="17"/>
        <v>#N/A</v>
      </c>
    </row>
    <row r="139" spans="1:11">
      <c r="A139" s="74">
        <v>40549</v>
      </c>
      <c r="B139" s="75">
        <v>20</v>
      </c>
      <c r="C139" s="73">
        <v>69</v>
      </c>
      <c r="D139" s="72" cm="1">
        <f t="array" ref="D139">AVERAGE(_xlfn._xlws.FILTER(C:C,B:B=B139))</f>
        <v>61.767441860465119</v>
      </c>
      <c r="E139" s="61" cm="1">
        <f t="array" ref="E139">_xlfn.STDEV.S(_xlfn._xlws.FILTER(C:C,B:B=B139))</f>
        <v>24.632380169685593</v>
      </c>
      <c r="F139" s="61">
        <f t="shared" si="13"/>
        <v>12.502681521093933</v>
      </c>
      <c r="G139" s="61">
        <f t="shared" si="14"/>
        <v>111.03220219983631</v>
      </c>
      <c r="H139" s="61">
        <f t="shared" si="12"/>
        <v>0.29361994617295634</v>
      </c>
      <c r="I139" s="28" t="str">
        <f t="shared" si="15"/>
        <v>Normal</v>
      </c>
      <c r="J139" s="49">
        <f t="shared" si="16"/>
        <v>69</v>
      </c>
      <c r="K139" s="49" t="e">
        <f t="shared" si="17"/>
        <v>#N/A</v>
      </c>
    </row>
    <row r="140" spans="1:11">
      <c r="A140" s="74">
        <v>40549</v>
      </c>
      <c r="B140" s="75">
        <v>21</v>
      </c>
      <c r="C140" s="73">
        <v>48</v>
      </c>
      <c r="D140" s="72" cm="1">
        <f t="array" ref="D140">AVERAGE(_xlfn._xlws.FILTER(C:C,B:B=B140))</f>
        <v>46.418604651162788</v>
      </c>
      <c r="E140" s="61" cm="1">
        <f t="array" ref="E140">_xlfn.STDEV.S(_xlfn._xlws.FILTER(C:C,B:B=B140))</f>
        <v>14.656759464719496</v>
      </c>
      <c r="F140" s="61">
        <f t="shared" si="13"/>
        <v>17.105085721723796</v>
      </c>
      <c r="G140" s="61">
        <f t="shared" si="14"/>
        <v>75.73212358060178</v>
      </c>
      <c r="H140" s="61">
        <f t="shared" si="12"/>
        <v>0.10789529245150078</v>
      </c>
      <c r="I140" s="28" t="str">
        <f t="shared" si="15"/>
        <v>Normal</v>
      </c>
      <c r="J140" s="49">
        <f t="shared" si="16"/>
        <v>48</v>
      </c>
      <c r="K140" s="49" t="e">
        <f t="shared" si="17"/>
        <v>#N/A</v>
      </c>
    </row>
    <row r="141" spans="1:11">
      <c r="A141" s="74">
        <v>40549</v>
      </c>
      <c r="B141" s="75">
        <v>22</v>
      </c>
      <c r="C141" s="73">
        <v>52</v>
      </c>
      <c r="D141" s="72" cm="1">
        <f t="array" ref="D141">AVERAGE(_xlfn._xlws.FILTER(C:C,B:B=B141))</f>
        <v>35.069767441860463</v>
      </c>
      <c r="E141" s="61" cm="1">
        <f t="array" ref="E141">_xlfn.STDEV.S(_xlfn._xlws.FILTER(C:C,B:B=B141))</f>
        <v>11.95506537162667</v>
      </c>
      <c r="F141" s="61">
        <f t="shared" si="13"/>
        <v>11.159636698607123</v>
      </c>
      <c r="G141" s="61">
        <f t="shared" si="14"/>
        <v>58.979898185113804</v>
      </c>
      <c r="H141" s="61">
        <f t="shared" si="12"/>
        <v>1.4161555819109601</v>
      </c>
      <c r="I141" s="28" t="str">
        <f t="shared" si="15"/>
        <v>Normal</v>
      </c>
      <c r="J141" s="49">
        <f t="shared" si="16"/>
        <v>52</v>
      </c>
      <c r="K141" s="49" t="e">
        <f t="shared" si="17"/>
        <v>#N/A</v>
      </c>
    </row>
    <row r="142" spans="1:11">
      <c r="A142" s="74">
        <v>40549</v>
      </c>
      <c r="B142" s="75">
        <v>23</v>
      </c>
      <c r="C142" s="73">
        <v>23</v>
      </c>
      <c r="D142" s="72" cm="1">
        <f t="array" ref="D142">AVERAGE(_xlfn._xlws.FILTER(C:C,B:B=B142))</f>
        <v>25.186046511627907</v>
      </c>
      <c r="E142" s="61" cm="1">
        <f t="array" ref="E142">_xlfn.STDEV.S(_xlfn._xlws.FILTER(C:C,B:B=B142))</f>
        <v>11.751911321656188</v>
      </c>
      <c r="F142" s="61">
        <f t="shared" si="13"/>
        <v>1.6822238683155319</v>
      </c>
      <c r="G142" s="61">
        <f t="shared" si="14"/>
        <v>48.689869154940283</v>
      </c>
      <c r="H142" s="61">
        <f t="shared" si="12"/>
        <v>-0.18601625316892106</v>
      </c>
      <c r="I142" s="28" t="str">
        <f t="shared" si="15"/>
        <v>Normal</v>
      </c>
      <c r="J142" s="49">
        <f t="shared" si="16"/>
        <v>23</v>
      </c>
      <c r="K142" s="49" t="e">
        <f t="shared" si="17"/>
        <v>#N/A</v>
      </c>
    </row>
    <row r="143" spans="1:11">
      <c r="A143" s="74">
        <v>40550</v>
      </c>
      <c r="B143" s="75">
        <v>0</v>
      </c>
      <c r="C143" s="73">
        <v>17</v>
      </c>
      <c r="D143" s="72" cm="1">
        <f t="array" ref="D143">AVERAGE(_xlfn._xlws.FILTER(C:C,B:B=B143))</f>
        <v>16.348837209302324</v>
      </c>
      <c r="E143" s="61" cm="1">
        <f t="array" ref="E143">_xlfn.STDEV.S(_xlfn._xlws.FILTER(C:C,B:B=B143))</f>
        <v>10.44232167427621</v>
      </c>
      <c r="F143" s="61">
        <f t="shared" si="13"/>
        <v>-4.535806139250095</v>
      </c>
      <c r="G143" s="61">
        <f t="shared" si="14"/>
        <v>37.233480557854747</v>
      </c>
      <c r="H143" s="61">
        <f t="shared" si="12"/>
        <v>6.2358047473461853E-2</v>
      </c>
      <c r="I143" s="28" t="str">
        <f t="shared" si="15"/>
        <v>Normal</v>
      </c>
      <c r="J143" s="49">
        <f t="shared" si="16"/>
        <v>17</v>
      </c>
      <c r="K143" s="49" t="e">
        <f t="shared" si="17"/>
        <v>#N/A</v>
      </c>
    </row>
    <row r="144" spans="1:11">
      <c r="A144" s="74">
        <v>40550</v>
      </c>
      <c r="B144" s="75">
        <v>1</v>
      </c>
      <c r="C144" s="73">
        <v>7</v>
      </c>
      <c r="D144" s="72" cm="1">
        <f t="array" ref="D144">AVERAGE(_xlfn._xlws.FILTER(C:C,B:B=B144))</f>
        <v>10.697674418604651</v>
      </c>
      <c r="E144" s="61" cm="1">
        <f t="array" ref="E144">_xlfn.STDEV.S(_xlfn._xlws.FILTER(C:C,B:B=B144))</f>
        <v>10.060613641515801</v>
      </c>
      <c r="F144" s="61">
        <f t="shared" si="13"/>
        <v>-9.4235528644269504</v>
      </c>
      <c r="G144" s="61">
        <f t="shared" si="14"/>
        <v>30.81890170163625</v>
      </c>
      <c r="H144" s="61">
        <f t="shared" si="12"/>
        <v>-0.36753965020045576</v>
      </c>
      <c r="I144" s="28" t="str">
        <f t="shared" si="15"/>
        <v>Normal</v>
      </c>
      <c r="J144" s="49">
        <f t="shared" si="16"/>
        <v>7</v>
      </c>
      <c r="K144" s="49" t="e">
        <f t="shared" si="17"/>
        <v>#N/A</v>
      </c>
    </row>
    <row r="145" spans="1:11">
      <c r="A145" s="74">
        <v>40550</v>
      </c>
      <c r="B145" s="75">
        <v>2</v>
      </c>
      <c r="C145" s="73">
        <v>1</v>
      </c>
      <c r="D145" s="72" cm="1">
        <f t="array" ref="D145">AVERAGE(_xlfn._xlws.FILTER(C:C,B:B=B145))</f>
        <v>7.1707317073170733</v>
      </c>
      <c r="E145" s="61" cm="1">
        <f t="array" ref="E145">_xlfn.STDEV.S(_xlfn._xlws.FILTER(C:C,B:B=B145))</f>
        <v>7.3685223723090854</v>
      </c>
      <c r="F145" s="61">
        <f t="shared" si="13"/>
        <v>-7.5663130373010974</v>
      </c>
      <c r="G145" s="61">
        <f t="shared" si="14"/>
        <v>21.907776451935245</v>
      </c>
      <c r="H145" s="61">
        <f t="shared" si="12"/>
        <v>-0.83744493068334691</v>
      </c>
      <c r="I145" s="28" t="str">
        <f t="shared" si="15"/>
        <v>Normal</v>
      </c>
      <c r="J145" s="49">
        <f t="shared" si="16"/>
        <v>1</v>
      </c>
      <c r="K145" s="49" t="e">
        <f t="shared" si="17"/>
        <v>#N/A</v>
      </c>
    </row>
    <row r="146" spans="1:11">
      <c r="A146" s="74">
        <v>40550</v>
      </c>
      <c r="B146" s="75">
        <v>4</v>
      </c>
      <c r="C146" s="73">
        <v>1</v>
      </c>
      <c r="D146" s="72" cm="1">
        <f t="array" ref="D146">AVERAGE(_xlfn._xlws.FILTER(C:C,B:B=B146))</f>
        <v>2.15625</v>
      </c>
      <c r="E146" s="61" cm="1">
        <f t="array" ref="E146">_xlfn.STDEV.S(_xlfn._xlws.FILTER(C:C,B:B=B146))</f>
        <v>1.5263148747143209</v>
      </c>
      <c r="F146" s="61">
        <f t="shared" si="13"/>
        <v>-0.89637974942864185</v>
      </c>
      <c r="G146" s="61">
        <f t="shared" si="14"/>
        <v>5.2088797494286414</v>
      </c>
      <c r="H146" s="61">
        <f t="shared" si="12"/>
        <v>-0.75754355746314428</v>
      </c>
      <c r="I146" s="28" t="str">
        <f t="shared" si="15"/>
        <v>Normal</v>
      </c>
      <c r="J146" s="49">
        <f t="shared" si="16"/>
        <v>1</v>
      </c>
      <c r="K146" s="49" t="e">
        <f t="shared" si="17"/>
        <v>#N/A</v>
      </c>
    </row>
    <row r="147" spans="1:11">
      <c r="A147" s="74">
        <v>40550</v>
      </c>
      <c r="B147" s="75">
        <v>5</v>
      </c>
      <c r="C147" s="73">
        <v>5</v>
      </c>
      <c r="D147" s="72" cm="1">
        <f t="array" ref="D147">AVERAGE(_xlfn._xlws.FILTER(C:C,B:B=B147))</f>
        <v>4.2051282051282053</v>
      </c>
      <c r="E147" s="61" cm="1">
        <f t="array" ref="E147">_xlfn.STDEV.S(_xlfn._xlws.FILTER(C:C,B:B=B147))</f>
        <v>2.5358429220352288</v>
      </c>
      <c r="F147" s="61">
        <f t="shared" si="13"/>
        <v>-0.86655763894225224</v>
      </c>
      <c r="G147" s="61">
        <f t="shared" si="14"/>
        <v>9.2768140491986628</v>
      </c>
      <c r="H147" s="61">
        <f t="shared" si="12"/>
        <v>0.31345466549396633</v>
      </c>
      <c r="I147" s="28" t="str">
        <f t="shared" si="15"/>
        <v>Normal</v>
      </c>
      <c r="J147" s="49">
        <f t="shared" si="16"/>
        <v>5</v>
      </c>
      <c r="K147" s="49" t="e">
        <f t="shared" si="17"/>
        <v>#N/A</v>
      </c>
    </row>
    <row r="148" spans="1:11">
      <c r="A148" s="74">
        <v>40550</v>
      </c>
      <c r="B148" s="75">
        <v>6</v>
      </c>
      <c r="C148" s="73">
        <v>34</v>
      </c>
      <c r="D148" s="72" cm="1">
        <f t="array" ref="D148">AVERAGE(_xlfn._xlws.FILTER(C:C,B:B=B148))</f>
        <v>19.571428571428573</v>
      </c>
      <c r="E148" s="61" cm="1">
        <f t="array" ref="E148">_xlfn.STDEV.S(_xlfn._xlws.FILTER(C:C,B:B=B148))</f>
        <v>14.202615453298934</v>
      </c>
      <c r="F148" s="61">
        <f t="shared" si="13"/>
        <v>-8.8338023351692954</v>
      </c>
      <c r="G148" s="61">
        <f t="shared" si="14"/>
        <v>47.976659478026441</v>
      </c>
      <c r="H148" s="61">
        <f t="shared" si="12"/>
        <v>1.0159094623110427</v>
      </c>
      <c r="I148" s="28" t="str">
        <f t="shared" si="15"/>
        <v>Normal</v>
      </c>
      <c r="J148" s="49">
        <f t="shared" si="16"/>
        <v>34</v>
      </c>
      <c r="K148" s="49" t="e">
        <f t="shared" si="17"/>
        <v>#N/A</v>
      </c>
    </row>
    <row r="149" spans="1:11">
      <c r="A149" s="74">
        <v>40550</v>
      </c>
      <c r="B149" s="75">
        <v>7</v>
      </c>
      <c r="C149" s="73">
        <v>84</v>
      </c>
      <c r="D149" s="72" cm="1">
        <f t="array" ref="D149">AVERAGE(_xlfn._xlws.FILTER(C:C,B:B=B149))</f>
        <v>54.395348837209305</v>
      </c>
      <c r="E149" s="61" cm="1">
        <f t="array" ref="E149">_xlfn.STDEV.S(_xlfn._xlws.FILTER(C:C,B:B=B149))</f>
        <v>39.112864486352777</v>
      </c>
      <c r="F149" s="61">
        <f t="shared" si="13"/>
        <v>-23.830380135496249</v>
      </c>
      <c r="G149" s="61">
        <f t="shared" si="14"/>
        <v>132.62107780991485</v>
      </c>
      <c r="H149" s="61">
        <f t="shared" si="12"/>
        <v>0.75690317115792738</v>
      </c>
      <c r="I149" s="28" t="str">
        <f t="shared" si="15"/>
        <v>Normal</v>
      </c>
      <c r="J149" s="49">
        <f t="shared" si="16"/>
        <v>84</v>
      </c>
      <c r="K149" s="49" t="e">
        <f t="shared" si="17"/>
        <v>#N/A</v>
      </c>
    </row>
    <row r="150" spans="1:11">
      <c r="A150" s="74">
        <v>40550</v>
      </c>
      <c r="B150" s="75">
        <v>8</v>
      </c>
      <c r="C150" s="73">
        <v>210</v>
      </c>
      <c r="D150" s="72" cm="1">
        <f t="array" ref="D150">AVERAGE(_xlfn._xlws.FILTER(C:C,B:B=B150))</f>
        <v>128.28571428571428</v>
      </c>
      <c r="E150" s="61" cm="1">
        <f t="array" ref="E150">_xlfn.STDEV.S(_xlfn._xlws.FILTER(C:C,B:B=B150))</f>
        <v>88.551565717048547</v>
      </c>
      <c r="F150" s="61">
        <f t="shared" si="13"/>
        <v>-48.817417148382816</v>
      </c>
      <c r="G150" s="61">
        <f t="shared" si="14"/>
        <v>305.38884571981134</v>
      </c>
      <c r="H150" s="61">
        <f t="shared" si="12"/>
        <v>0.92278758769088076</v>
      </c>
      <c r="I150" s="28" t="str">
        <f t="shared" si="15"/>
        <v>Normal</v>
      </c>
      <c r="J150" s="49">
        <f t="shared" si="16"/>
        <v>210</v>
      </c>
      <c r="K150" s="49" t="e">
        <f t="shared" si="17"/>
        <v>#N/A</v>
      </c>
    </row>
    <row r="151" spans="1:11">
      <c r="A151" s="74">
        <v>40550</v>
      </c>
      <c r="B151" s="75">
        <v>9</v>
      </c>
      <c r="C151" s="73">
        <v>134</v>
      </c>
      <c r="D151" s="72" cm="1">
        <f t="array" ref="D151">AVERAGE(_xlfn._xlws.FILTER(C:C,B:B=B151))</f>
        <v>87.428571428571431</v>
      </c>
      <c r="E151" s="61" cm="1">
        <f t="array" ref="E151">_xlfn.STDEV.S(_xlfn._xlws.FILTER(C:C,B:B=B151))</f>
        <v>45.93852884078624</v>
      </c>
      <c r="F151" s="61">
        <f t="shared" si="13"/>
        <v>-4.4484862530010503</v>
      </c>
      <c r="G151" s="61">
        <f t="shared" si="14"/>
        <v>179.30562911014391</v>
      </c>
      <c r="H151" s="61">
        <f t="shared" si="12"/>
        <v>1.0137771005431155</v>
      </c>
      <c r="I151" s="28" t="str">
        <f t="shared" si="15"/>
        <v>Normal</v>
      </c>
      <c r="J151" s="49">
        <f t="shared" si="16"/>
        <v>134</v>
      </c>
      <c r="K151" s="49" t="e">
        <f t="shared" si="17"/>
        <v>#N/A</v>
      </c>
    </row>
    <row r="152" spans="1:11">
      <c r="A152" s="74">
        <v>40550</v>
      </c>
      <c r="B152" s="75">
        <v>10</v>
      </c>
      <c r="C152" s="73">
        <v>63</v>
      </c>
      <c r="D152" s="72" cm="1">
        <f t="array" ref="D152">AVERAGE(_xlfn._xlws.FILTER(C:C,B:B=B152))</f>
        <v>53.642857142857146</v>
      </c>
      <c r="E152" s="61" cm="1">
        <f t="array" ref="E152">_xlfn.STDEV.S(_xlfn._xlws.FILTER(C:C,B:B=B152))</f>
        <v>15.395313554536934</v>
      </c>
      <c r="F152" s="61">
        <f t="shared" si="13"/>
        <v>22.852230033783279</v>
      </c>
      <c r="G152" s="61">
        <f t="shared" si="14"/>
        <v>84.43348425193102</v>
      </c>
      <c r="H152" s="61">
        <f t="shared" si="12"/>
        <v>0.60779163892932497</v>
      </c>
      <c r="I152" s="28" t="str">
        <f t="shared" si="15"/>
        <v>Normal</v>
      </c>
      <c r="J152" s="49">
        <f t="shared" si="16"/>
        <v>63</v>
      </c>
      <c r="K152" s="49" t="e">
        <f t="shared" si="17"/>
        <v>#N/A</v>
      </c>
    </row>
    <row r="153" spans="1:11">
      <c r="A153" s="74">
        <v>40550</v>
      </c>
      <c r="B153" s="75">
        <v>11</v>
      </c>
      <c r="C153" s="73">
        <v>67</v>
      </c>
      <c r="D153" s="72" cm="1">
        <f t="array" ref="D153">AVERAGE(_xlfn._xlws.FILTER(C:C,B:B=B153))</f>
        <v>59.38095238095238</v>
      </c>
      <c r="E153" s="61" cm="1">
        <f t="array" ref="E153">_xlfn.STDEV.S(_xlfn._xlws.FILTER(C:C,B:B=B153))</f>
        <v>20.89573696860419</v>
      </c>
      <c r="F153" s="61">
        <f t="shared" si="13"/>
        <v>17.589478443743999</v>
      </c>
      <c r="G153" s="61">
        <f t="shared" si="14"/>
        <v>101.17242631816076</v>
      </c>
      <c r="H153" s="61">
        <f t="shared" si="12"/>
        <v>0.3646221059585133</v>
      </c>
      <c r="I153" s="28" t="str">
        <f t="shared" si="15"/>
        <v>Normal</v>
      </c>
      <c r="J153" s="49">
        <f t="shared" si="16"/>
        <v>67</v>
      </c>
      <c r="K153" s="49" t="e">
        <f t="shared" si="17"/>
        <v>#N/A</v>
      </c>
    </row>
    <row r="154" spans="1:11">
      <c r="A154" s="74">
        <v>40550</v>
      </c>
      <c r="B154" s="75">
        <v>12</v>
      </c>
      <c r="C154" s="73">
        <v>59</v>
      </c>
      <c r="D154" s="72" cm="1">
        <f t="array" ref="D154">AVERAGE(_xlfn._xlws.FILTER(C:C,B:B=B154))</f>
        <v>76.348837209302332</v>
      </c>
      <c r="E154" s="61" cm="1">
        <f t="array" ref="E154">_xlfn.STDEV.S(_xlfn._xlws.FILTER(C:C,B:B=B154))</f>
        <v>29.034366927857054</v>
      </c>
      <c r="F154" s="61">
        <f t="shared" si="13"/>
        <v>18.280103353588224</v>
      </c>
      <c r="G154" s="61">
        <f t="shared" si="14"/>
        <v>134.41757106501643</v>
      </c>
      <c r="H154" s="61">
        <f t="shared" si="12"/>
        <v>-0.59752765584349532</v>
      </c>
      <c r="I154" s="28" t="str">
        <f t="shared" si="15"/>
        <v>Normal</v>
      </c>
      <c r="J154" s="49">
        <f t="shared" si="16"/>
        <v>59</v>
      </c>
      <c r="K154" s="49" t="e">
        <f t="shared" si="17"/>
        <v>#N/A</v>
      </c>
    </row>
    <row r="155" spans="1:11">
      <c r="A155" s="74">
        <v>40550</v>
      </c>
      <c r="B155" s="75">
        <v>13</v>
      </c>
      <c r="C155" s="73">
        <v>73</v>
      </c>
      <c r="D155" s="72" cm="1">
        <f t="array" ref="D155">AVERAGE(_xlfn._xlws.FILTER(C:C,B:B=B155))</f>
        <v>78.511627906976742</v>
      </c>
      <c r="E155" s="61" cm="1">
        <f t="array" ref="E155">_xlfn.STDEV.S(_xlfn._xlws.FILTER(C:C,B:B=B155))</f>
        <v>30.072430098825187</v>
      </c>
      <c r="F155" s="61">
        <f t="shared" si="13"/>
        <v>18.366767709326368</v>
      </c>
      <c r="G155" s="61">
        <f t="shared" si="14"/>
        <v>138.6564881046271</v>
      </c>
      <c r="H155" s="61">
        <f t="shared" si="12"/>
        <v>-0.18327843439536531</v>
      </c>
      <c r="I155" s="28" t="str">
        <f t="shared" si="15"/>
        <v>Normal</v>
      </c>
      <c r="J155" s="49">
        <f t="shared" si="16"/>
        <v>73</v>
      </c>
      <c r="K155" s="49" t="e">
        <f t="shared" si="17"/>
        <v>#N/A</v>
      </c>
    </row>
    <row r="156" spans="1:11">
      <c r="A156" s="74">
        <v>40550</v>
      </c>
      <c r="B156" s="75">
        <v>14</v>
      </c>
      <c r="C156" s="73">
        <v>50</v>
      </c>
      <c r="D156" s="72" cm="1">
        <f t="array" ref="D156">AVERAGE(_xlfn._xlws.FILTER(C:C,B:B=B156))</f>
        <v>74.418604651162795</v>
      </c>
      <c r="E156" s="61" cm="1">
        <f t="array" ref="E156">_xlfn.STDEV.S(_xlfn._xlws.FILTER(C:C,B:B=B156))</f>
        <v>30.30576918056515</v>
      </c>
      <c r="F156" s="61">
        <f t="shared" si="13"/>
        <v>13.807066290032495</v>
      </c>
      <c r="G156" s="61">
        <f t="shared" si="14"/>
        <v>135.03014301229308</v>
      </c>
      <c r="H156" s="61">
        <f t="shared" si="12"/>
        <v>-0.80574112822129762</v>
      </c>
      <c r="I156" s="28" t="str">
        <f t="shared" si="15"/>
        <v>Normal</v>
      </c>
      <c r="J156" s="49">
        <f t="shared" si="16"/>
        <v>50</v>
      </c>
      <c r="K156" s="49" t="e">
        <f t="shared" si="17"/>
        <v>#N/A</v>
      </c>
    </row>
    <row r="157" spans="1:11">
      <c r="A157" s="74">
        <v>40550</v>
      </c>
      <c r="B157" s="75">
        <v>15</v>
      </c>
      <c r="C157" s="73">
        <v>72</v>
      </c>
      <c r="D157" s="72" cm="1">
        <f t="array" ref="D157">AVERAGE(_xlfn._xlws.FILTER(C:C,B:B=B157))</f>
        <v>77.95348837209302</v>
      </c>
      <c r="E157" s="61" cm="1">
        <f t="array" ref="E157">_xlfn.STDEV.S(_xlfn._xlws.FILTER(C:C,B:B=B157))</f>
        <v>34.481156681772681</v>
      </c>
      <c r="F157" s="61">
        <f t="shared" si="13"/>
        <v>8.9911750085476569</v>
      </c>
      <c r="G157" s="61">
        <f t="shared" si="14"/>
        <v>146.91580173563838</v>
      </c>
      <c r="H157" s="61">
        <f t="shared" si="12"/>
        <v>-0.1726591838852127</v>
      </c>
      <c r="I157" s="28" t="str">
        <f t="shared" si="15"/>
        <v>Normal</v>
      </c>
      <c r="J157" s="49">
        <f t="shared" si="16"/>
        <v>72</v>
      </c>
      <c r="K157" s="49" t="e">
        <f t="shared" si="17"/>
        <v>#N/A</v>
      </c>
    </row>
    <row r="158" spans="1:11">
      <c r="A158" s="74">
        <v>40550</v>
      </c>
      <c r="B158" s="75">
        <v>16</v>
      </c>
      <c r="C158" s="73">
        <v>87</v>
      </c>
      <c r="D158" s="72" cm="1">
        <f t="array" ref="D158">AVERAGE(_xlfn._xlws.FILTER(C:C,B:B=B158))</f>
        <v>89.272727272727266</v>
      </c>
      <c r="E158" s="61" cm="1">
        <f t="array" ref="E158">_xlfn.STDEV.S(_xlfn._xlws.FILTER(C:C,B:B=B158))</f>
        <v>25.461657115880758</v>
      </c>
      <c r="F158" s="61">
        <f t="shared" si="13"/>
        <v>38.34941304096575</v>
      </c>
      <c r="G158" s="61">
        <f t="shared" si="14"/>
        <v>140.19604150448879</v>
      </c>
      <c r="H158" s="61">
        <f t="shared" si="12"/>
        <v>-8.9260776012482612E-2</v>
      </c>
      <c r="I158" s="28" t="str">
        <f t="shared" si="15"/>
        <v>Normal</v>
      </c>
      <c r="J158" s="49">
        <f t="shared" si="16"/>
        <v>87</v>
      </c>
      <c r="K158" s="49" t="e">
        <f t="shared" si="17"/>
        <v>#N/A</v>
      </c>
    </row>
    <row r="159" spans="1:11">
      <c r="A159" s="74">
        <v>40550</v>
      </c>
      <c r="B159" s="75">
        <v>17</v>
      </c>
      <c r="C159" s="73">
        <v>187</v>
      </c>
      <c r="D159" s="72" cm="1">
        <f t="array" ref="D159">AVERAGE(_xlfn._xlws.FILTER(C:C,B:B=B159))</f>
        <v>140.20454545454547</v>
      </c>
      <c r="E159" s="61" cm="1">
        <f t="array" ref="E159">_xlfn.STDEV.S(_xlfn._xlws.FILTER(C:C,B:B=B159))</f>
        <v>54.067391000084555</v>
      </c>
      <c r="F159" s="61">
        <f t="shared" si="13"/>
        <v>32.069763454376357</v>
      </c>
      <c r="G159" s="61">
        <f t="shared" si="14"/>
        <v>248.33932745471458</v>
      </c>
      <c r="H159" s="61">
        <f t="shared" si="12"/>
        <v>0.86550236066285036</v>
      </c>
      <c r="I159" s="28" t="str">
        <f t="shared" si="15"/>
        <v>Normal</v>
      </c>
      <c r="J159" s="49">
        <f t="shared" si="16"/>
        <v>187</v>
      </c>
      <c r="K159" s="49" t="e">
        <f t="shared" si="17"/>
        <v>#N/A</v>
      </c>
    </row>
    <row r="160" spans="1:11">
      <c r="A160" s="74">
        <v>40550</v>
      </c>
      <c r="B160" s="75">
        <v>18</v>
      </c>
      <c r="C160" s="73">
        <v>123</v>
      </c>
      <c r="D160" s="72" cm="1">
        <f t="array" ref="D160">AVERAGE(_xlfn._xlws.FILTER(C:C,B:B=B160))</f>
        <v>122.86046511627907</v>
      </c>
      <c r="E160" s="61" cm="1">
        <f t="array" ref="E160">_xlfn.STDEV.S(_xlfn._xlws.FILTER(C:C,B:B=B160))</f>
        <v>48.613432101949932</v>
      </c>
      <c r="F160" s="61">
        <f t="shared" si="13"/>
        <v>25.633600912379208</v>
      </c>
      <c r="G160" s="61">
        <f t="shared" si="14"/>
        <v>220.08732932017892</v>
      </c>
      <c r="H160" s="61">
        <f t="shared" si="12"/>
        <v>2.8702948483106594E-3</v>
      </c>
      <c r="I160" s="28" t="str">
        <f t="shared" si="15"/>
        <v>Normal</v>
      </c>
      <c r="J160" s="49">
        <f t="shared" si="16"/>
        <v>123</v>
      </c>
      <c r="K160" s="49" t="e">
        <f t="shared" si="17"/>
        <v>#N/A</v>
      </c>
    </row>
    <row r="161" spans="1:11">
      <c r="A161" s="74">
        <v>40550</v>
      </c>
      <c r="B161" s="75">
        <v>19</v>
      </c>
      <c r="C161" s="73">
        <v>95</v>
      </c>
      <c r="D161" s="72" cm="1">
        <f t="array" ref="D161">AVERAGE(_xlfn._xlws.FILTER(C:C,B:B=B161))</f>
        <v>85.139534883720927</v>
      </c>
      <c r="E161" s="61" cm="1">
        <f t="array" ref="E161">_xlfn.STDEV.S(_xlfn._xlws.FILTER(C:C,B:B=B161))</f>
        <v>31.690904054294752</v>
      </c>
      <c r="F161" s="61">
        <f t="shared" si="13"/>
        <v>21.757726775131424</v>
      </c>
      <c r="G161" s="61">
        <f t="shared" si="14"/>
        <v>148.52134299231042</v>
      </c>
      <c r="H161" s="61">
        <f t="shared" si="12"/>
        <v>0.31114496132346159</v>
      </c>
      <c r="I161" s="28" t="str">
        <f t="shared" si="15"/>
        <v>Normal</v>
      </c>
      <c r="J161" s="49">
        <f t="shared" si="16"/>
        <v>95</v>
      </c>
      <c r="K161" s="49" t="e">
        <f t="shared" si="17"/>
        <v>#N/A</v>
      </c>
    </row>
    <row r="162" spans="1:11">
      <c r="A162" s="74">
        <v>40550</v>
      </c>
      <c r="B162" s="75">
        <v>20</v>
      </c>
      <c r="C162" s="73">
        <v>51</v>
      </c>
      <c r="D162" s="72" cm="1">
        <f t="array" ref="D162">AVERAGE(_xlfn._xlws.FILTER(C:C,B:B=B162))</f>
        <v>61.767441860465119</v>
      </c>
      <c r="E162" s="61" cm="1">
        <f t="array" ref="E162">_xlfn.STDEV.S(_xlfn._xlws.FILTER(C:C,B:B=B162))</f>
        <v>24.632380169685593</v>
      </c>
      <c r="F162" s="61">
        <f t="shared" si="13"/>
        <v>12.502681521093933</v>
      </c>
      <c r="G162" s="61">
        <f t="shared" si="14"/>
        <v>111.03220219983631</v>
      </c>
      <c r="H162" s="61">
        <f t="shared" si="12"/>
        <v>-0.43712551472051087</v>
      </c>
      <c r="I162" s="28" t="str">
        <f t="shared" si="15"/>
        <v>Normal</v>
      </c>
      <c r="J162" s="49">
        <f t="shared" si="16"/>
        <v>51</v>
      </c>
      <c r="K162" s="49" t="e">
        <f t="shared" si="17"/>
        <v>#N/A</v>
      </c>
    </row>
    <row r="163" spans="1:11">
      <c r="A163" s="74">
        <v>40550</v>
      </c>
      <c r="B163" s="75">
        <v>21</v>
      </c>
      <c r="C163" s="73">
        <v>39</v>
      </c>
      <c r="D163" s="72" cm="1">
        <f t="array" ref="D163">AVERAGE(_xlfn._xlws.FILTER(C:C,B:B=B163))</f>
        <v>46.418604651162788</v>
      </c>
      <c r="E163" s="61" cm="1">
        <f t="array" ref="E163">_xlfn.STDEV.S(_xlfn._xlws.FILTER(C:C,B:B=B163))</f>
        <v>14.656759464719496</v>
      </c>
      <c r="F163" s="61">
        <f t="shared" si="13"/>
        <v>17.105085721723796</v>
      </c>
      <c r="G163" s="61">
        <f t="shared" si="14"/>
        <v>75.73212358060178</v>
      </c>
      <c r="H163" s="61">
        <f t="shared" si="12"/>
        <v>-0.50615585723571588</v>
      </c>
      <c r="I163" s="28" t="str">
        <f t="shared" si="15"/>
        <v>Normal</v>
      </c>
      <c r="J163" s="49">
        <f t="shared" si="16"/>
        <v>39</v>
      </c>
      <c r="K163" s="49" t="e">
        <f t="shared" si="17"/>
        <v>#N/A</v>
      </c>
    </row>
    <row r="164" spans="1:11">
      <c r="A164" s="74">
        <v>40550</v>
      </c>
      <c r="B164" s="75">
        <v>22</v>
      </c>
      <c r="C164" s="73">
        <v>36</v>
      </c>
      <c r="D164" s="72" cm="1">
        <f t="array" ref="D164">AVERAGE(_xlfn._xlws.FILTER(C:C,B:B=B164))</f>
        <v>35.069767441860463</v>
      </c>
      <c r="E164" s="61" cm="1">
        <f t="array" ref="E164">_xlfn.STDEV.S(_xlfn._xlws.FILTER(C:C,B:B=B164))</f>
        <v>11.95506537162667</v>
      </c>
      <c r="F164" s="61">
        <f t="shared" si="13"/>
        <v>11.159636698607123</v>
      </c>
      <c r="G164" s="61">
        <f t="shared" si="14"/>
        <v>58.979898185113804</v>
      </c>
      <c r="H164" s="61">
        <f t="shared" si="12"/>
        <v>7.7810746258844099E-2</v>
      </c>
      <c r="I164" s="28" t="str">
        <f t="shared" si="15"/>
        <v>Normal</v>
      </c>
      <c r="J164" s="49">
        <f t="shared" si="16"/>
        <v>36</v>
      </c>
      <c r="K164" s="49" t="e">
        <f t="shared" si="17"/>
        <v>#N/A</v>
      </c>
    </row>
    <row r="165" spans="1:11">
      <c r="A165" s="74">
        <v>40550</v>
      </c>
      <c r="B165" s="75">
        <v>23</v>
      </c>
      <c r="C165" s="73">
        <v>15</v>
      </c>
      <c r="D165" s="72" cm="1">
        <f t="array" ref="D165">AVERAGE(_xlfn._xlws.FILTER(C:C,B:B=B165))</f>
        <v>25.186046511627907</v>
      </c>
      <c r="E165" s="61" cm="1">
        <f t="array" ref="E165">_xlfn.STDEV.S(_xlfn._xlws.FILTER(C:C,B:B=B165))</f>
        <v>11.751911321656188</v>
      </c>
      <c r="F165" s="61">
        <f t="shared" si="13"/>
        <v>1.6822238683155319</v>
      </c>
      <c r="G165" s="61">
        <f t="shared" si="14"/>
        <v>48.689869154940283</v>
      </c>
      <c r="H165" s="61">
        <f t="shared" si="12"/>
        <v>-0.86675658391475985</v>
      </c>
      <c r="I165" s="28" t="str">
        <f t="shared" si="15"/>
        <v>Normal</v>
      </c>
      <c r="J165" s="49">
        <f t="shared" si="16"/>
        <v>15</v>
      </c>
      <c r="K165" s="49" t="e">
        <f t="shared" si="17"/>
        <v>#N/A</v>
      </c>
    </row>
    <row r="166" spans="1:11">
      <c r="A166" s="74">
        <v>40551</v>
      </c>
      <c r="B166" s="75">
        <v>0</v>
      </c>
      <c r="C166" s="73">
        <v>25</v>
      </c>
      <c r="D166" s="72" cm="1">
        <f t="array" ref="D166">AVERAGE(_xlfn._xlws.FILTER(C:C,B:B=B166))</f>
        <v>16.348837209302324</v>
      </c>
      <c r="E166" s="61" cm="1">
        <f t="array" ref="E166">_xlfn.STDEV.S(_xlfn._xlws.FILTER(C:C,B:B=B166))</f>
        <v>10.44232167427621</v>
      </c>
      <c r="F166" s="61">
        <f t="shared" si="13"/>
        <v>-4.535806139250095</v>
      </c>
      <c r="G166" s="61">
        <f t="shared" si="14"/>
        <v>37.233480557854747</v>
      </c>
      <c r="H166" s="61">
        <f t="shared" si="12"/>
        <v>0.82847120214742043</v>
      </c>
      <c r="I166" s="28" t="str">
        <f t="shared" si="15"/>
        <v>Normal</v>
      </c>
      <c r="J166" s="49">
        <f t="shared" si="16"/>
        <v>25</v>
      </c>
      <c r="K166" s="49" t="e">
        <f t="shared" si="17"/>
        <v>#N/A</v>
      </c>
    </row>
    <row r="167" spans="1:11">
      <c r="A167" s="74">
        <v>40551</v>
      </c>
      <c r="B167" s="75">
        <v>1</v>
      </c>
      <c r="C167" s="73">
        <v>16</v>
      </c>
      <c r="D167" s="72" cm="1">
        <f t="array" ref="D167">AVERAGE(_xlfn._xlws.FILTER(C:C,B:B=B167))</f>
        <v>10.697674418604651</v>
      </c>
      <c r="E167" s="61" cm="1">
        <f t="array" ref="E167">_xlfn.STDEV.S(_xlfn._xlws.FILTER(C:C,B:B=B167))</f>
        <v>10.060613641515801</v>
      </c>
      <c r="F167" s="61">
        <f t="shared" si="13"/>
        <v>-9.4235528644269504</v>
      </c>
      <c r="G167" s="61">
        <f t="shared" si="14"/>
        <v>30.81890170163625</v>
      </c>
      <c r="H167" s="61">
        <f t="shared" si="12"/>
        <v>0.52703798896669141</v>
      </c>
      <c r="I167" s="28" t="str">
        <f t="shared" si="15"/>
        <v>Normal</v>
      </c>
      <c r="J167" s="49">
        <f t="shared" si="16"/>
        <v>16</v>
      </c>
      <c r="K167" s="49" t="e">
        <f t="shared" si="17"/>
        <v>#N/A</v>
      </c>
    </row>
    <row r="168" spans="1:11">
      <c r="A168" s="74">
        <v>40551</v>
      </c>
      <c r="B168" s="75">
        <v>2</v>
      </c>
      <c r="C168" s="73">
        <v>16</v>
      </c>
      <c r="D168" s="72" cm="1">
        <f t="array" ref="D168">AVERAGE(_xlfn._xlws.FILTER(C:C,B:B=B168))</f>
        <v>7.1707317073170733</v>
      </c>
      <c r="E168" s="61" cm="1">
        <f t="array" ref="E168">_xlfn.STDEV.S(_xlfn._xlws.FILTER(C:C,B:B=B168))</f>
        <v>7.3685223723090854</v>
      </c>
      <c r="F168" s="61">
        <f t="shared" si="13"/>
        <v>-7.5663130373010974</v>
      </c>
      <c r="G168" s="61">
        <f t="shared" si="14"/>
        <v>21.907776451935245</v>
      </c>
      <c r="H168" s="61">
        <f t="shared" si="12"/>
        <v>1.1982413632702433</v>
      </c>
      <c r="I168" s="28" t="str">
        <f t="shared" si="15"/>
        <v>Normal</v>
      </c>
      <c r="J168" s="49">
        <f t="shared" si="16"/>
        <v>16</v>
      </c>
      <c r="K168" s="49" t="e">
        <f t="shared" si="17"/>
        <v>#N/A</v>
      </c>
    </row>
    <row r="169" spans="1:11">
      <c r="A169" s="74">
        <v>40551</v>
      </c>
      <c r="B169" s="75">
        <v>3</v>
      </c>
      <c r="C169" s="73">
        <v>7</v>
      </c>
      <c r="D169" s="72" cm="1">
        <f t="array" ref="D169">AVERAGE(_xlfn._xlws.FILTER(C:C,B:B=B169))</f>
        <v>4.870967741935484</v>
      </c>
      <c r="E169" s="61" cm="1">
        <f t="array" ref="E169">_xlfn.STDEV.S(_xlfn._xlws.FILTER(C:C,B:B=B169))</f>
        <v>4.4702120418303126</v>
      </c>
      <c r="F169" s="61">
        <f t="shared" si="13"/>
        <v>-4.0694563417251413</v>
      </c>
      <c r="G169" s="61">
        <f t="shared" si="14"/>
        <v>13.811391825596109</v>
      </c>
      <c r="H169" s="61">
        <f t="shared" si="12"/>
        <v>0.47627097733663465</v>
      </c>
      <c r="I169" s="28" t="str">
        <f t="shared" si="15"/>
        <v>Normal</v>
      </c>
      <c r="J169" s="49">
        <f t="shared" si="16"/>
        <v>7</v>
      </c>
      <c r="K169" s="49" t="e">
        <f t="shared" si="17"/>
        <v>#N/A</v>
      </c>
    </row>
    <row r="170" spans="1:11">
      <c r="A170" s="74">
        <v>40551</v>
      </c>
      <c r="B170" s="75">
        <v>4</v>
      </c>
      <c r="C170" s="73">
        <v>1</v>
      </c>
      <c r="D170" s="72" cm="1">
        <f t="array" ref="D170">AVERAGE(_xlfn._xlws.FILTER(C:C,B:B=B170))</f>
        <v>2.15625</v>
      </c>
      <c r="E170" s="61" cm="1">
        <f t="array" ref="E170">_xlfn.STDEV.S(_xlfn._xlws.FILTER(C:C,B:B=B170))</f>
        <v>1.5263148747143209</v>
      </c>
      <c r="F170" s="61">
        <f t="shared" si="13"/>
        <v>-0.89637974942864185</v>
      </c>
      <c r="G170" s="61">
        <f t="shared" si="14"/>
        <v>5.2088797494286414</v>
      </c>
      <c r="H170" s="61">
        <f t="shared" si="12"/>
        <v>-0.75754355746314428</v>
      </c>
      <c r="I170" s="28" t="str">
        <f t="shared" si="15"/>
        <v>Normal</v>
      </c>
      <c r="J170" s="49">
        <f t="shared" si="16"/>
        <v>1</v>
      </c>
      <c r="K170" s="49" t="e">
        <f t="shared" si="17"/>
        <v>#N/A</v>
      </c>
    </row>
    <row r="171" spans="1:11">
      <c r="A171" s="74">
        <v>40551</v>
      </c>
      <c r="B171" s="75">
        <v>5</v>
      </c>
      <c r="C171" s="73">
        <v>5</v>
      </c>
      <c r="D171" s="72" cm="1">
        <f t="array" ref="D171">AVERAGE(_xlfn._xlws.FILTER(C:C,B:B=B171))</f>
        <v>4.2051282051282053</v>
      </c>
      <c r="E171" s="61" cm="1">
        <f t="array" ref="E171">_xlfn.STDEV.S(_xlfn._xlws.FILTER(C:C,B:B=B171))</f>
        <v>2.5358429220352288</v>
      </c>
      <c r="F171" s="61">
        <f t="shared" si="13"/>
        <v>-0.86655763894225224</v>
      </c>
      <c r="G171" s="61">
        <f t="shared" si="14"/>
        <v>9.2768140491986628</v>
      </c>
      <c r="H171" s="61">
        <f t="shared" si="12"/>
        <v>0.31345466549396633</v>
      </c>
      <c r="I171" s="28" t="str">
        <f t="shared" si="15"/>
        <v>Normal</v>
      </c>
      <c r="J171" s="49">
        <f t="shared" si="16"/>
        <v>5</v>
      </c>
      <c r="K171" s="49" t="e">
        <f t="shared" si="17"/>
        <v>#N/A</v>
      </c>
    </row>
    <row r="172" spans="1:11">
      <c r="A172" s="74">
        <v>40551</v>
      </c>
      <c r="B172" s="75">
        <v>6</v>
      </c>
      <c r="C172" s="73">
        <v>2</v>
      </c>
      <c r="D172" s="72" cm="1">
        <f t="array" ref="D172">AVERAGE(_xlfn._xlws.FILTER(C:C,B:B=B172))</f>
        <v>19.571428571428573</v>
      </c>
      <c r="E172" s="61" cm="1">
        <f t="array" ref="E172">_xlfn.STDEV.S(_xlfn._xlws.FILTER(C:C,B:B=B172))</f>
        <v>14.202615453298934</v>
      </c>
      <c r="F172" s="61">
        <f t="shared" si="13"/>
        <v>-8.8338023351692954</v>
      </c>
      <c r="G172" s="61">
        <f t="shared" si="14"/>
        <v>47.976659478026441</v>
      </c>
      <c r="H172" s="61">
        <f t="shared" si="12"/>
        <v>-1.2371966719233494</v>
      </c>
      <c r="I172" s="28" t="str">
        <f t="shared" si="15"/>
        <v>Normal</v>
      </c>
      <c r="J172" s="49">
        <f t="shared" si="16"/>
        <v>2</v>
      </c>
      <c r="K172" s="49" t="e">
        <f t="shared" si="17"/>
        <v>#N/A</v>
      </c>
    </row>
    <row r="173" spans="1:11">
      <c r="A173" s="74">
        <v>40551</v>
      </c>
      <c r="B173" s="75">
        <v>7</v>
      </c>
      <c r="C173" s="73">
        <v>9</v>
      </c>
      <c r="D173" s="72" cm="1">
        <f t="array" ref="D173">AVERAGE(_xlfn._xlws.FILTER(C:C,B:B=B173))</f>
        <v>54.395348837209305</v>
      </c>
      <c r="E173" s="61" cm="1">
        <f t="array" ref="E173">_xlfn.STDEV.S(_xlfn._xlws.FILTER(C:C,B:B=B173))</f>
        <v>39.112864486352777</v>
      </c>
      <c r="F173" s="61">
        <f t="shared" si="13"/>
        <v>-23.830380135496249</v>
      </c>
      <c r="G173" s="61">
        <f t="shared" si="14"/>
        <v>132.62107780991485</v>
      </c>
      <c r="H173" s="61">
        <f t="shared" si="12"/>
        <v>-1.160624501257089</v>
      </c>
      <c r="I173" s="28" t="str">
        <f t="shared" si="15"/>
        <v>Normal</v>
      </c>
      <c r="J173" s="49">
        <f t="shared" si="16"/>
        <v>9</v>
      </c>
      <c r="K173" s="49" t="e">
        <f t="shared" si="17"/>
        <v>#N/A</v>
      </c>
    </row>
    <row r="174" spans="1:11">
      <c r="A174" s="74">
        <v>40551</v>
      </c>
      <c r="B174" s="75">
        <v>8</v>
      </c>
      <c r="C174" s="73">
        <v>15</v>
      </c>
      <c r="D174" s="72" cm="1">
        <f t="array" ref="D174">AVERAGE(_xlfn._xlws.FILTER(C:C,B:B=B174))</f>
        <v>128.28571428571428</v>
      </c>
      <c r="E174" s="61" cm="1">
        <f t="array" ref="E174">_xlfn.STDEV.S(_xlfn._xlws.FILTER(C:C,B:B=B174))</f>
        <v>88.551565717048547</v>
      </c>
      <c r="F174" s="61">
        <f t="shared" si="13"/>
        <v>-48.817417148382816</v>
      </c>
      <c r="G174" s="61">
        <f t="shared" si="14"/>
        <v>305.38884571981134</v>
      </c>
      <c r="H174" s="61">
        <f t="shared" si="12"/>
        <v>-1.2793191556623571</v>
      </c>
      <c r="I174" s="28" t="str">
        <f t="shared" si="15"/>
        <v>Normal</v>
      </c>
      <c r="J174" s="49">
        <f t="shared" si="16"/>
        <v>15</v>
      </c>
      <c r="K174" s="49" t="e">
        <f t="shared" si="17"/>
        <v>#N/A</v>
      </c>
    </row>
    <row r="175" spans="1:11">
      <c r="A175" s="74">
        <v>40551</v>
      </c>
      <c r="B175" s="75">
        <v>9</v>
      </c>
      <c r="C175" s="73">
        <v>20</v>
      </c>
      <c r="D175" s="72" cm="1">
        <f t="array" ref="D175">AVERAGE(_xlfn._xlws.FILTER(C:C,B:B=B175))</f>
        <v>87.428571428571431</v>
      </c>
      <c r="E175" s="61" cm="1">
        <f t="array" ref="E175">_xlfn.STDEV.S(_xlfn._xlws.FILTER(C:C,B:B=B175))</f>
        <v>45.93852884078624</v>
      </c>
      <c r="F175" s="61">
        <f t="shared" si="13"/>
        <v>-4.4484862530010503</v>
      </c>
      <c r="G175" s="61">
        <f t="shared" si="14"/>
        <v>179.30562911014391</v>
      </c>
      <c r="H175" s="61">
        <f t="shared" si="12"/>
        <v>-1.4677999737924865</v>
      </c>
      <c r="I175" s="28" t="str">
        <f t="shared" si="15"/>
        <v>Normal</v>
      </c>
      <c r="J175" s="49">
        <f t="shared" si="16"/>
        <v>20</v>
      </c>
      <c r="K175" s="49" t="e">
        <f t="shared" si="17"/>
        <v>#N/A</v>
      </c>
    </row>
    <row r="176" spans="1:11">
      <c r="A176" s="74">
        <v>40551</v>
      </c>
      <c r="B176" s="75">
        <v>10</v>
      </c>
      <c r="C176" s="73">
        <v>61</v>
      </c>
      <c r="D176" s="72" cm="1">
        <f t="array" ref="D176">AVERAGE(_xlfn._xlws.FILTER(C:C,B:B=B176))</f>
        <v>53.642857142857146</v>
      </c>
      <c r="E176" s="61" cm="1">
        <f t="array" ref="E176">_xlfn.STDEV.S(_xlfn._xlws.FILTER(C:C,B:B=B176))</f>
        <v>15.395313554536934</v>
      </c>
      <c r="F176" s="61">
        <f t="shared" si="13"/>
        <v>22.852230033783279</v>
      </c>
      <c r="G176" s="61">
        <f t="shared" si="14"/>
        <v>84.43348425193102</v>
      </c>
      <c r="H176" s="61">
        <f t="shared" si="12"/>
        <v>0.47788197564672108</v>
      </c>
      <c r="I176" s="28" t="str">
        <f t="shared" si="15"/>
        <v>Normal</v>
      </c>
      <c r="J176" s="49">
        <f t="shared" si="16"/>
        <v>61</v>
      </c>
      <c r="K176" s="49" t="e">
        <f t="shared" si="17"/>
        <v>#N/A</v>
      </c>
    </row>
    <row r="177" spans="1:11">
      <c r="A177" s="74">
        <v>40551</v>
      </c>
      <c r="B177" s="75">
        <v>11</v>
      </c>
      <c r="C177" s="73">
        <v>62</v>
      </c>
      <c r="D177" s="72" cm="1">
        <f t="array" ref="D177">AVERAGE(_xlfn._xlws.FILTER(C:C,B:B=B177))</f>
        <v>59.38095238095238</v>
      </c>
      <c r="E177" s="61" cm="1">
        <f t="array" ref="E177">_xlfn.STDEV.S(_xlfn._xlws.FILTER(C:C,B:B=B177))</f>
        <v>20.89573696860419</v>
      </c>
      <c r="F177" s="61">
        <f t="shared" si="13"/>
        <v>17.589478443743999</v>
      </c>
      <c r="G177" s="61">
        <f t="shared" si="14"/>
        <v>101.17242631816076</v>
      </c>
      <c r="H177" s="61">
        <f t="shared" si="12"/>
        <v>0.12533884892323899</v>
      </c>
      <c r="I177" s="28" t="str">
        <f t="shared" si="15"/>
        <v>Normal</v>
      </c>
      <c r="J177" s="49">
        <f t="shared" si="16"/>
        <v>62</v>
      </c>
      <c r="K177" s="49" t="e">
        <f t="shared" si="17"/>
        <v>#N/A</v>
      </c>
    </row>
    <row r="178" spans="1:11">
      <c r="A178" s="74">
        <v>40551</v>
      </c>
      <c r="B178" s="75">
        <v>12</v>
      </c>
      <c r="C178" s="73">
        <v>98</v>
      </c>
      <c r="D178" s="72" cm="1">
        <f t="array" ref="D178">AVERAGE(_xlfn._xlws.FILTER(C:C,B:B=B178))</f>
        <v>76.348837209302332</v>
      </c>
      <c r="E178" s="61" cm="1">
        <f t="array" ref="E178">_xlfn.STDEV.S(_xlfn._xlws.FILTER(C:C,B:B=B178))</f>
        <v>29.034366927857054</v>
      </c>
      <c r="F178" s="61">
        <f t="shared" si="13"/>
        <v>18.280103353588224</v>
      </c>
      <c r="G178" s="61">
        <f t="shared" si="14"/>
        <v>134.41757106501643</v>
      </c>
      <c r="H178" s="61">
        <f t="shared" si="12"/>
        <v>0.7457081066894018</v>
      </c>
      <c r="I178" s="28" t="str">
        <f t="shared" si="15"/>
        <v>Normal</v>
      </c>
      <c r="J178" s="49">
        <f t="shared" si="16"/>
        <v>98</v>
      </c>
      <c r="K178" s="49" t="e">
        <f t="shared" si="17"/>
        <v>#N/A</v>
      </c>
    </row>
    <row r="179" spans="1:11">
      <c r="A179" s="74">
        <v>40551</v>
      </c>
      <c r="B179" s="75">
        <v>13</v>
      </c>
      <c r="C179" s="73">
        <v>102</v>
      </c>
      <c r="D179" s="72" cm="1">
        <f t="array" ref="D179">AVERAGE(_xlfn._xlws.FILTER(C:C,B:B=B179))</f>
        <v>78.511627906976742</v>
      </c>
      <c r="E179" s="61" cm="1">
        <f t="array" ref="E179">_xlfn.STDEV.S(_xlfn._xlws.FILTER(C:C,B:B=B179))</f>
        <v>30.072430098825187</v>
      </c>
      <c r="F179" s="61">
        <f t="shared" si="13"/>
        <v>18.366767709326368</v>
      </c>
      <c r="G179" s="61">
        <f t="shared" si="14"/>
        <v>138.6564881046271</v>
      </c>
      <c r="H179" s="61">
        <f t="shared" si="12"/>
        <v>0.78105999468067122</v>
      </c>
      <c r="I179" s="28" t="str">
        <f t="shared" si="15"/>
        <v>Normal</v>
      </c>
      <c r="J179" s="49">
        <f t="shared" si="16"/>
        <v>102</v>
      </c>
      <c r="K179" s="49" t="e">
        <f t="shared" si="17"/>
        <v>#N/A</v>
      </c>
    </row>
    <row r="180" spans="1:11">
      <c r="A180" s="74">
        <v>40551</v>
      </c>
      <c r="B180" s="75">
        <v>14</v>
      </c>
      <c r="C180" s="73">
        <v>95</v>
      </c>
      <c r="D180" s="72" cm="1">
        <f t="array" ref="D180">AVERAGE(_xlfn._xlws.FILTER(C:C,B:B=B180))</f>
        <v>74.418604651162795</v>
      </c>
      <c r="E180" s="61" cm="1">
        <f t="array" ref="E180">_xlfn.STDEV.S(_xlfn._xlws.FILTER(C:C,B:B=B180))</f>
        <v>30.30576918056515</v>
      </c>
      <c r="F180" s="61">
        <f t="shared" si="13"/>
        <v>13.807066290032495</v>
      </c>
      <c r="G180" s="61">
        <f t="shared" si="14"/>
        <v>135.03014301229308</v>
      </c>
      <c r="H180" s="61">
        <f t="shared" si="12"/>
        <v>0.67912466521509351</v>
      </c>
      <c r="I180" s="28" t="str">
        <f t="shared" si="15"/>
        <v>Normal</v>
      </c>
      <c r="J180" s="49">
        <f t="shared" si="16"/>
        <v>95</v>
      </c>
      <c r="K180" s="49" t="e">
        <f t="shared" si="17"/>
        <v>#N/A</v>
      </c>
    </row>
    <row r="181" spans="1:11">
      <c r="A181" s="74">
        <v>40551</v>
      </c>
      <c r="B181" s="75">
        <v>15</v>
      </c>
      <c r="C181" s="73">
        <v>74</v>
      </c>
      <c r="D181" s="72" cm="1">
        <f t="array" ref="D181">AVERAGE(_xlfn._xlws.FILTER(C:C,B:B=B181))</f>
        <v>77.95348837209302</v>
      </c>
      <c r="E181" s="61" cm="1">
        <f t="array" ref="E181">_xlfn.STDEV.S(_xlfn._xlws.FILTER(C:C,B:B=B181))</f>
        <v>34.481156681772681</v>
      </c>
      <c r="F181" s="61">
        <f t="shared" si="13"/>
        <v>8.9911750085476569</v>
      </c>
      <c r="G181" s="61">
        <f t="shared" si="14"/>
        <v>146.91580173563838</v>
      </c>
      <c r="H181" s="61">
        <f t="shared" si="12"/>
        <v>-0.11465648929877402</v>
      </c>
      <c r="I181" s="28" t="str">
        <f t="shared" si="15"/>
        <v>Normal</v>
      </c>
      <c r="J181" s="49">
        <f t="shared" si="16"/>
        <v>74</v>
      </c>
      <c r="K181" s="49" t="e">
        <f t="shared" si="17"/>
        <v>#N/A</v>
      </c>
    </row>
    <row r="182" spans="1:11">
      <c r="A182" s="74">
        <v>40551</v>
      </c>
      <c r="B182" s="75">
        <v>16</v>
      </c>
      <c r="C182" s="73">
        <v>76</v>
      </c>
      <c r="D182" s="72" cm="1">
        <f t="array" ref="D182">AVERAGE(_xlfn._xlws.FILTER(C:C,B:B=B182))</f>
        <v>89.272727272727266</v>
      </c>
      <c r="E182" s="61" cm="1">
        <f t="array" ref="E182">_xlfn.STDEV.S(_xlfn._xlws.FILTER(C:C,B:B=B182))</f>
        <v>25.461657115880758</v>
      </c>
      <c r="F182" s="61">
        <f t="shared" si="13"/>
        <v>38.34941304096575</v>
      </c>
      <c r="G182" s="61">
        <f t="shared" si="14"/>
        <v>140.19604150448879</v>
      </c>
      <c r="H182" s="61">
        <f t="shared" si="12"/>
        <v>-0.52128293191289965</v>
      </c>
      <c r="I182" s="28" t="str">
        <f t="shared" si="15"/>
        <v>Normal</v>
      </c>
      <c r="J182" s="49">
        <f t="shared" si="16"/>
        <v>76</v>
      </c>
      <c r="K182" s="49" t="e">
        <f t="shared" si="17"/>
        <v>#N/A</v>
      </c>
    </row>
    <row r="183" spans="1:11">
      <c r="A183" s="74">
        <v>40551</v>
      </c>
      <c r="B183" s="75">
        <v>17</v>
      </c>
      <c r="C183" s="73">
        <v>69</v>
      </c>
      <c r="D183" s="72" cm="1">
        <f t="array" ref="D183">AVERAGE(_xlfn._xlws.FILTER(C:C,B:B=B183))</f>
        <v>140.20454545454547</v>
      </c>
      <c r="E183" s="61" cm="1">
        <f t="array" ref="E183">_xlfn.STDEV.S(_xlfn._xlws.FILTER(C:C,B:B=B183))</f>
        <v>54.067391000084555</v>
      </c>
      <c r="F183" s="61">
        <f t="shared" si="13"/>
        <v>32.069763454376357</v>
      </c>
      <c r="G183" s="61">
        <f t="shared" si="14"/>
        <v>248.33932745471458</v>
      </c>
      <c r="H183" s="61">
        <f t="shared" si="12"/>
        <v>-1.3169591529658629</v>
      </c>
      <c r="I183" s="28" t="str">
        <f t="shared" si="15"/>
        <v>Normal</v>
      </c>
      <c r="J183" s="49">
        <f t="shared" si="16"/>
        <v>69</v>
      </c>
      <c r="K183" s="49" t="e">
        <f t="shared" si="17"/>
        <v>#N/A</v>
      </c>
    </row>
    <row r="184" spans="1:11">
      <c r="A184" s="74">
        <v>40551</v>
      </c>
      <c r="B184" s="75">
        <v>18</v>
      </c>
      <c r="C184" s="73">
        <v>55</v>
      </c>
      <c r="D184" s="72" cm="1">
        <f t="array" ref="D184">AVERAGE(_xlfn._xlws.FILTER(C:C,B:B=B184))</f>
        <v>122.86046511627907</v>
      </c>
      <c r="E184" s="61" cm="1">
        <f t="array" ref="E184">_xlfn.STDEV.S(_xlfn._xlws.FILTER(C:C,B:B=B184))</f>
        <v>48.613432101949932</v>
      </c>
      <c r="F184" s="61">
        <f t="shared" si="13"/>
        <v>25.633600912379208</v>
      </c>
      <c r="G184" s="61">
        <f t="shared" si="14"/>
        <v>220.08732932017892</v>
      </c>
      <c r="H184" s="61">
        <f t="shared" si="12"/>
        <v>-1.3959200612284506</v>
      </c>
      <c r="I184" s="28" t="str">
        <f t="shared" si="15"/>
        <v>Normal</v>
      </c>
      <c r="J184" s="49">
        <f t="shared" si="16"/>
        <v>55</v>
      </c>
      <c r="K184" s="49" t="e">
        <f t="shared" si="17"/>
        <v>#N/A</v>
      </c>
    </row>
    <row r="185" spans="1:11">
      <c r="A185" s="74">
        <v>40551</v>
      </c>
      <c r="B185" s="75">
        <v>19</v>
      </c>
      <c r="C185" s="73">
        <v>30</v>
      </c>
      <c r="D185" s="72" cm="1">
        <f t="array" ref="D185">AVERAGE(_xlfn._xlws.FILTER(C:C,B:B=B185))</f>
        <v>85.139534883720927</v>
      </c>
      <c r="E185" s="61" cm="1">
        <f t="array" ref="E185">_xlfn.STDEV.S(_xlfn._xlws.FILTER(C:C,B:B=B185))</f>
        <v>31.690904054294752</v>
      </c>
      <c r="F185" s="61">
        <f t="shared" si="13"/>
        <v>21.757726775131424</v>
      </c>
      <c r="G185" s="61">
        <f t="shared" si="14"/>
        <v>148.52134299231042</v>
      </c>
      <c r="H185" s="61">
        <f t="shared" si="12"/>
        <v>-1.739916753061149</v>
      </c>
      <c r="I185" s="28" t="str">
        <f t="shared" si="15"/>
        <v>Normal</v>
      </c>
      <c r="J185" s="49">
        <f t="shared" si="16"/>
        <v>30</v>
      </c>
      <c r="K185" s="49" t="e">
        <f t="shared" si="17"/>
        <v>#N/A</v>
      </c>
    </row>
    <row r="186" spans="1:11">
      <c r="A186" s="74">
        <v>40551</v>
      </c>
      <c r="B186" s="75">
        <v>20</v>
      </c>
      <c r="C186" s="73">
        <v>28</v>
      </c>
      <c r="D186" s="72" cm="1">
        <f t="array" ref="D186">AVERAGE(_xlfn._xlws.FILTER(C:C,B:B=B186))</f>
        <v>61.767441860465119</v>
      </c>
      <c r="E186" s="61" cm="1">
        <f t="array" ref="E186">_xlfn.STDEV.S(_xlfn._xlws.FILTER(C:C,B:B=B186))</f>
        <v>24.632380169685593</v>
      </c>
      <c r="F186" s="61">
        <f t="shared" si="13"/>
        <v>12.502681521093933</v>
      </c>
      <c r="G186" s="61">
        <f t="shared" si="14"/>
        <v>111.03220219983631</v>
      </c>
      <c r="H186" s="61">
        <f t="shared" si="12"/>
        <v>-1.3708558258621633</v>
      </c>
      <c r="I186" s="28" t="str">
        <f t="shared" si="15"/>
        <v>Normal</v>
      </c>
      <c r="J186" s="49">
        <f t="shared" si="16"/>
        <v>28</v>
      </c>
      <c r="K186" s="49" t="e">
        <f t="shared" si="17"/>
        <v>#N/A</v>
      </c>
    </row>
    <row r="187" spans="1:11">
      <c r="A187" s="74">
        <v>40551</v>
      </c>
      <c r="B187" s="75">
        <v>21</v>
      </c>
      <c r="C187" s="73">
        <v>37</v>
      </c>
      <c r="D187" s="72" cm="1">
        <f t="array" ref="D187">AVERAGE(_xlfn._xlws.FILTER(C:C,B:B=B187))</f>
        <v>46.418604651162788</v>
      </c>
      <c r="E187" s="61" cm="1">
        <f t="array" ref="E187">_xlfn.STDEV.S(_xlfn._xlws.FILTER(C:C,B:B=B187))</f>
        <v>14.656759464719496</v>
      </c>
      <c r="F187" s="61">
        <f t="shared" si="13"/>
        <v>17.105085721723796</v>
      </c>
      <c r="G187" s="61">
        <f t="shared" si="14"/>
        <v>75.73212358060178</v>
      </c>
      <c r="H187" s="61">
        <f t="shared" si="12"/>
        <v>-0.64261166827731953</v>
      </c>
      <c r="I187" s="28" t="str">
        <f t="shared" si="15"/>
        <v>Normal</v>
      </c>
      <c r="J187" s="49">
        <f t="shared" si="16"/>
        <v>37</v>
      </c>
      <c r="K187" s="49" t="e">
        <f t="shared" si="17"/>
        <v>#N/A</v>
      </c>
    </row>
    <row r="188" spans="1:11">
      <c r="A188" s="74">
        <v>40551</v>
      </c>
      <c r="B188" s="75">
        <v>22</v>
      </c>
      <c r="C188" s="73">
        <v>34</v>
      </c>
      <c r="D188" s="72" cm="1">
        <f t="array" ref="D188">AVERAGE(_xlfn._xlws.FILTER(C:C,B:B=B188))</f>
        <v>35.069767441860463</v>
      </c>
      <c r="E188" s="61" cm="1">
        <f t="array" ref="E188">_xlfn.STDEV.S(_xlfn._xlws.FILTER(C:C,B:B=B188))</f>
        <v>11.95506537162667</v>
      </c>
      <c r="F188" s="61">
        <f t="shared" si="13"/>
        <v>11.159636698607123</v>
      </c>
      <c r="G188" s="61">
        <f t="shared" si="14"/>
        <v>58.979898185113804</v>
      </c>
      <c r="H188" s="61">
        <f t="shared" si="12"/>
        <v>-8.948235819767042E-2</v>
      </c>
      <c r="I188" s="28" t="str">
        <f t="shared" si="15"/>
        <v>Normal</v>
      </c>
      <c r="J188" s="49">
        <f t="shared" si="16"/>
        <v>34</v>
      </c>
      <c r="K188" s="49" t="e">
        <f t="shared" si="17"/>
        <v>#N/A</v>
      </c>
    </row>
    <row r="189" spans="1:11">
      <c r="A189" s="74">
        <v>40551</v>
      </c>
      <c r="B189" s="75">
        <v>23</v>
      </c>
      <c r="C189" s="73">
        <v>22</v>
      </c>
      <c r="D189" s="72" cm="1">
        <f t="array" ref="D189">AVERAGE(_xlfn._xlws.FILTER(C:C,B:B=B189))</f>
        <v>25.186046511627907</v>
      </c>
      <c r="E189" s="61" cm="1">
        <f t="array" ref="E189">_xlfn.STDEV.S(_xlfn._xlws.FILTER(C:C,B:B=B189))</f>
        <v>11.751911321656188</v>
      </c>
      <c r="F189" s="61">
        <f t="shared" si="13"/>
        <v>1.6822238683155319</v>
      </c>
      <c r="G189" s="61">
        <f t="shared" si="14"/>
        <v>48.689869154940283</v>
      </c>
      <c r="H189" s="61">
        <f t="shared" si="12"/>
        <v>-0.27110879451215092</v>
      </c>
      <c r="I189" s="28" t="str">
        <f t="shared" si="15"/>
        <v>Normal</v>
      </c>
      <c r="J189" s="49">
        <f t="shared" si="16"/>
        <v>22</v>
      </c>
      <c r="K189" s="49" t="e">
        <f t="shared" si="17"/>
        <v>#N/A</v>
      </c>
    </row>
    <row r="190" spans="1:11">
      <c r="A190" s="74">
        <v>40552</v>
      </c>
      <c r="B190" s="75">
        <v>0</v>
      </c>
      <c r="C190" s="73">
        <v>25</v>
      </c>
      <c r="D190" s="72" cm="1">
        <f t="array" ref="D190">AVERAGE(_xlfn._xlws.FILTER(C:C,B:B=B190))</f>
        <v>16.348837209302324</v>
      </c>
      <c r="E190" s="61" cm="1">
        <f t="array" ref="E190">_xlfn.STDEV.S(_xlfn._xlws.FILTER(C:C,B:B=B190))</f>
        <v>10.44232167427621</v>
      </c>
      <c r="F190" s="61">
        <f t="shared" si="13"/>
        <v>-4.535806139250095</v>
      </c>
      <c r="G190" s="61">
        <f t="shared" si="14"/>
        <v>37.233480557854747</v>
      </c>
      <c r="H190" s="61">
        <f t="shared" si="12"/>
        <v>0.82847120214742043</v>
      </c>
      <c r="I190" s="28" t="str">
        <f t="shared" si="15"/>
        <v>Normal</v>
      </c>
      <c r="J190" s="49">
        <f t="shared" si="16"/>
        <v>25</v>
      </c>
      <c r="K190" s="49" t="e">
        <f t="shared" si="17"/>
        <v>#N/A</v>
      </c>
    </row>
    <row r="191" spans="1:11">
      <c r="A191" s="74">
        <v>40552</v>
      </c>
      <c r="B191" s="75">
        <v>1</v>
      </c>
      <c r="C191" s="73">
        <v>12</v>
      </c>
      <c r="D191" s="72" cm="1">
        <f t="array" ref="D191">AVERAGE(_xlfn._xlws.FILTER(C:C,B:B=B191))</f>
        <v>10.697674418604651</v>
      </c>
      <c r="E191" s="61" cm="1">
        <f t="array" ref="E191">_xlfn.STDEV.S(_xlfn._xlws.FILTER(C:C,B:B=B191))</f>
        <v>10.060613641515801</v>
      </c>
      <c r="F191" s="61">
        <f t="shared" si="13"/>
        <v>-9.4235528644269504</v>
      </c>
      <c r="G191" s="61">
        <f t="shared" si="14"/>
        <v>30.81890170163625</v>
      </c>
      <c r="H191" s="61">
        <f t="shared" si="12"/>
        <v>0.12944792711462599</v>
      </c>
      <c r="I191" s="28" t="str">
        <f t="shared" si="15"/>
        <v>Normal</v>
      </c>
      <c r="J191" s="49">
        <f t="shared" si="16"/>
        <v>12</v>
      </c>
      <c r="K191" s="49" t="e">
        <f t="shared" si="17"/>
        <v>#N/A</v>
      </c>
    </row>
    <row r="192" spans="1:11">
      <c r="A192" s="74">
        <v>40552</v>
      </c>
      <c r="B192" s="75">
        <v>2</v>
      </c>
      <c r="C192" s="73">
        <v>11</v>
      </c>
      <c r="D192" s="72" cm="1">
        <f t="array" ref="D192">AVERAGE(_xlfn._xlws.FILTER(C:C,B:B=B192))</f>
        <v>7.1707317073170733</v>
      </c>
      <c r="E192" s="61" cm="1">
        <f t="array" ref="E192">_xlfn.STDEV.S(_xlfn._xlws.FILTER(C:C,B:B=B192))</f>
        <v>7.3685223723090854</v>
      </c>
      <c r="F192" s="61">
        <f t="shared" si="13"/>
        <v>-7.5663130373010974</v>
      </c>
      <c r="G192" s="61">
        <f t="shared" si="14"/>
        <v>21.907776451935245</v>
      </c>
      <c r="H192" s="61">
        <f t="shared" si="12"/>
        <v>0.51967926528571329</v>
      </c>
      <c r="I192" s="28" t="str">
        <f t="shared" si="15"/>
        <v>Normal</v>
      </c>
      <c r="J192" s="49">
        <f t="shared" si="16"/>
        <v>11</v>
      </c>
      <c r="K192" s="49" t="e">
        <f t="shared" si="17"/>
        <v>#N/A</v>
      </c>
    </row>
    <row r="193" spans="1:11">
      <c r="A193" s="74">
        <v>40552</v>
      </c>
      <c r="B193" s="75">
        <v>3</v>
      </c>
      <c r="C193" s="73">
        <v>4</v>
      </c>
      <c r="D193" s="72" cm="1">
        <f t="array" ref="D193">AVERAGE(_xlfn._xlws.FILTER(C:C,B:B=B193))</f>
        <v>4.870967741935484</v>
      </c>
      <c r="E193" s="61" cm="1">
        <f t="array" ref="E193">_xlfn.STDEV.S(_xlfn._xlws.FILTER(C:C,B:B=B193))</f>
        <v>4.4702120418303126</v>
      </c>
      <c r="F193" s="61">
        <f t="shared" si="13"/>
        <v>-4.0694563417251413</v>
      </c>
      <c r="G193" s="61">
        <f t="shared" si="14"/>
        <v>13.811391825596109</v>
      </c>
      <c r="H193" s="61">
        <f t="shared" si="12"/>
        <v>-0.19483812709225964</v>
      </c>
      <c r="I193" s="28" t="str">
        <f t="shared" si="15"/>
        <v>Normal</v>
      </c>
      <c r="J193" s="49">
        <f t="shared" si="16"/>
        <v>4</v>
      </c>
      <c r="K193" s="49" t="e">
        <f t="shared" si="17"/>
        <v>#N/A</v>
      </c>
    </row>
    <row r="194" spans="1:11">
      <c r="A194" s="74">
        <v>40552</v>
      </c>
      <c r="B194" s="75">
        <v>4</v>
      </c>
      <c r="C194" s="73">
        <v>1</v>
      </c>
      <c r="D194" s="72" cm="1">
        <f t="array" ref="D194">AVERAGE(_xlfn._xlws.FILTER(C:C,B:B=B194))</f>
        <v>2.15625</v>
      </c>
      <c r="E194" s="61" cm="1">
        <f t="array" ref="E194">_xlfn.STDEV.S(_xlfn._xlws.FILTER(C:C,B:B=B194))</f>
        <v>1.5263148747143209</v>
      </c>
      <c r="F194" s="61">
        <f t="shared" si="13"/>
        <v>-0.89637974942864185</v>
      </c>
      <c r="G194" s="61">
        <f t="shared" si="14"/>
        <v>5.2088797494286414</v>
      </c>
      <c r="H194" s="61">
        <f t="shared" si="12"/>
        <v>-0.75754355746314428</v>
      </c>
      <c r="I194" s="28" t="str">
        <f t="shared" si="15"/>
        <v>Normal</v>
      </c>
      <c r="J194" s="49">
        <f t="shared" si="16"/>
        <v>1</v>
      </c>
      <c r="K194" s="49" t="e">
        <f t="shared" si="17"/>
        <v>#N/A</v>
      </c>
    </row>
    <row r="195" spans="1:11">
      <c r="A195" s="74">
        <v>40552</v>
      </c>
      <c r="B195" s="75">
        <v>5</v>
      </c>
      <c r="C195" s="73">
        <v>1</v>
      </c>
      <c r="D195" s="72" cm="1">
        <f t="array" ref="D195">AVERAGE(_xlfn._xlws.FILTER(C:C,B:B=B195))</f>
        <v>4.2051282051282053</v>
      </c>
      <c r="E195" s="61" cm="1">
        <f t="array" ref="E195">_xlfn.STDEV.S(_xlfn._xlws.FILTER(C:C,B:B=B195))</f>
        <v>2.5358429220352288</v>
      </c>
      <c r="F195" s="61">
        <f t="shared" si="13"/>
        <v>-0.86655763894225224</v>
      </c>
      <c r="G195" s="61">
        <f t="shared" si="14"/>
        <v>9.2768140491986628</v>
      </c>
      <c r="H195" s="61">
        <f t="shared" si="12"/>
        <v>-1.2639301027982515</v>
      </c>
      <c r="I195" s="28" t="str">
        <f t="shared" si="15"/>
        <v>Normal</v>
      </c>
      <c r="J195" s="49">
        <f t="shared" si="16"/>
        <v>1</v>
      </c>
      <c r="K195" s="49" t="e">
        <f t="shared" si="17"/>
        <v>#N/A</v>
      </c>
    </row>
    <row r="196" spans="1:11">
      <c r="A196" s="74">
        <v>40552</v>
      </c>
      <c r="B196" s="75">
        <v>6</v>
      </c>
      <c r="C196" s="73">
        <v>1</v>
      </c>
      <c r="D196" s="72" cm="1">
        <f t="array" ref="D196">AVERAGE(_xlfn._xlws.FILTER(C:C,B:B=B196))</f>
        <v>19.571428571428573</v>
      </c>
      <c r="E196" s="61" cm="1">
        <f t="array" ref="E196">_xlfn.STDEV.S(_xlfn._xlws.FILTER(C:C,B:B=B196))</f>
        <v>14.202615453298934</v>
      </c>
      <c r="F196" s="61">
        <f t="shared" si="13"/>
        <v>-8.8338023351692954</v>
      </c>
      <c r="G196" s="61">
        <f t="shared" si="14"/>
        <v>47.976659478026441</v>
      </c>
      <c r="H196" s="61">
        <f t="shared" si="12"/>
        <v>-1.3076062386181742</v>
      </c>
      <c r="I196" s="28" t="str">
        <f t="shared" si="15"/>
        <v>Normal</v>
      </c>
      <c r="J196" s="49">
        <f t="shared" si="16"/>
        <v>1</v>
      </c>
      <c r="K196" s="49" t="e">
        <f t="shared" si="17"/>
        <v>#N/A</v>
      </c>
    </row>
    <row r="197" spans="1:11">
      <c r="A197" s="74">
        <v>40552</v>
      </c>
      <c r="B197" s="75">
        <v>7</v>
      </c>
      <c r="C197" s="73">
        <v>6</v>
      </c>
      <c r="D197" s="72" cm="1">
        <f t="array" ref="D197">AVERAGE(_xlfn._xlws.FILTER(C:C,B:B=B197))</f>
        <v>54.395348837209305</v>
      </c>
      <c r="E197" s="61" cm="1">
        <f t="array" ref="E197">_xlfn.STDEV.S(_xlfn._xlws.FILTER(C:C,B:B=B197))</f>
        <v>39.112864486352777</v>
      </c>
      <c r="F197" s="61">
        <f t="shared" si="13"/>
        <v>-23.830380135496249</v>
      </c>
      <c r="G197" s="61">
        <f t="shared" si="14"/>
        <v>132.62107780991485</v>
      </c>
      <c r="H197" s="61">
        <f t="shared" ref="H197:H260" si="18">(C197-D197)/E197</f>
        <v>-1.2373256081536899</v>
      </c>
      <c r="I197" s="28" t="str">
        <f t="shared" si="15"/>
        <v>Normal</v>
      </c>
      <c r="J197" s="49">
        <f t="shared" si="16"/>
        <v>6</v>
      </c>
      <c r="K197" s="49" t="e">
        <f t="shared" si="17"/>
        <v>#N/A</v>
      </c>
    </row>
    <row r="198" spans="1:11">
      <c r="A198" s="74">
        <v>40552</v>
      </c>
      <c r="B198" s="75">
        <v>8</v>
      </c>
      <c r="C198" s="73">
        <v>10</v>
      </c>
      <c r="D198" s="72" cm="1">
        <f t="array" ref="D198">AVERAGE(_xlfn._xlws.FILTER(C:C,B:B=B198))</f>
        <v>128.28571428571428</v>
      </c>
      <c r="E198" s="61" cm="1">
        <f t="array" ref="E198">_xlfn.STDEV.S(_xlfn._xlws.FILTER(C:C,B:B=B198))</f>
        <v>88.551565717048547</v>
      </c>
      <c r="F198" s="61">
        <f t="shared" ref="F198:F261" si="19">D198-(2*E198)</f>
        <v>-48.817417148382816</v>
      </c>
      <c r="G198" s="61">
        <f t="shared" ref="G198:G261" si="20">D198+(2*E198)</f>
        <v>305.38884571981134</v>
      </c>
      <c r="H198" s="61">
        <f t="shared" si="18"/>
        <v>-1.3357834311329531</v>
      </c>
      <c r="I198" s="28" t="str">
        <f t="shared" ref="I198:I261" si="21">IF(H198&gt;=2,"High Anomaly",IF(H198&lt;=-2,"Low Anomaly","Normal"))</f>
        <v>Normal</v>
      </c>
      <c r="J198" s="49">
        <f t="shared" ref="J198:J261" si="22">IF(I198="Normal",C198,NA())</f>
        <v>10</v>
      </c>
      <c r="K198" s="49" t="e">
        <f t="shared" ref="K198:K261" si="23">IF(I198&lt;&gt;"Normal",C198,NA())</f>
        <v>#N/A</v>
      </c>
    </row>
    <row r="199" spans="1:11">
      <c r="A199" s="74">
        <v>40552</v>
      </c>
      <c r="B199" s="75">
        <v>9</v>
      </c>
      <c r="C199" s="73">
        <v>19</v>
      </c>
      <c r="D199" s="72" cm="1">
        <f t="array" ref="D199">AVERAGE(_xlfn._xlws.FILTER(C:C,B:B=B199))</f>
        <v>87.428571428571431</v>
      </c>
      <c r="E199" s="61" cm="1">
        <f t="array" ref="E199">_xlfn.STDEV.S(_xlfn._xlws.FILTER(C:C,B:B=B199))</f>
        <v>45.93852884078624</v>
      </c>
      <c r="F199" s="61">
        <f t="shared" si="19"/>
        <v>-4.4484862530010503</v>
      </c>
      <c r="G199" s="61">
        <f t="shared" si="20"/>
        <v>179.30562911014391</v>
      </c>
      <c r="H199" s="61">
        <f t="shared" si="18"/>
        <v>-1.4895681937427989</v>
      </c>
      <c r="I199" s="28" t="str">
        <f t="shared" si="21"/>
        <v>Normal</v>
      </c>
      <c r="J199" s="49">
        <f t="shared" si="22"/>
        <v>19</v>
      </c>
      <c r="K199" s="49" t="e">
        <f t="shared" si="23"/>
        <v>#N/A</v>
      </c>
    </row>
    <row r="200" spans="1:11">
      <c r="A200" s="74">
        <v>40552</v>
      </c>
      <c r="B200" s="75">
        <v>10</v>
      </c>
      <c r="C200" s="73">
        <v>49</v>
      </c>
      <c r="D200" s="72" cm="1">
        <f t="array" ref="D200">AVERAGE(_xlfn._xlws.FILTER(C:C,B:B=B200))</f>
        <v>53.642857142857146</v>
      </c>
      <c r="E200" s="61" cm="1">
        <f t="array" ref="E200">_xlfn.STDEV.S(_xlfn._xlws.FILTER(C:C,B:B=B200))</f>
        <v>15.395313554536934</v>
      </c>
      <c r="F200" s="61">
        <f t="shared" si="19"/>
        <v>22.852230033783279</v>
      </c>
      <c r="G200" s="61">
        <f t="shared" si="20"/>
        <v>84.43348425193102</v>
      </c>
      <c r="H200" s="61">
        <f t="shared" si="18"/>
        <v>-0.301576004048902</v>
      </c>
      <c r="I200" s="28" t="str">
        <f t="shared" si="21"/>
        <v>Normal</v>
      </c>
      <c r="J200" s="49">
        <f t="shared" si="22"/>
        <v>49</v>
      </c>
      <c r="K200" s="49" t="e">
        <f t="shared" si="23"/>
        <v>#N/A</v>
      </c>
    </row>
    <row r="201" spans="1:11">
      <c r="A201" s="74">
        <v>40552</v>
      </c>
      <c r="B201" s="75">
        <v>11</v>
      </c>
      <c r="C201" s="73">
        <v>49</v>
      </c>
      <c r="D201" s="72" cm="1">
        <f t="array" ref="D201">AVERAGE(_xlfn._xlws.FILTER(C:C,B:B=B201))</f>
        <v>59.38095238095238</v>
      </c>
      <c r="E201" s="61" cm="1">
        <f t="array" ref="E201">_xlfn.STDEV.S(_xlfn._xlws.FILTER(C:C,B:B=B201))</f>
        <v>20.89573696860419</v>
      </c>
      <c r="F201" s="61">
        <f t="shared" si="19"/>
        <v>17.589478443743999</v>
      </c>
      <c r="G201" s="61">
        <f t="shared" si="20"/>
        <v>101.17242631816076</v>
      </c>
      <c r="H201" s="61">
        <f t="shared" si="18"/>
        <v>-0.49679761936847422</v>
      </c>
      <c r="I201" s="28" t="str">
        <f t="shared" si="21"/>
        <v>Normal</v>
      </c>
      <c r="J201" s="49">
        <f t="shared" si="22"/>
        <v>49</v>
      </c>
      <c r="K201" s="49" t="e">
        <f t="shared" si="23"/>
        <v>#N/A</v>
      </c>
    </row>
    <row r="202" spans="1:11">
      <c r="A202" s="74">
        <v>40552</v>
      </c>
      <c r="B202" s="75">
        <v>12</v>
      </c>
      <c r="C202" s="73">
        <v>83</v>
      </c>
      <c r="D202" s="72" cm="1">
        <f t="array" ref="D202">AVERAGE(_xlfn._xlws.FILTER(C:C,B:B=B202))</f>
        <v>76.348837209302332</v>
      </c>
      <c r="E202" s="61" cm="1">
        <f t="array" ref="E202">_xlfn.STDEV.S(_xlfn._xlws.FILTER(C:C,B:B=B202))</f>
        <v>29.034366927857054</v>
      </c>
      <c r="F202" s="61">
        <f t="shared" si="19"/>
        <v>18.280103353588224</v>
      </c>
      <c r="G202" s="61">
        <f t="shared" si="20"/>
        <v>134.41757106501643</v>
      </c>
      <c r="H202" s="61">
        <f t="shared" si="18"/>
        <v>0.22907896725367219</v>
      </c>
      <c r="I202" s="28" t="str">
        <f t="shared" si="21"/>
        <v>Normal</v>
      </c>
      <c r="J202" s="49">
        <f t="shared" si="22"/>
        <v>83</v>
      </c>
      <c r="K202" s="49" t="e">
        <f t="shared" si="23"/>
        <v>#N/A</v>
      </c>
    </row>
    <row r="203" spans="1:11">
      <c r="A203" s="74">
        <v>40552</v>
      </c>
      <c r="B203" s="75">
        <v>13</v>
      </c>
      <c r="C203" s="73">
        <v>75</v>
      </c>
      <c r="D203" s="72" cm="1">
        <f t="array" ref="D203">AVERAGE(_xlfn._xlws.FILTER(C:C,B:B=B203))</f>
        <v>78.511627906976742</v>
      </c>
      <c r="E203" s="61" cm="1">
        <f t="array" ref="E203">_xlfn.STDEV.S(_xlfn._xlws.FILTER(C:C,B:B=B203))</f>
        <v>30.072430098825187</v>
      </c>
      <c r="F203" s="61">
        <f t="shared" si="19"/>
        <v>18.366767709326368</v>
      </c>
      <c r="G203" s="61">
        <f t="shared" si="20"/>
        <v>138.6564881046271</v>
      </c>
      <c r="H203" s="61">
        <f t="shared" si="18"/>
        <v>-0.11677233583839729</v>
      </c>
      <c r="I203" s="28" t="str">
        <f t="shared" si="21"/>
        <v>Normal</v>
      </c>
      <c r="J203" s="49">
        <f t="shared" si="22"/>
        <v>75</v>
      </c>
      <c r="K203" s="49" t="e">
        <f t="shared" si="23"/>
        <v>#N/A</v>
      </c>
    </row>
    <row r="204" spans="1:11">
      <c r="A204" s="74">
        <v>40552</v>
      </c>
      <c r="B204" s="75">
        <v>14</v>
      </c>
      <c r="C204" s="73">
        <v>72</v>
      </c>
      <c r="D204" s="72" cm="1">
        <f t="array" ref="D204">AVERAGE(_xlfn._xlws.FILTER(C:C,B:B=B204))</f>
        <v>74.418604651162795</v>
      </c>
      <c r="E204" s="61" cm="1">
        <f t="array" ref="E204">_xlfn.STDEV.S(_xlfn._xlws.FILTER(C:C,B:B=B204))</f>
        <v>30.30576918056515</v>
      </c>
      <c r="F204" s="61">
        <f t="shared" si="19"/>
        <v>13.807066290032495</v>
      </c>
      <c r="G204" s="61">
        <f t="shared" si="20"/>
        <v>135.03014301229308</v>
      </c>
      <c r="H204" s="61">
        <f t="shared" si="18"/>
        <v>-7.9806740319061986E-2</v>
      </c>
      <c r="I204" s="28" t="str">
        <f t="shared" si="21"/>
        <v>Normal</v>
      </c>
      <c r="J204" s="49">
        <f t="shared" si="22"/>
        <v>72</v>
      </c>
      <c r="K204" s="49" t="e">
        <f t="shared" si="23"/>
        <v>#N/A</v>
      </c>
    </row>
    <row r="205" spans="1:11">
      <c r="A205" s="74">
        <v>40552</v>
      </c>
      <c r="B205" s="75">
        <v>15</v>
      </c>
      <c r="C205" s="73">
        <v>82</v>
      </c>
      <c r="D205" s="72" cm="1">
        <f t="array" ref="D205">AVERAGE(_xlfn._xlws.FILTER(C:C,B:B=B205))</f>
        <v>77.95348837209302</v>
      </c>
      <c r="E205" s="61" cm="1">
        <f t="array" ref="E205">_xlfn.STDEV.S(_xlfn._xlws.FILTER(C:C,B:B=B205))</f>
        <v>34.481156681772681</v>
      </c>
      <c r="F205" s="61">
        <f t="shared" si="19"/>
        <v>8.9911750085476569</v>
      </c>
      <c r="G205" s="61">
        <f t="shared" si="20"/>
        <v>146.91580173563838</v>
      </c>
      <c r="H205" s="61">
        <f t="shared" si="18"/>
        <v>0.11735428904698068</v>
      </c>
      <c r="I205" s="28" t="str">
        <f t="shared" si="21"/>
        <v>Normal</v>
      </c>
      <c r="J205" s="49">
        <f t="shared" si="22"/>
        <v>82</v>
      </c>
      <c r="K205" s="49" t="e">
        <f t="shared" si="23"/>
        <v>#N/A</v>
      </c>
    </row>
    <row r="206" spans="1:11">
      <c r="A206" s="74">
        <v>40552</v>
      </c>
      <c r="B206" s="75">
        <v>16</v>
      </c>
      <c r="C206" s="73">
        <v>92</v>
      </c>
      <c r="D206" s="72" cm="1">
        <f t="array" ref="D206">AVERAGE(_xlfn._xlws.FILTER(C:C,B:B=B206))</f>
        <v>89.272727272727266</v>
      </c>
      <c r="E206" s="61" cm="1">
        <f t="array" ref="E206">_xlfn.STDEV.S(_xlfn._xlws.FILTER(C:C,B:B=B206))</f>
        <v>25.461657115880758</v>
      </c>
      <c r="F206" s="61">
        <f t="shared" si="19"/>
        <v>38.34941304096575</v>
      </c>
      <c r="G206" s="61">
        <f t="shared" si="20"/>
        <v>140.19604150448879</v>
      </c>
      <c r="H206" s="61">
        <f t="shared" si="18"/>
        <v>0.10711293121497968</v>
      </c>
      <c r="I206" s="28" t="str">
        <f t="shared" si="21"/>
        <v>Normal</v>
      </c>
      <c r="J206" s="49">
        <f t="shared" si="22"/>
        <v>92</v>
      </c>
      <c r="K206" s="49" t="e">
        <f t="shared" si="23"/>
        <v>#N/A</v>
      </c>
    </row>
    <row r="207" spans="1:11">
      <c r="A207" s="74">
        <v>40552</v>
      </c>
      <c r="B207" s="75">
        <v>17</v>
      </c>
      <c r="C207" s="73">
        <v>62</v>
      </c>
      <c r="D207" s="72" cm="1">
        <f t="array" ref="D207">AVERAGE(_xlfn._xlws.FILTER(C:C,B:B=B207))</f>
        <v>140.20454545454547</v>
      </c>
      <c r="E207" s="61" cm="1">
        <f t="array" ref="E207">_xlfn.STDEV.S(_xlfn._xlws.FILTER(C:C,B:B=B207))</f>
        <v>54.067391000084555</v>
      </c>
      <c r="F207" s="61">
        <f t="shared" si="19"/>
        <v>32.069763454376357</v>
      </c>
      <c r="G207" s="61">
        <f t="shared" si="20"/>
        <v>248.33932745471458</v>
      </c>
      <c r="H207" s="61">
        <f t="shared" si="18"/>
        <v>-1.4464272088590915</v>
      </c>
      <c r="I207" s="28" t="str">
        <f t="shared" si="21"/>
        <v>Normal</v>
      </c>
      <c r="J207" s="49">
        <f t="shared" si="22"/>
        <v>62</v>
      </c>
      <c r="K207" s="49" t="e">
        <f t="shared" si="23"/>
        <v>#N/A</v>
      </c>
    </row>
    <row r="208" spans="1:11">
      <c r="A208" s="74">
        <v>40552</v>
      </c>
      <c r="B208" s="75">
        <v>18</v>
      </c>
      <c r="C208" s="73">
        <v>48</v>
      </c>
      <c r="D208" s="72" cm="1">
        <f t="array" ref="D208">AVERAGE(_xlfn._xlws.FILTER(C:C,B:B=B208))</f>
        <v>122.86046511627907</v>
      </c>
      <c r="E208" s="61" cm="1">
        <f t="array" ref="E208">_xlfn.STDEV.S(_xlfn._xlws.FILTER(C:C,B:B=B208))</f>
        <v>48.613432101949932</v>
      </c>
      <c r="F208" s="61">
        <f t="shared" si="19"/>
        <v>25.633600912379208</v>
      </c>
      <c r="G208" s="61">
        <f t="shared" si="20"/>
        <v>220.08732932017892</v>
      </c>
      <c r="H208" s="61">
        <f t="shared" si="18"/>
        <v>-1.5399131861187054</v>
      </c>
      <c r="I208" s="28" t="str">
        <f t="shared" si="21"/>
        <v>Normal</v>
      </c>
      <c r="J208" s="49">
        <f t="shared" si="22"/>
        <v>48</v>
      </c>
      <c r="K208" s="49" t="e">
        <f t="shared" si="23"/>
        <v>#N/A</v>
      </c>
    </row>
    <row r="209" spans="1:11">
      <c r="A209" s="74">
        <v>40552</v>
      </c>
      <c r="B209" s="75">
        <v>19</v>
      </c>
      <c r="C209" s="73">
        <v>41</v>
      </c>
      <c r="D209" s="72" cm="1">
        <f t="array" ref="D209">AVERAGE(_xlfn._xlws.FILTER(C:C,B:B=B209))</f>
        <v>85.139534883720927</v>
      </c>
      <c r="E209" s="61" cm="1">
        <f t="array" ref="E209">_xlfn.STDEV.S(_xlfn._xlws.FILTER(C:C,B:B=B209))</f>
        <v>31.690904054294752</v>
      </c>
      <c r="F209" s="61">
        <f t="shared" si="19"/>
        <v>21.757726775131424</v>
      </c>
      <c r="G209" s="61">
        <f t="shared" si="20"/>
        <v>148.52134299231042</v>
      </c>
      <c r="H209" s="61">
        <f t="shared" si="18"/>
        <v>-1.392814001396061</v>
      </c>
      <c r="I209" s="28" t="str">
        <f t="shared" si="21"/>
        <v>Normal</v>
      </c>
      <c r="J209" s="49">
        <f t="shared" si="22"/>
        <v>41</v>
      </c>
      <c r="K209" s="49" t="e">
        <f t="shared" si="23"/>
        <v>#N/A</v>
      </c>
    </row>
    <row r="210" spans="1:11">
      <c r="A210" s="74">
        <v>40552</v>
      </c>
      <c r="B210" s="75">
        <v>20</v>
      </c>
      <c r="C210" s="73">
        <v>38</v>
      </c>
      <c r="D210" s="72" cm="1">
        <f t="array" ref="D210">AVERAGE(_xlfn._xlws.FILTER(C:C,B:B=B210))</f>
        <v>61.767441860465119</v>
      </c>
      <c r="E210" s="61" cm="1">
        <f t="array" ref="E210">_xlfn.STDEV.S(_xlfn._xlws.FILTER(C:C,B:B=B210))</f>
        <v>24.632380169685593</v>
      </c>
      <c r="F210" s="61">
        <f t="shared" si="19"/>
        <v>12.502681521093933</v>
      </c>
      <c r="G210" s="61">
        <f t="shared" si="20"/>
        <v>111.03220219983631</v>
      </c>
      <c r="H210" s="61">
        <f t="shared" si="18"/>
        <v>-0.96488612536579266</v>
      </c>
      <c r="I210" s="28" t="str">
        <f t="shared" si="21"/>
        <v>Normal</v>
      </c>
      <c r="J210" s="49">
        <f t="shared" si="22"/>
        <v>38</v>
      </c>
      <c r="K210" s="49" t="e">
        <f t="shared" si="23"/>
        <v>#N/A</v>
      </c>
    </row>
    <row r="211" spans="1:11">
      <c r="A211" s="74">
        <v>40552</v>
      </c>
      <c r="B211" s="75">
        <v>21</v>
      </c>
      <c r="C211" s="73">
        <v>20</v>
      </c>
      <c r="D211" s="72" cm="1">
        <f t="array" ref="D211">AVERAGE(_xlfn._xlws.FILTER(C:C,B:B=B211))</f>
        <v>46.418604651162788</v>
      </c>
      <c r="E211" s="61" cm="1">
        <f t="array" ref="E211">_xlfn.STDEV.S(_xlfn._xlws.FILTER(C:C,B:B=B211))</f>
        <v>14.656759464719496</v>
      </c>
      <c r="F211" s="61">
        <f t="shared" si="19"/>
        <v>17.105085721723796</v>
      </c>
      <c r="G211" s="61">
        <f t="shared" si="20"/>
        <v>75.73212358060178</v>
      </c>
      <c r="H211" s="61">
        <f t="shared" si="18"/>
        <v>-1.8024860621309509</v>
      </c>
      <c r="I211" s="28" t="str">
        <f t="shared" si="21"/>
        <v>Normal</v>
      </c>
      <c r="J211" s="49">
        <f t="shared" si="22"/>
        <v>20</v>
      </c>
      <c r="K211" s="49" t="e">
        <f t="shared" si="23"/>
        <v>#N/A</v>
      </c>
    </row>
    <row r="212" spans="1:11">
      <c r="A212" s="74">
        <v>40552</v>
      </c>
      <c r="B212" s="75">
        <v>22</v>
      </c>
      <c r="C212" s="73">
        <v>15</v>
      </c>
      <c r="D212" s="72" cm="1">
        <f t="array" ref="D212">AVERAGE(_xlfn._xlws.FILTER(C:C,B:B=B212))</f>
        <v>35.069767441860463</v>
      </c>
      <c r="E212" s="61" cm="1">
        <f t="array" ref="E212">_xlfn.STDEV.S(_xlfn._xlws.FILTER(C:C,B:B=B212))</f>
        <v>11.95506537162667</v>
      </c>
      <c r="F212" s="61">
        <f t="shared" si="19"/>
        <v>11.159636698607123</v>
      </c>
      <c r="G212" s="61">
        <f t="shared" si="20"/>
        <v>58.979898185113804</v>
      </c>
      <c r="H212" s="61">
        <f t="shared" si="18"/>
        <v>-1.6787668505345583</v>
      </c>
      <c r="I212" s="28" t="str">
        <f t="shared" si="21"/>
        <v>Normal</v>
      </c>
      <c r="J212" s="49">
        <f t="shared" si="22"/>
        <v>15</v>
      </c>
      <c r="K212" s="49" t="e">
        <f t="shared" si="23"/>
        <v>#N/A</v>
      </c>
    </row>
    <row r="213" spans="1:11">
      <c r="A213" s="74">
        <v>40552</v>
      </c>
      <c r="B213" s="75">
        <v>23</v>
      </c>
      <c r="C213" s="73">
        <v>6</v>
      </c>
      <c r="D213" s="72" cm="1">
        <f t="array" ref="D213">AVERAGE(_xlfn._xlws.FILTER(C:C,B:B=B213))</f>
        <v>25.186046511627907</v>
      </c>
      <c r="E213" s="61" cm="1">
        <f t="array" ref="E213">_xlfn.STDEV.S(_xlfn._xlws.FILTER(C:C,B:B=B213))</f>
        <v>11.751911321656188</v>
      </c>
      <c r="F213" s="61">
        <f t="shared" si="19"/>
        <v>1.6822238683155319</v>
      </c>
      <c r="G213" s="61">
        <f t="shared" si="20"/>
        <v>48.689869154940283</v>
      </c>
      <c r="H213" s="61">
        <f t="shared" si="18"/>
        <v>-1.6325894560038283</v>
      </c>
      <c r="I213" s="28" t="str">
        <f t="shared" si="21"/>
        <v>Normal</v>
      </c>
      <c r="J213" s="49">
        <f t="shared" si="22"/>
        <v>6</v>
      </c>
      <c r="K213" s="49" t="e">
        <f t="shared" si="23"/>
        <v>#N/A</v>
      </c>
    </row>
    <row r="214" spans="1:11">
      <c r="A214" s="74">
        <v>40553</v>
      </c>
      <c r="B214" s="75">
        <v>0</v>
      </c>
      <c r="C214" s="73">
        <v>5</v>
      </c>
      <c r="D214" s="72" cm="1">
        <f t="array" ref="D214">AVERAGE(_xlfn._xlws.FILTER(C:C,B:B=B214))</f>
        <v>16.348837209302324</v>
      </c>
      <c r="E214" s="61" cm="1">
        <f t="array" ref="E214">_xlfn.STDEV.S(_xlfn._xlws.FILTER(C:C,B:B=B214))</f>
        <v>10.44232167427621</v>
      </c>
      <c r="F214" s="61">
        <f t="shared" si="19"/>
        <v>-4.535806139250095</v>
      </c>
      <c r="G214" s="61">
        <f t="shared" si="20"/>
        <v>37.233480557854747</v>
      </c>
      <c r="H214" s="61">
        <f t="shared" si="18"/>
        <v>-1.086811684537476</v>
      </c>
      <c r="I214" s="28" t="str">
        <f t="shared" si="21"/>
        <v>Normal</v>
      </c>
      <c r="J214" s="49">
        <f t="shared" si="22"/>
        <v>5</v>
      </c>
      <c r="K214" s="49" t="e">
        <f t="shared" si="23"/>
        <v>#N/A</v>
      </c>
    </row>
    <row r="215" spans="1:11">
      <c r="A215" s="74">
        <v>40553</v>
      </c>
      <c r="B215" s="75">
        <v>1</v>
      </c>
      <c r="C215" s="73">
        <v>1</v>
      </c>
      <c r="D215" s="72" cm="1">
        <f t="array" ref="D215">AVERAGE(_xlfn._xlws.FILTER(C:C,B:B=B215))</f>
        <v>10.697674418604651</v>
      </c>
      <c r="E215" s="61" cm="1">
        <f t="array" ref="E215">_xlfn.STDEV.S(_xlfn._xlws.FILTER(C:C,B:B=B215))</f>
        <v>10.060613641515801</v>
      </c>
      <c r="F215" s="61">
        <f t="shared" si="19"/>
        <v>-9.4235528644269504</v>
      </c>
      <c r="G215" s="61">
        <f t="shared" si="20"/>
        <v>30.81890170163625</v>
      </c>
      <c r="H215" s="61">
        <f t="shared" si="18"/>
        <v>-0.96392474297855379</v>
      </c>
      <c r="I215" s="28" t="str">
        <f t="shared" si="21"/>
        <v>Normal</v>
      </c>
      <c r="J215" s="49">
        <f t="shared" si="22"/>
        <v>1</v>
      </c>
      <c r="K215" s="49" t="e">
        <f t="shared" si="23"/>
        <v>#N/A</v>
      </c>
    </row>
    <row r="216" spans="1:11">
      <c r="A216" s="74">
        <v>40553</v>
      </c>
      <c r="B216" s="75">
        <v>2</v>
      </c>
      <c r="C216" s="73">
        <v>3</v>
      </c>
      <c r="D216" s="72" cm="1">
        <f t="array" ref="D216">AVERAGE(_xlfn._xlws.FILTER(C:C,B:B=B216))</f>
        <v>7.1707317073170733</v>
      </c>
      <c r="E216" s="61" cm="1">
        <f t="array" ref="E216">_xlfn.STDEV.S(_xlfn._xlws.FILTER(C:C,B:B=B216))</f>
        <v>7.3685223723090854</v>
      </c>
      <c r="F216" s="61">
        <f t="shared" si="19"/>
        <v>-7.5663130373010974</v>
      </c>
      <c r="G216" s="61">
        <f t="shared" si="20"/>
        <v>21.907776451935245</v>
      </c>
      <c r="H216" s="61">
        <f t="shared" si="18"/>
        <v>-0.56602009148953492</v>
      </c>
      <c r="I216" s="28" t="str">
        <f t="shared" si="21"/>
        <v>Normal</v>
      </c>
      <c r="J216" s="49">
        <f t="shared" si="22"/>
        <v>3</v>
      </c>
      <c r="K216" s="49" t="e">
        <f t="shared" si="23"/>
        <v>#N/A</v>
      </c>
    </row>
    <row r="217" spans="1:11">
      <c r="A217" s="74">
        <v>40553</v>
      </c>
      <c r="B217" s="75">
        <v>3</v>
      </c>
      <c r="C217" s="73">
        <v>1</v>
      </c>
      <c r="D217" s="72" cm="1">
        <f t="array" ref="D217">AVERAGE(_xlfn._xlws.FILTER(C:C,B:B=B217))</f>
        <v>4.870967741935484</v>
      </c>
      <c r="E217" s="61" cm="1">
        <f t="array" ref="E217">_xlfn.STDEV.S(_xlfn._xlws.FILTER(C:C,B:B=B217))</f>
        <v>4.4702120418303126</v>
      </c>
      <c r="F217" s="61">
        <f t="shared" si="19"/>
        <v>-4.0694563417251413</v>
      </c>
      <c r="G217" s="61">
        <f t="shared" si="20"/>
        <v>13.811391825596109</v>
      </c>
      <c r="H217" s="61">
        <f t="shared" si="18"/>
        <v>-0.86594723152115394</v>
      </c>
      <c r="I217" s="28" t="str">
        <f t="shared" si="21"/>
        <v>Normal</v>
      </c>
      <c r="J217" s="49">
        <f t="shared" si="22"/>
        <v>1</v>
      </c>
      <c r="K217" s="49" t="e">
        <f t="shared" si="23"/>
        <v>#N/A</v>
      </c>
    </row>
    <row r="218" spans="1:11">
      <c r="A218" s="74">
        <v>40553</v>
      </c>
      <c r="B218" s="75">
        <v>4</v>
      </c>
      <c r="C218" s="73">
        <v>3</v>
      </c>
      <c r="D218" s="72" cm="1">
        <f t="array" ref="D218">AVERAGE(_xlfn._xlws.FILTER(C:C,B:B=B218))</f>
        <v>2.15625</v>
      </c>
      <c r="E218" s="61" cm="1">
        <f t="array" ref="E218">_xlfn.STDEV.S(_xlfn._xlws.FILTER(C:C,B:B=B218))</f>
        <v>1.5263148747143209</v>
      </c>
      <c r="F218" s="61">
        <f t="shared" si="19"/>
        <v>-0.89637974942864185</v>
      </c>
      <c r="G218" s="61">
        <f t="shared" si="20"/>
        <v>5.2088797494286414</v>
      </c>
      <c r="H218" s="61">
        <f t="shared" si="18"/>
        <v>0.55280205544607819</v>
      </c>
      <c r="I218" s="28" t="str">
        <f t="shared" si="21"/>
        <v>Normal</v>
      </c>
      <c r="J218" s="49">
        <f t="shared" si="22"/>
        <v>3</v>
      </c>
      <c r="K218" s="49" t="e">
        <f t="shared" si="23"/>
        <v>#N/A</v>
      </c>
    </row>
    <row r="219" spans="1:11">
      <c r="A219" s="74">
        <v>40553</v>
      </c>
      <c r="B219" s="75">
        <v>5</v>
      </c>
      <c r="C219" s="73">
        <v>3</v>
      </c>
      <c r="D219" s="72" cm="1">
        <f t="array" ref="D219">AVERAGE(_xlfn._xlws.FILTER(C:C,B:B=B219))</f>
        <v>4.2051282051282053</v>
      </c>
      <c r="E219" s="61" cm="1">
        <f t="array" ref="E219">_xlfn.STDEV.S(_xlfn._xlws.FILTER(C:C,B:B=B219))</f>
        <v>2.5358429220352288</v>
      </c>
      <c r="F219" s="61">
        <f t="shared" si="19"/>
        <v>-0.86655763894225224</v>
      </c>
      <c r="G219" s="61">
        <f t="shared" si="20"/>
        <v>9.2768140491986628</v>
      </c>
      <c r="H219" s="61">
        <f t="shared" si="18"/>
        <v>-0.47523771865214265</v>
      </c>
      <c r="I219" s="28" t="str">
        <f t="shared" si="21"/>
        <v>Normal</v>
      </c>
      <c r="J219" s="49">
        <f t="shared" si="22"/>
        <v>3</v>
      </c>
      <c r="K219" s="49" t="e">
        <f t="shared" si="23"/>
        <v>#N/A</v>
      </c>
    </row>
    <row r="220" spans="1:11">
      <c r="A220" s="74">
        <v>40553</v>
      </c>
      <c r="B220" s="75">
        <v>6</v>
      </c>
      <c r="C220" s="73">
        <v>31</v>
      </c>
      <c r="D220" s="72" cm="1">
        <f t="array" ref="D220">AVERAGE(_xlfn._xlws.FILTER(C:C,B:B=B220))</f>
        <v>19.571428571428573</v>
      </c>
      <c r="E220" s="61" cm="1">
        <f t="array" ref="E220">_xlfn.STDEV.S(_xlfn._xlws.FILTER(C:C,B:B=B220))</f>
        <v>14.202615453298934</v>
      </c>
      <c r="F220" s="61">
        <f t="shared" si="19"/>
        <v>-8.8338023351692954</v>
      </c>
      <c r="G220" s="61">
        <f t="shared" si="20"/>
        <v>47.976659478026441</v>
      </c>
      <c r="H220" s="61">
        <f t="shared" si="18"/>
        <v>0.80468076222656848</v>
      </c>
      <c r="I220" s="28" t="str">
        <f t="shared" si="21"/>
        <v>Normal</v>
      </c>
      <c r="J220" s="49">
        <f t="shared" si="22"/>
        <v>31</v>
      </c>
      <c r="K220" s="49" t="e">
        <f t="shared" si="23"/>
        <v>#N/A</v>
      </c>
    </row>
    <row r="221" spans="1:11">
      <c r="A221" s="74">
        <v>40553</v>
      </c>
      <c r="B221" s="75">
        <v>7</v>
      </c>
      <c r="C221" s="73">
        <v>77</v>
      </c>
      <c r="D221" s="72" cm="1">
        <f t="array" ref="D221">AVERAGE(_xlfn._xlws.FILTER(C:C,B:B=B221))</f>
        <v>54.395348837209305</v>
      </c>
      <c r="E221" s="61" cm="1">
        <f t="array" ref="E221">_xlfn.STDEV.S(_xlfn._xlws.FILTER(C:C,B:B=B221))</f>
        <v>39.112864486352777</v>
      </c>
      <c r="F221" s="61">
        <f t="shared" si="19"/>
        <v>-23.830380135496249</v>
      </c>
      <c r="G221" s="61">
        <f t="shared" si="20"/>
        <v>132.62107780991485</v>
      </c>
      <c r="H221" s="61">
        <f t="shared" si="18"/>
        <v>0.57793392173252589</v>
      </c>
      <c r="I221" s="28" t="str">
        <f t="shared" si="21"/>
        <v>Normal</v>
      </c>
      <c r="J221" s="49">
        <f t="shared" si="22"/>
        <v>77</v>
      </c>
      <c r="K221" s="49" t="e">
        <f t="shared" si="23"/>
        <v>#N/A</v>
      </c>
    </row>
    <row r="222" spans="1:11">
      <c r="A222" s="74">
        <v>40553</v>
      </c>
      <c r="B222" s="75">
        <v>8</v>
      </c>
      <c r="C222" s="73">
        <v>188</v>
      </c>
      <c r="D222" s="72" cm="1">
        <f t="array" ref="D222">AVERAGE(_xlfn._xlws.FILTER(C:C,B:B=B222))</f>
        <v>128.28571428571428</v>
      </c>
      <c r="E222" s="61" cm="1">
        <f t="array" ref="E222">_xlfn.STDEV.S(_xlfn._xlws.FILTER(C:C,B:B=B222))</f>
        <v>88.551565717048547</v>
      </c>
      <c r="F222" s="61">
        <f t="shared" si="19"/>
        <v>-48.817417148382816</v>
      </c>
      <c r="G222" s="61">
        <f t="shared" si="20"/>
        <v>305.38884571981134</v>
      </c>
      <c r="H222" s="61">
        <f t="shared" si="18"/>
        <v>0.67434477562025896</v>
      </c>
      <c r="I222" s="28" t="str">
        <f t="shared" si="21"/>
        <v>Normal</v>
      </c>
      <c r="J222" s="49">
        <f t="shared" si="22"/>
        <v>188</v>
      </c>
      <c r="K222" s="49" t="e">
        <f t="shared" si="23"/>
        <v>#N/A</v>
      </c>
    </row>
    <row r="223" spans="1:11">
      <c r="A223" s="74">
        <v>40553</v>
      </c>
      <c r="B223" s="75">
        <v>9</v>
      </c>
      <c r="C223" s="73">
        <v>94</v>
      </c>
      <c r="D223" s="72" cm="1">
        <f t="array" ref="D223">AVERAGE(_xlfn._xlws.FILTER(C:C,B:B=B223))</f>
        <v>87.428571428571431</v>
      </c>
      <c r="E223" s="61" cm="1">
        <f t="array" ref="E223">_xlfn.STDEV.S(_xlfn._xlws.FILTER(C:C,B:B=B223))</f>
        <v>45.93852884078624</v>
      </c>
      <c r="F223" s="61">
        <f t="shared" si="19"/>
        <v>-4.4484862530010503</v>
      </c>
      <c r="G223" s="61">
        <f t="shared" si="20"/>
        <v>179.30562911014391</v>
      </c>
      <c r="H223" s="61">
        <f t="shared" si="18"/>
        <v>0.14304830253062364</v>
      </c>
      <c r="I223" s="28" t="str">
        <f t="shared" si="21"/>
        <v>Normal</v>
      </c>
      <c r="J223" s="49">
        <f t="shared" si="22"/>
        <v>94</v>
      </c>
      <c r="K223" s="49" t="e">
        <f t="shared" si="23"/>
        <v>#N/A</v>
      </c>
    </row>
    <row r="224" spans="1:11">
      <c r="A224" s="74">
        <v>40553</v>
      </c>
      <c r="B224" s="75">
        <v>10</v>
      </c>
      <c r="C224" s="73">
        <v>31</v>
      </c>
      <c r="D224" s="72" cm="1">
        <f t="array" ref="D224">AVERAGE(_xlfn._xlws.FILTER(C:C,B:B=B224))</f>
        <v>53.642857142857146</v>
      </c>
      <c r="E224" s="61" cm="1">
        <f t="array" ref="E224">_xlfn.STDEV.S(_xlfn._xlws.FILTER(C:C,B:B=B224))</f>
        <v>15.395313554536934</v>
      </c>
      <c r="F224" s="61">
        <f t="shared" si="19"/>
        <v>22.852230033783279</v>
      </c>
      <c r="G224" s="61">
        <f t="shared" si="20"/>
        <v>84.43348425193102</v>
      </c>
      <c r="H224" s="61">
        <f t="shared" si="18"/>
        <v>-1.4707629735923367</v>
      </c>
      <c r="I224" s="28" t="str">
        <f t="shared" si="21"/>
        <v>Normal</v>
      </c>
      <c r="J224" s="49">
        <f t="shared" si="22"/>
        <v>31</v>
      </c>
      <c r="K224" s="49" t="e">
        <f t="shared" si="23"/>
        <v>#N/A</v>
      </c>
    </row>
    <row r="225" spans="1:11">
      <c r="A225" s="74">
        <v>40553</v>
      </c>
      <c r="B225" s="75">
        <v>11</v>
      </c>
      <c r="C225" s="73">
        <v>30</v>
      </c>
      <c r="D225" s="72" cm="1">
        <f t="array" ref="D225">AVERAGE(_xlfn._xlws.FILTER(C:C,B:B=B225))</f>
        <v>59.38095238095238</v>
      </c>
      <c r="E225" s="61" cm="1">
        <f t="array" ref="E225">_xlfn.STDEV.S(_xlfn._xlws.FILTER(C:C,B:B=B225))</f>
        <v>20.89573696860419</v>
      </c>
      <c r="F225" s="61">
        <f t="shared" si="19"/>
        <v>17.589478443743999</v>
      </c>
      <c r="G225" s="61">
        <f t="shared" si="20"/>
        <v>101.17242631816076</v>
      </c>
      <c r="H225" s="61">
        <f t="shared" si="18"/>
        <v>-1.4060739961025166</v>
      </c>
      <c r="I225" s="28" t="str">
        <f t="shared" si="21"/>
        <v>Normal</v>
      </c>
      <c r="J225" s="49">
        <f t="shared" si="22"/>
        <v>30</v>
      </c>
      <c r="K225" s="49" t="e">
        <f t="shared" si="23"/>
        <v>#N/A</v>
      </c>
    </row>
    <row r="226" spans="1:11">
      <c r="A226" s="74">
        <v>40553</v>
      </c>
      <c r="B226" s="75">
        <v>12</v>
      </c>
      <c r="C226" s="73">
        <v>52</v>
      </c>
      <c r="D226" s="72" cm="1">
        <f t="array" ref="D226">AVERAGE(_xlfn._xlws.FILTER(C:C,B:B=B226))</f>
        <v>76.348837209302332</v>
      </c>
      <c r="E226" s="61" cm="1">
        <f t="array" ref="E226">_xlfn.STDEV.S(_xlfn._xlws.FILTER(C:C,B:B=B226))</f>
        <v>29.034366927857054</v>
      </c>
      <c r="F226" s="61">
        <f t="shared" si="19"/>
        <v>18.280103353588224</v>
      </c>
      <c r="G226" s="61">
        <f t="shared" si="20"/>
        <v>134.41757106501643</v>
      </c>
      <c r="H226" s="61">
        <f t="shared" si="18"/>
        <v>-0.83862125424683587</v>
      </c>
      <c r="I226" s="28" t="str">
        <f t="shared" si="21"/>
        <v>Normal</v>
      </c>
      <c r="J226" s="49">
        <f t="shared" si="22"/>
        <v>52</v>
      </c>
      <c r="K226" s="49" t="e">
        <f t="shared" si="23"/>
        <v>#N/A</v>
      </c>
    </row>
    <row r="227" spans="1:11">
      <c r="A227" s="74">
        <v>40553</v>
      </c>
      <c r="B227" s="75">
        <v>13</v>
      </c>
      <c r="C227" s="73">
        <v>54</v>
      </c>
      <c r="D227" s="72" cm="1">
        <f t="array" ref="D227">AVERAGE(_xlfn._xlws.FILTER(C:C,B:B=B227))</f>
        <v>78.511627906976742</v>
      </c>
      <c r="E227" s="61" cm="1">
        <f t="array" ref="E227">_xlfn.STDEV.S(_xlfn._xlws.FILTER(C:C,B:B=B227))</f>
        <v>30.072430098825187</v>
      </c>
      <c r="F227" s="61">
        <f t="shared" si="19"/>
        <v>18.366767709326368</v>
      </c>
      <c r="G227" s="61">
        <f t="shared" si="20"/>
        <v>138.6564881046271</v>
      </c>
      <c r="H227" s="61">
        <f t="shared" si="18"/>
        <v>-0.81508637068656165</v>
      </c>
      <c r="I227" s="28" t="str">
        <f t="shared" si="21"/>
        <v>Normal</v>
      </c>
      <c r="J227" s="49">
        <f t="shared" si="22"/>
        <v>54</v>
      </c>
      <c r="K227" s="49" t="e">
        <f t="shared" si="23"/>
        <v>#N/A</v>
      </c>
    </row>
    <row r="228" spans="1:11">
      <c r="A228" s="74">
        <v>40553</v>
      </c>
      <c r="B228" s="75">
        <v>14</v>
      </c>
      <c r="C228" s="73">
        <v>47</v>
      </c>
      <c r="D228" s="72" cm="1">
        <f t="array" ref="D228">AVERAGE(_xlfn._xlws.FILTER(C:C,B:B=B228))</f>
        <v>74.418604651162795</v>
      </c>
      <c r="E228" s="61" cm="1">
        <f t="array" ref="E228">_xlfn.STDEV.S(_xlfn._xlws.FILTER(C:C,B:B=B228))</f>
        <v>30.30576918056515</v>
      </c>
      <c r="F228" s="61">
        <f t="shared" si="19"/>
        <v>13.807066290032495</v>
      </c>
      <c r="G228" s="61">
        <f t="shared" si="20"/>
        <v>135.03014301229308</v>
      </c>
      <c r="H228" s="61">
        <f t="shared" si="18"/>
        <v>-0.904732181117057</v>
      </c>
      <c r="I228" s="28" t="str">
        <f t="shared" si="21"/>
        <v>Normal</v>
      </c>
      <c r="J228" s="49">
        <f t="shared" si="22"/>
        <v>47</v>
      </c>
      <c r="K228" s="49" t="e">
        <f t="shared" si="23"/>
        <v>#N/A</v>
      </c>
    </row>
    <row r="229" spans="1:11">
      <c r="A229" s="74">
        <v>40553</v>
      </c>
      <c r="B229" s="75">
        <v>15</v>
      </c>
      <c r="C229" s="73">
        <v>45</v>
      </c>
      <c r="D229" s="72" cm="1">
        <f t="array" ref="D229">AVERAGE(_xlfn._xlws.FILTER(C:C,B:B=B229))</f>
        <v>77.95348837209302</v>
      </c>
      <c r="E229" s="61" cm="1">
        <f t="array" ref="E229">_xlfn.STDEV.S(_xlfn._xlws.FILTER(C:C,B:B=B229))</f>
        <v>34.481156681772681</v>
      </c>
      <c r="F229" s="61">
        <f t="shared" si="19"/>
        <v>8.9911750085476569</v>
      </c>
      <c r="G229" s="61">
        <f t="shared" si="20"/>
        <v>146.91580173563838</v>
      </c>
      <c r="H229" s="61">
        <f t="shared" si="18"/>
        <v>-0.9556955608021348</v>
      </c>
      <c r="I229" s="28" t="str">
        <f t="shared" si="21"/>
        <v>Normal</v>
      </c>
      <c r="J229" s="49">
        <f t="shared" si="22"/>
        <v>45</v>
      </c>
      <c r="K229" s="49" t="e">
        <f t="shared" si="23"/>
        <v>#N/A</v>
      </c>
    </row>
    <row r="230" spans="1:11">
      <c r="A230" s="74">
        <v>40553</v>
      </c>
      <c r="B230" s="75">
        <v>16</v>
      </c>
      <c r="C230" s="73">
        <v>74</v>
      </c>
      <c r="D230" s="72" cm="1">
        <f t="array" ref="D230">AVERAGE(_xlfn._xlws.FILTER(C:C,B:B=B230))</f>
        <v>89.272727272727266</v>
      </c>
      <c r="E230" s="61" cm="1">
        <f t="array" ref="E230">_xlfn.STDEV.S(_xlfn._xlws.FILTER(C:C,B:B=B230))</f>
        <v>25.461657115880758</v>
      </c>
      <c r="F230" s="61">
        <f t="shared" si="19"/>
        <v>38.34941304096575</v>
      </c>
      <c r="G230" s="61">
        <f t="shared" si="20"/>
        <v>140.19604150448879</v>
      </c>
      <c r="H230" s="61">
        <f t="shared" si="18"/>
        <v>-0.59983241480388461</v>
      </c>
      <c r="I230" s="28" t="str">
        <f t="shared" si="21"/>
        <v>Normal</v>
      </c>
      <c r="J230" s="49">
        <f t="shared" si="22"/>
        <v>74</v>
      </c>
      <c r="K230" s="49" t="e">
        <f t="shared" si="23"/>
        <v>#N/A</v>
      </c>
    </row>
    <row r="231" spans="1:11">
      <c r="A231" s="74">
        <v>40553</v>
      </c>
      <c r="B231" s="75">
        <v>17</v>
      </c>
      <c r="C231" s="73">
        <v>178</v>
      </c>
      <c r="D231" s="72" cm="1">
        <f t="array" ref="D231">AVERAGE(_xlfn._xlws.FILTER(C:C,B:B=B231))</f>
        <v>140.20454545454547</v>
      </c>
      <c r="E231" s="61" cm="1">
        <f t="array" ref="E231">_xlfn.STDEV.S(_xlfn._xlws.FILTER(C:C,B:B=B231))</f>
        <v>54.067391000084555</v>
      </c>
      <c r="F231" s="61">
        <f t="shared" si="19"/>
        <v>32.069763454376357</v>
      </c>
      <c r="G231" s="61">
        <f t="shared" si="20"/>
        <v>248.33932745471458</v>
      </c>
      <c r="H231" s="61">
        <f t="shared" si="18"/>
        <v>0.69904343165727056</v>
      </c>
      <c r="I231" s="28" t="str">
        <f t="shared" si="21"/>
        <v>Normal</v>
      </c>
      <c r="J231" s="49">
        <f t="shared" si="22"/>
        <v>178</v>
      </c>
      <c r="K231" s="49" t="e">
        <f t="shared" si="23"/>
        <v>#N/A</v>
      </c>
    </row>
    <row r="232" spans="1:11">
      <c r="A232" s="74">
        <v>40553</v>
      </c>
      <c r="B232" s="75">
        <v>18</v>
      </c>
      <c r="C232" s="73">
        <v>155</v>
      </c>
      <c r="D232" s="72" cm="1">
        <f t="array" ref="D232">AVERAGE(_xlfn._xlws.FILTER(C:C,B:B=B232))</f>
        <v>122.86046511627907</v>
      </c>
      <c r="E232" s="61" cm="1">
        <f t="array" ref="E232">_xlfn.STDEV.S(_xlfn._xlws.FILTER(C:C,B:B=B232))</f>
        <v>48.613432101949932</v>
      </c>
      <c r="F232" s="61">
        <f t="shared" si="19"/>
        <v>25.633600912379208</v>
      </c>
      <c r="G232" s="61">
        <f t="shared" si="20"/>
        <v>220.08732932017892</v>
      </c>
      <c r="H232" s="61">
        <f t="shared" si="18"/>
        <v>0.66112458006090413</v>
      </c>
      <c r="I232" s="28" t="str">
        <f t="shared" si="21"/>
        <v>Normal</v>
      </c>
      <c r="J232" s="49">
        <f t="shared" si="22"/>
        <v>155</v>
      </c>
      <c r="K232" s="49" t="e">
        <f t="shared" si="23"/>
        <v>#N/A</v>
      </c>
    </row>
    <row r="233" spans="1:11">
      <c r="A233" s="74">
        <v>40553</v>
      </c>
      <c r="B233" s="75">
        <v>19</v>
      </c>
      <c r="C233" s="73">
        <v>95</v>
      </c>
      <c r="D233" s="72" cm="1">
        <f t="array" ref="D233">AVERAGE(_xlfn._xlws.FILTER(C:C,B:B=B233))</f>
        <v>85.139534883720927</v>
      </c>
      <c r="E233" s="61" cm="1">
        <f t="array" ref="E233">_xlfn.STDEV.S(_xlfn._xlws.FILTER(C:C,B:B=B233))</f>
        <v>31.690904054294752</v>
      </c>
      <c r="F233" s="61">
        <f t="shared" si="19"/>
        <v>21.757726775131424</v>
      </c>
      <c r="G233" s="61">
        <f t="shared" si="20"/>
        <v>148.52134299231042</v>
      </c>
      <c r="H233" s="61">
        <f t="shared" si="18"/>
        <v>0.31114496132346159</v>
      </c>
      <c r="I233" s="28" t="str">
        <f t="shared" si="21"/>
        <v>Normal</v>
      </c>
      <c r="J233" s="49">
        <f t="shared" si="22"/>
        <v>95</v>
      </c>
      <c r="K233" s="49" t="e">
        <f t="shared" si="23"/>
        <v>#N/A</v>
      </c>
    </row>
    <row r="234" spans="1:11">
      <c r="A234" s="74">
        <v>40553</v>
      </c>
      <c r="B234" s="75">
        <v>20</v>
      </c>
      <c r="C234" s="73">
        <v>74</v>
      </c>
      <c r="D234" s="72" cm="1">
        <f t="array" ref="D234">AVERAGE(_xlfn._xlws.FILTER(C:C,B:B=B234))</f>
        <v>61.767441860465119</v>
      </c>
      <c r="E234" s="61" cm="1">
        <f t="array" ref="E234">_xlfn.STDEV.S(_xlfn._xlws.FILTER(C:C,B:B=B234))</f>
        <v>24.632380169685593</v>
      </c>
      <c r="F234" s="61">
        <f t="shared" si="19"/>
        <v>12.502681521093933</v>
      </c>
      <c r="G234" s="61">
        <f t="shared" si="20"/>
        <v>111.03220219983631</v>
      </c>
      <c r="H234" s="61">
        <f t="shared" si="18"/>
        <v>0.49660479642114164</v>
      </c>
      <c r="I234" s="28" t="str">
        <f t="shared" si="21"/>
        <v>Normal</v>
      </c>
      <c r="J234" s="49">
        <f t="shared" si="22"/>
        <v>74</v>
      </c>
      <c r="K234" s="49" t="e">
        <f t="shared" si="23"/>
        <v>#N/A</v>
      </c>
    </row>
    <row r="235" spans="1:11">
      <c r="A235" s="74">
        <v>40553</v>
      </c>
      <c r="B235" s="75">
        <v>21</v>
      </c>
      <c r="C235" s="73">
        <v>38</v>
      </c>
      <c r="D235" s="72" cm="1">
        <f t="array" ref="D235">AVERAGE(_xlfn._xlws.FILTER(C:C,B:B=B235))</f>
        <v>46.418604651162788</v>
      </c>
      <c r="E235" s="61" cm="1">
        <f t="array" ref="E235">_xlfn.STDEV.S(_xlfn._xlws.FILTER(C:C,B:B=B235))</f>
        <v>14.656759464719496</v>
      </c>
      <c r="F235" s="61">
        <f t="shared" si="19"/>
        <v>17.105085721723796</v>
      </c>
      <c r="G235" s="61">
        <f t="shared" si="20"/>
        <v>75.73212358060178</v>
      </c>
      <c r="H235" s="61">
        <f t="shared" si="18"/>
        <v>-0.5743837627565177</v>
      </c>
      <c r="I235" s="28" t="str">
        <f t="shared" si="21"/>
        <v>Normal</v>
      </c>
      <c r="J235" s="49">
        <f t="shared" si="22"/>
        <v>38</v>
      </c>
      <c r="K235" s="49" t="e">
        <f t="shared" si="23"/>
        <v>#N/A</v>
      </c>
    </row>
    <row r="236" spans="1:11">
      <c r="A236" s="74">
        <v>40553</v>
      </c>
      <c r="B236" s="75">
        <v>22</v>
      </c>
      <c r="C236" s="73">
        <v>24</v>
      </c>
      <c r="D236" s="72" cm="1">
        <f t="array" ref="D236">AVERAGE(_xlfn._xlws.FILTER(C:C,B:B=B236))</f>
        <v>35.069767441860463</v>
      </c>
      <c r="E236" s="61" cm="1">
        <f t="array" ref="E236">_xlfn.STDEV.S(_xlfn._xlws.FILTER(C:C,B:B=B236))</f>
        <v>11.95506537162667</v>
      </c>
      <c r="F236" s="61">
        <f t="shared" si="19"/>
        <v>11.159636698607123</v>
      </c>
      <c r="G236" s="61">
        <f t="shared" si="20"/>
        <v>58.979898185113804</v>
      </c>
      <c r="H236" s="61">
        <f t="shared" si="18"/>
        <v>-0.92594788048024301</v>
      </c>
      <c r="I236" s="28" t="str">
        <f t="shared" si="21"/>
        <v>Normal</v>
      </c>
      <c r="J236" s="49">
        <f t="shared" si="22"/>
        <v>24</v>
      </c>
      <c r="K236" s="49" t="e">
        <f t="shared" si="23"/>
        <v>#N/A</v>
      </c>
    </row>
    <row r="237" spans="1:11">
      <c r="A237" s="74">
        <v>40553</v>
      </c>
      <c r="B237" s="75">
        <v>23</v>
      </c>
      <c r="C237" s="73">
        <v>18</v>
      </c>
      <c r="D237" s="72" cm="1">
        <f t="array" ref="D237">AVERAGE(_xlfn._xlws.FILTER(C:C,B:B=B237))</f>
        <v>25.186046511627907</v>
      </c>
      <c r="E237" s="61" cm="1">
        <f t="array" ref="E237">_xlfn.STDEV.S(_xlfn._xlws.FILTER(C:C,B:B=B237))</f>
        <v>11.751911321656188</v>
      </c>
      <c r="F237" s="61">
        <f t="shared" si="19"/>
        <v>1.6822238683155319</v>
      </c>
      <c r="G237" s="61">
        <f t="shared" si="20"/>
        <v>48.689869154940283</v>
      </c>
      <c r="H237" s="61">
        <f t="shared" si="18"/>
        <v>-0.61147895988507028</v>
      </c>
      <c r="I237" s="28" t="str">
        <f t="shared" si="21"/>
        <v>Normal</v>
      </c>
      <c r="J237" s="49">
        <f t="shared" si="22"/>
        <v>18</v>
      </c>
      <c r="K237" s="49" t="e">
        <f t="shared" si="23"/>
        <v>#N/A</v>
      </c>
    </row>
    <row r="238" spans="1:11">
      <c r="A238" s="74">
        <v>40554</v>
      </c>
      <c r="B238" s="75">
        <v>0</v>
      </c>
      <c r="C238" s="73">
        <v>12</v>
      </c>
      <c r="D238" s="72" cm="1">
        <f t="array" ref="D238">AVERAGE(_xlfn._xlws.FILTER(C:C,B:B=B238))</f>
        <v>16.348837209302324</v>
      </c>
      <c r="E238" s="61" cm="1">
        <f t="array" ref="E238">_xlfn.STDEV.S(_xlfn._xlws.FILTER(C:C,B:B=B238))</f>
        <v>10.44232167427621</v>
      </c>
      <c r="F238" s="61">
        <f t="shared" si="19"/>
        <v>-4.535806139250095</v>
      </c>
      <c r="G238" s="61">
        <f t="shared" si="20"/>
        <v>37.233480557854747</v>
      </c>
      <c r="H238" s="61">
        <f t="shared" si="18"/>
        <v>-0.41646267419776228</v>
      </c>
      <c r="I238" s="28" t="str">
        <f t="shared" si="21"/>
        <v>Normal</v>
      </c>
      <c r="J238" s="49">
        <f t="shared" si="22"/>
        <v>12</v>
      </c>
      <c r="K238" s="49" t="e">
        <f t="shared" si="23"/>
        <v>#N/A</v>
      </c>
    </row>
    <row r="239" spans="1:11">
      <c r="A239" s="74">
        <v>40554</v>
      </c>
      <c r="B239" s="75">
        <v>1</v>
      </c>
      <c r="C239" s="73">
        <v>3</v>
      </c>
      <c r="D239" s="72" cm="1">
        <f t="array" ref="D239">AVERAGE(_xlfn._xlws.FILTER(C:C,B:B=B239))</f>
        <v>10.697674418604651</v>
      </c>
      <c r="E239" s="61" cm="1">
        <f t="array" ref="E239">_xlfn.STDEV.S(_xlfn._xlws.FILTER(C:C,B:B=B239))</f>
        <v>10.060613641515801</v>
      </c>
      <c r="F239" s="61">
        <f t="shared" si="19"/>
        <v>-9.4235528644269504</v>
      </c>
      <c r="G239" s="61">
        <f t="shared" si="20"/>
        <v>30.81890170163625</v>
      </c>
      <c r="H239" s="61">
        <f t="shared" si="18"/>
        <v>-0.76512971205252112</v>
      </c>
      <c r="I239" s="28" t="str">
        <f t="shared" si="21"/>
        <v>Normal</v>
      </c>
      <c r="J239" s="49">
        <f t="shared" si="22"/>
        <v>3</v>
      </c>
      <c r="K239" s="49" t="e">
        <f t="shared" si="23"/>
        <v>#N/A</v>
      </c>
    </row>
    <row r="240" spans="1:11">
      <c r="A240" s="74">
        <v>40554</v>
      </c>
      <c r="B240" s="75">
        <v>2</v>
      </c>
      <c r="C240" s="73">
        <v>3</v>
      </c>
      <c r="D240" s="72" cm="1">
        <f t="array" ref="D240">AVERAGE(_xlfn._xlws.FILTER(C:C,B:B=B240))</f>
        <v>7.1707317073170733</v>
      </c>
      <c r="E240" s="61" cm="1">
        <f t="array" ref="E240">_xlfn.STDEV.S(_xlfn._xlws.FILTER(C:C,B:B=B240))</f>
        <v>7.3685223723090854</v>
      </c>
      <c r="F240" s="61">
        <f t="shared" si="19"/>
        <v>-7.5663130373010974</v>
      </c>
      <c r="G240" s="61">
        <f t="shared" si="20"/>
        <v>21.907776451935245</v>
      </c>
      <c r="H240" s="61">
        <f t="shared" si="18"/>
        <v>-0.56602009148953492</v>
      </c>
      <c r="I240" s="28" t="str">
        <f t="shared" si="21"/>
        <v>Normal</v>
      </c>
      <c r="J240" s="49">
        <f t="shared" si="22"/>
        <v>3</v>
      </c>
      <c r="K240" s="49" t="e">
        <f t="shared" si="23"/>
        <v>#N/A</v>
      </c>
    </row>
    <row r="241" spans="1:11">
      <c r="A241" s="74">
        <v>40554</v>
      </c>
      <c r="B241" s="75">
        <v>5</v>
      </c>
      <c r="C241" s="73">
        <v>6</v>
      </c>
      <c r="D241" s="72" cm="1">
        <f t="array" ref="D241">AVERAGE(_xlfn._xlws.FILTER(C:C,B:B=B241))</f>
        <v>4.2051282051282053</v>
      </c>
      <c r="E241" s="61" cm="1">
        <f t="array" ref="E241">_xlfn.STDEV.S(_xlfn._xlws.FILTER(C:C,B:B=B241))</f>
        <v>2.5358429220352288</v>
      </c>
      <c r="F241" s="61">
        <f t="shared" si="19"/>
        <v>-0.86655763894225224</v>
      </c>
      <c r="G241" s="61">
        <f t="shared" si="20"/>
        <v>9.2768140491986628</v>
      </c>
      <c r="H241" s="61">
        <f t="shared" si="18"/>
        <v>0.70780085756702082</v>
      </c>
      <c r="I241" s="28" t="str">
        <f t="shared" si="21"/>
        <v>Normal</v>
      </c>
      <c r="J241" s="49">
        <f t="shared" si="22"/>
        <v>6</v>
      </c>
      <c r="K241" s="49" t="e">
        <f t="shared" si="23"/>
        <v>#N/A</v>
      </c>
    </row>
    <row r="242" spans="1:11">
      <c r="A242" s="74">
        <v>40554</v>
      </c>
      <c r="B242" s="75">
        <v>6</v>
      </c>
      <c r="C242" s="73">
        <v>27</v>
      </c>
      <c r="D242" s="72" cm="1">
        <f t="array" ref="D242">AVERAGE(_xlfn._xlws.FILTER(C:C,B:B=B242))</f>
        <v>19.571428571428573</v>
      </c>
      <c r="E242" s="61" cm="1">
        <f t="array" ref="E242">_xlfn.STDEV.S(_xlfn._xlws.FILTER(C:C,B:B=B242))</f>
        <v>14.202615453298934</v>
      </c>
      <c r="F242" s="61">
        <f t="shared" si="19"/>
        <v>-8.8338023351692954</v>
      </c>
      <c r="G242" s="61">
        <f t="shared" si="20"/>
        <v>47.976659478026441</v>
      </c>
      <c r="H242" s="61">
        <f t="shared" si="18"/>
        <v>0.52304249544726944</v>
      </c>
      <c r="I242" s="28" t="str">
        <f t="shared" si="21"/>
        <v>Normal</v>
      </c>
      <c r="J242" s="49">
        <f t="shared" si="22"/>
        <v>27</v>
      </c>
      <c r="K242" s="49" t="e">
        <f t="shared" si="23"/>
        <v>#N/A</v>
      </c>
    </row>
    <row r="243" spans="1:11">
      <c r="A243" s="74">
        <v>40554</v>
      </c>
      <c r="B243" s="75">
        <v>7</v>
      </c>
      <c r="C243" s="73">
        <v>99</v>
      </c>
      <c r="D243" s="72" cm="1">
        <f t="array" ref="D243">AVERAGE(_xlfn._xlws.FILTER(C:C,B:B=B243))</f>
        <v>54.395348837209305</v>
      </c>
      <c r="E243" s="61" cm="1">
        <f t="array" ref="E243">_xlfn.STDEV.S(_xlfn._xlws.FILTER(C:C,B:B=B243))</f>
        <v>39.112864486352777</v>
      </c>
      <c r="F243" s="61">
        <f t="shared" si="19"/>
        <v>-23.830380135496249</v>
      </c>
      <c r="G243" s="61">
        <f t="shared" si="20"/>
        <v>132.62107780991485</v>
      </c>
      <c r="H243" s="61">
        <f t="shared" si="18"/>
        <v>1.1404087056409307</v>
      </c>
      <c r="I243" s="28" t="str">
        <f t="shared" si="21"/>
        <v>Normal</v>
      </c>
      <c r="J243" s="49">
        <f t="shared" si="22"/>
        <v>99</v>
      </c>
      <c r="K243" s="49" t="e">
        <f t="shared" si="23"/>
        <v>#N/A</v>
      </c>
    </row>
    <row r="244" spans="1:11">
      <c r="A244" s="74">
        <v>40554</v>
      </c>
      <c r="B244" s="75">
        <v>8</v>
      </c>
      <c r="C244" s="73">
        <v>217</v>
      </c>
      <c r="D244" s="72" cm="1">
        <f t="array" ref="D244">AVERAGE(_xlfn._xlws.FILTER(C:C,B:B=B244))</f>
        <v>128.28571428571428</v>
      </c>
      <c r="E244" s="61" cm="1">
        <f t="array" ref="E244">_xlfn.STDEV.S(_xlfn._xlws.FILTER(C:C,B:B=B244))</f>
        <v>88.551565717048547</v>
      </c>
      <c r="F244" s="61">
        <f t="shared" si="19"/>
        <v>-48.817417148382816</v>
      </c>
      <c r="G244" s="61">
        <f t="shared" si="20"/>
        <v>305.38884571981134</v>
      </c>
      <c r="H244" s="61">
        <f t="shared" si="18"/>
        <v>1.0018375733497149</v>
      </c>
      <c r="I244" s="28" t="str">
        <f t="shared" si="21"/>
        <v>Normal</v>
      </c>
      <c r="J244" s="49">
        <f t="shared" si="22"/>
        <v>217</v>
      </c>
      <c r="K244" s="49" t="e">
        <f t="shared" si="23"/>
        <v>#N/A</v>
      </c>
    </row>
    <row r="245" spans="1:11">
      <c r="A245" s="74">
        <v>40554</v>
      </c>
      <c r="B245" s="75">
        <v>9</v>
      </c>
      <c r="C245" s="73">
        <v>130</v>
      </c>
      <c r="D245" s="72" cm="1">
        <f t="array" ref="D245">AVERAGE(_xlfn._xlws.FILTER(C:C,B:B=B245))</f>
        <v>87.428571428571431</v>
      </c>
      <c r="E245" s="61" cm="1">
        <f t="array" ref="E245">_xlfn.STDEV.S(_xlfn._xlws.FILTER(C:C,B:B=B245))</f>
        <v>45.93852884078624</v>
      </c>
      <c r="F245" s="61">
        <f t="shared" si="19"/>
        <v>-4.4484862530010503</v>
      </c>
      <c r="G245" s="61">
        <f t="shared" si="20"/>
        <v>179.30562911014391</v>
      </c>
      <c r="H245" s="61">
        <f t="shared" si="18"/>
        <v>0.92670422074186642</v>
      </c>
      <c r="I245" s="28" t="str">
        <f t="shared" si="21"/>
        <v>Normal</v>
      </c>
      <c r="J245" s="49">
        <f t="shared" si="22"/>
        <v>130</v>
      </c>
      <c r="K245" s="49" t="e">
        <f t="shared" si="23"/>
        <v>#N/A</v>
      </c>
    </row>
    <row r="246" spans="1:11">
      <c r="A246" s="74">
        <v>40554</v>
      </c>
      <c r="B246" s="75">
        <v>10</v>
      </c>
      <c r="C246" s="73">
        <v>54</v>
      </c>
      <c r="D246" s="72" cm="1">
        <f t="array" ref="D246">AVERAGE(_xlfn._xlws.FILTER(C:C,B:B=B246))</f>
        <v>53.642857142857146</v>
      </c>
      <c r="E246" s="61" cm="1">
        <f t="array" ref="E246">_xlfn.STDEV.S(_xlfn._xlws.FILTER(C:C,B:B=B246))</f>
        <v>15.395313554536934</v>
      </c>
      <c r="F246" s="61">
        <f t="shared" si="19"/>
        <v>22.852230033783279</v>
      </c>
      <c r="G246" s="61">
        <f t="shared" si="20"/>
        <v>84.43348425193102</v>
      </c>
      <c r="H246" s="61">
        <f t="shared" si="18"/>
        <v>2.319815415760763E-2</v>
      </c>
      <c r="I246" s="28" t="str">
        <f t="shared" si="21"/>
        <v>Normal</v>
      </c>
      <c r="J246" s="49">
        <f t="shared" si="22"/>
        <v>54</v>
      </c>
      <c r="K246" s="49" t="e">
        <f t="shared" si="23"/>
        <v>#N/A</v>
      </c>
    </row>
    <row r="247" spans="1:11">
      <c r="A247" s="74">
        <v>40554</v>
      </c>
      <c r="B247" s="75">
        <v>11</v>
      </c>
      <c r="C247" s="73">
        <v>35</v>
      </c>
      <c r="D247" s="72" cm="1">
        <f t="array" ref="D247">AVERAGE(_xlfn._xlws.FILTER(C:C,B:B=B247))</f>
        <v>59.38095238095238</v>
      </c>
      <c r="E247" s="61" cm="1">
        <f t="array" ref="E247">_xlfn.STDEV.S(_xlfn._xlws.FILTER(C:C,B:B=B247))</f>
        <v>20.89573696860419</v>
      </c>
      <c r="F247" s="61">
        <f t="shared" si="19"/>
        <v>17.589478443743999</v>
      </c>
      <c r="G247" s="61">
        <f t="shared" si="20"/>
        <v>101.17242631816076</v>
      </c>
      <c r="H247" s="61">
        <f t="shared" si="18"/>
        <v>-1.1667907390672423</v>
      </c>
      <c r="I247" s="28" t="str">
        <f t="shared" si="21"/>
        <v>Normal</v>
      </c>
      <c r="J247" s="49">
        <f t="shared" si="22"/>
        <v>35</v>
      </c>
      <c r="K247" s="49" t="e">
        <f t="shared" si="23"/>
        <v>#N/A</v>
      </c>
    </row>
    <row r="248" spans="1:11">
      <c r="A248" s="74">
        <v>40554</v>
      </c>
      <c r="B248" s="75">
        <v>12</v>
      </c>
      <c r="C248" s="73">
        <v>57</v>
      </c>
      <c r="D248" s="72" cm="1">
        <f t="array" ref="D248">AVERAGE(_xlfn._xlws.FILTER(C:C,B:B=B248))</f>
        <v>76.348837209302332</v>
      </c>
      <c r="E248" s="61" cm="1">
        <f t="array" ref="E248">_xlfn.STDEV.S(_xlfn._xlws.FILTER(C:C,B:B=B248))</f>
        <v>29.034366927857054</v>
      </c>
      <c r="F248" s="61">
        <f t="shared" si="19"/>
        <v>18.280103353588224</v>
      </c>
      <c r="G248" s="61">
        <f t="shared" si="20"/>
        <v>134.41757106501643</v>
      </c>
      <c r="H248" s="61">
        <f t="shared" si="18"/>
        <v>-0.66641154110159262</v>
      </c>
      <c r="I248" s="28" t="str">
        <f t="shared" si="21"/>
        <v>Normal</v>
      </c>
      <c r="J248" s="49">
        <f t="shared" si="22"/>
        <v>57</v>
      </c>
      <c r="K248" s="49" t="e">
        <f t="shared" si="23"/>
        <v>#N/A</v>
      </c>
    </row>
    <row r="249" spans="1:11">
      <c r="A249" s="74">
        <v>40554</v>
      </c>
      <c r="B249" s="75">
        <v>13</v>
      </c>
      <c r="C249" s="73">
        <v>52</v>
      </c>
      <c r="D249" s="72" cm="1">
        <f t="array" ref="D249">AVERAGE(_xlfn._xlws.FILTER(C:C,B:B=B249))</f>
        <v>78.511627906976742</v>
      </c>
      <c r="E249" s="61" cm="1">
        <f t="array" ref="E249">_xlfn.STDEV.S(_xlfn._xlws.FILTER(C:C,B:B=B249))</f>
        <v>30.072430098825187</v>
      </c>
      <c r="F249" s="61">
        <f t="shared" si="19"/>
        <v>18.366767709326368</v>
      </c>
      <c r="G249" s="61">
        <f t="shared" si="20"/>
        <v>138.6564881046271</v>
      </c>
      <c r="H249" s="61">
        <f t="shared" si="18"/>
        <v>-0.88159246924352974</v>
      </c>
      <c r="I249" s="28" t="str">
        <f t="shared" si="21"/>
        <v>Normal</v>
      </c>
      <c r="J249" s="49">
        <f t="shared" si="22"/>
        <v>52</v>
      </c>
      <c r="K249" s="49" t="e">
        <f t="shared" si="23"/>
        <v>#N/A</v>
      </c>
    </row>
    <row r="250" spans="1:11">
      <c r="A250" s="74">
        <v>40554</v>
      </c>
      <c r="B250" s="75">
        <v>14</v>
      </c>
      <c r="C250" s="73">
        <v>63</v>
      </c>
      <c r="D250" s="72" cm="1">
        <f t="array" ref="D250">AVERAGE(_xlfn._xlws.FILTER(C:C,B:B=B250))</f>
        <v>74.418604651162795</v>
      </c>
      <c r="E250" s="61" cm="1">
        <f t="array" ref="E250">_xlfn.STDEV.S(_xlfn._xlws.FILTER(C:C,B:B=B250))</f>
        <v>30.30576918056515</v>
      </c>
      <c r="F250" s="61">
        <f t="shared" si="19"/>
        <v>13.807066290032495</v>
      </c>
      <c r="G250" s="61">
        <f t="shared" si="20"/>
        <v>135.03014301229308</v>
      </c>
      <c r="H250" s="61">
        <f t="shared" si="18"/>
        <v>-0.37677989900634024</v>
      </c>
      <c r="I250" s="28" t="str">
        <f t="shared" si="21"/>
        <v>Normal</v>
      </c>
      <c r="J250" s="49">
        <f t="shared" si="22"/>
        <v>63</v>
      </c>
      <c r="K250" s="49" t="e">
        <f t="shared" si="23"/>
        <v>#N/A</v>
      </c>
    </row>
    <row r="251" spans="1:11">
      <c r="A251" s="74">
        <v>40554</v>
      </c>
      <c r="B251" s="75">
        <v>15</v>
      </c>
      <c r="C251" s="73">
        <v>47</v>
      </c>
      <c r="D251" s="72" cm="1">
        <f t="array" ref="D251">AVERAGE(_xlfn._xlws.FILTER(C:C,B:B=B251))</f>
        <v>77.95348837209302</v>
      </c>
      <c r="E251" s="61" cm="1">
        <f t="array" ref="E251">_xlfn.STDEV.S(_xlfn._xlws.FILTER(C:C,B:B=B251))</f>
        <v>34.481156681772681</v>
      </c>
      <c r="F251" s="61">
        <f t="shared" si="19"/>
        <v>8.9911750085476569</v>
      </c>
      <c r="G251" s="61">
        <f t="shared" si="20"/>
        <v>146.91580173563838</v>
      </c>
      <c r="H251" s="61">
        <f t="shared" si="18"/>
        <v>-0.89769286621569611</v>
      </c>
      <c r="I251" s="28" t="str">
        <f t="shared" si="21"/>
        <v>Normal</v>
      </c>
      <c r="J251" s="49">
        <f t="shared" si="22"/>
        <v>47</v>
      </c>
      <c r="K251" s="49" t="e">
        <f t="shared" si="23"/>
        <v>#N/A</v>
      </c>
    </row>
    <row r="252" spans="1:11">
      <c r="A252" s="74">
        <v>40554</v>
      </c>
      <c r="B252" s="75">
        <v>16</v>
      </c>
      <c r="C252" s="73">
        <v>76</v>
      </c>
      <c r="D252" s="72" cm="1">
        <f t="array" ref="D252">AVERAGE(_xlfn._xlws.FILTER(C:C,B:B=B252))</f>
        <v>89.272727272727266</v>
      </c>
      <c r="E252" s="61" cm="1">
        <f t="array" ref="E252">_xlfn.STDEV.S(_xlfn._xlws.FILTER(C:C,B:B=B252))</f>
        <v>25.461657115880758</v>
      </c>
      <c r="F252" s="61">
        <f t="shared" si="19"/>
        <v>38.34941304096575</v>
      </c>
      <c r="G252" s="61">
        <f t="shared" si="20"/>
        <v>140.19604150448879</v>
      </c>
      <c r="H252" s="61">
        <f t="shared" si="18"/>
        <v>-0.52128293191289965</v>
      </c>
      <c r="I252" s="28" t="str">
        <f t="shared" si="21"/>
        <v>Normal</v>
      </c>
      <c r="J252" s="49">
        <f t="shared" si="22"/>
        <v>76</v>
      </c>
      <c r="K252" s="49" t="e">
        <f t="shared" si="23"/>
        <v>#N/A</v>
      </c>
    </row>
    <row r="253" spans="1:11">
      <c r="A253" s="74">
        <v>40554</v>
      </c>
      <c r="B253" s="75">
        <v>17</v>
      </c>
      <c r="C253" s="73">
        <v>136</v>
      </c>
      <c r="D253" s="72" cm="1">
        <f t="array" ref="D253">AVERAGE(_xlfn._xlws.FILTER(C:C,B:B=B253))</f>
        <v>140.20454545454547</v>
      </c>
      <c r="E253" s="61" cm="1">
        <f t="array" ref="E253">_xlfn.STDEV.S(_xlfn._xlws.FILTER(C:C,B:B=B253))</f>
        <v>54.067391000084555</v>
      </c>
      <c r="F253" s="61">
        <f t="shared" si="19"/>
        <v>32.069763454376357</v>
      </c>
      <c r="G253" s="61">
        <f t="shared" si="20"/>
        <v>248.33932745471458</v>
      </c>
      <c r="H253" s="61">
        <f t="shared" si="18"/>
        <v>-7.7764903702101915E-2</v>
      </c>
      <c r="I253" s="28" t="str">
        <f t="shared" si="21"/>
        <v>Normal</v>
      </c>
      <c r="J253" s="49">
        <f t="shared" si="22"/>
        <v>136</v>
      </c>
      <c r="K253" s="49" t="e">
        <f t="shared" si="23"/>
        <v>#N/A</v>
      </c>
    </row>
    <row r="254" spans="1:11">
      <c r="A254" s="74">
        <v>40554</v>
      </c>
      <c r="B254" s="75">
        <v>18</v>
      </c>
      <c r="C254" s="73">
        <v>95</v>
      </c>
      <c r="D254" s="72" cm="1">
        <f t="array" ref="D254">AVERAGE(_xlfn._xlws.FILTER(C:C,B:B=B254))</f>
        <v>122.86046511627907</v>
      </c>
      <c r="E254" s="61" cm="1">
        <f t="array" ref="E254">_xlfn.STDEV.S(_xlfn._xlws.FILTER(C:C,B:B=B254))</f>
        <v>48.613432101949932</v>
      </c>
      <c r="F254" s="61">
        <f t="shared" si="19"/>
        <v>25.633600912379208</v>
      </c>
      <c r="G254" s="61">
        <f t="shared" si="20"/>
        <v>220.08732932017892</v>
      </c>
      <c r="H254" s="61">
        <f t="shared" si="18"/>
        <v>-0.57310220471270867</v>
      </c>
      <c r="I254" s="28" t="str">
        <f t="shared" si="21"/>
        <v>Normal</v>
      </c>
      <c r="J254" s="49">
        <f t="shared" si="22"/>
        <v>95</v>
      </c>
      <c r="K254" s="49" t="e">
        <f t="shared" si="23"/>
        <v>#N/A</v>
      </c>
    </row>
    <row r="255" spans="1:11">
      <c r="A255" s="74">
        <v>40554</v>
      </c>
      <c r="B255" s="75">
        <v>19</v>
      </c>
      <c r="C255" s="73">
        <v>51</v>
      </c>
      <c r="D255" s="72" cm="1">
        <f t="array" ref="D255">AVERAGE(_xlfn._xlws.FILTER(C:C,B:B=B255))</f>
        <v>85.139534883720927</v>
      </c>
      <c r="E255" s="61" cm="1">
        <f t="array" ref="E255">_xlfn.STDEV.S(_xlfn._xlws.FILTER(C:C,B:B=B255))</f>
        <v>31.690904054294752</v>
      </c>
      <c r="F255" s="61">
        <f t="shared" si="19"/>
        <v>21.757726775131424</v>
      </c>
      <c r="G255" s="61">
        <f t="shared" si="20"/>
        <v>148.52134299231042</v>
      </c>
      <c r="H255" s="61">
        <f t="shared" si="18"/>
        <v>-1.0772660453368903</v>
      </c>
      <c r="I255" s="28" t="str">
        <f t="shared" si="21"/>
        <v>Normal</v>
      </c>
      <c r="J255" s="49">
        <f t="shared" si="22"/>
        <v>51</v>
      </c>
      <c r="K255" s="49" t="e">
        <f t="shared" si="23"/>
        <v>#N/A</v>
      </c>
    </row>
    <row r="256" spans="1:11">
      <c r="A256" s="74">
        <v>40554</v>
      </c>
      <c r="B256" s="75">
        <v>20</v>
      </c>
      <c r="C256" s="73">
        <v>32</v>
      </c>
      <c r="D256" s="72" cm="1">
        <f t="array" ref="D256">AVERAGE(_xlfn._xlws.FILTER(C:C,B:B=B256))</f>
        <v>61.767441860465119</v>
      </c>
      <c r="E256" s="61" cm="1">
        <f t="array" ref="E256">_xlfn.STDEV.S(_xlfn._xlws.FILTER(C:C,B:B=B256))</f>
        <v>24.632380169685593</v>
      </c>
      <c r="F256" s="61">
        <f t="shared" si="19"/>
        <v>12.502681521093933</v>
      </c>
      <c r="G256" s="61">
        <f t="shared" si="20"/>
        <v>111.03220219983631</v>
      </c>
      <c r="H256" s="61">
        <f t="shared" si="18"/>
        <v>-1.2084679456636152</v>
      </c>
      <c r="I256" s="28" t="str">
        <f t="shared" si="21"/>
        <v>Normal</v>
      </c>
      <c r="J256" s="49">
        <f t="shared" si="22"/>
        <v>32</v>
      </c>
      <c r="K256" s="49" t="e">
        <f t="shared" si="23"/>
        <v>#N/A</v>
      </c>
    </row>
    <row r="257" spans="1:11">
      <c r="A257" s="74">
        <v>40554</v>
      </c>
      <c r="B257" s="75">
        <v>21</v>
      </c>
      <c r="C257" s="73">
        <v>20</v>
      </c>
      <c r="D257" s="72" cm="1">
        <f t="array" ref="D257">AVERAGE(_xlfn._xlws.FILTER(C:C,B:B=B257))</f>
        <v>46.418604651162788</v>
      </c>
      <c r="E257" s="61" cm="1">
        <f t="array" ref="E257">_xlfn.STDEV.S(_xlfn._xlws.FILTER(C:C,B:B=B257))</f>
        <v>14.656759464719496</v>
      </c>
      <c r="F257" s="61">
        <f t="shared" si="19"/>
        <v>17.105085721723796</v>
      </c>
      <c r="G257" s="61">
        <f t="shared" si="20"/>
        <v>75.73212358060178</v>
      </c>
      <c r="H257" s="61">
        <f t="shared" si="18"/>
        <v>-1.8024860621309509</v>
      </c>
      <c r="I257" s="28" t="str">
        <f t="shared" si="21"/>
        <v>Normal</v>
      </c>
      <c r="J257" s="49">
        <f t="shared" si="22"/>
        <v>20</v>
      </c>
      <c r="K257" s="49" t="e">
        <f t="shared" si="23"/>
        <v>#N/A</v>
      </c>
    </row>
    <row r="258" spans="1:11">
      <c r="A258" s="74">
        <v>40554</v>
      </c>
      <c r="B258" s="75">
        <v>22</v>
      </c>
      <c r="C258" s="73">
        <v>29</v>
      </c>
      <c r="D258" s="72" cm="1">
        <f t="array" ref="D258">AVERAGE(_xlfn._xlws.FILTER(C:C,B:B=B258))</f>
        <v>35.069767441860463</v>
      </c>
      <c r="E258" s="61" cm="1">
        <f t="array" ref="E258">_xlfn.STDEV.S(_xlfn._xlws.FILTER(C:C,B:B=B258))</f>
        <v>11.95506537162667</v>
      </c>
      <c r="F258" s="61">
        <f t="shared" si="19"/>
        <v>11.159636698607123</v>
      </c>
      <c r="G258" s="61">
        <f t="shared" si="20"/>
        <v>58.979898185113804</v>
      </c>
      <c r="H258" s="61">
        <f t="shared" si="18"/>
        <v>-0.50771511933895674</v>
      </c>
      <c r="I258" s="28" t="str">
        <f t="shared" si="21"/>
        <v>Normal</v>
      </c>
      <c r="J258" s="49">
        <f t="shared" si="22"/>
        <v>29</v>
      </c>
      <c r="K258" s="49" t="e">
        <f t="shared" si="23"/>
        <v>#N/A</v>
      </c>
    </row>
    <row r="259" spans="1:11">
      <c r="A259" s="74">
        <v>40554</v>
      </c>
      <c r="B259" s="75">
        <v>23</v>
      </c>
      <c r="C259" s="73">
        <v>19</v>
      </c>
      <c r="D259" s="72" cm="1">
        <f t="array" ref="D259">AVERAGE(_xlfn._xlws.FILTER(C:C,B:B=B259))</f>
        <v>25.186046511627907</v>
      </c>
      <c r="E259" s="61" cm="1">
        <f t="array" ref="E259">_xlfn.STDEV.S(_xlfn._xlws.FILTER(C:C,B:B=B259))</f>
        <v>11.751911321656188</v>
      </c>
      <c r="F259" s="61">
        <f t="shared" si="19"/>
        <v>1.6822238683155319</v>
      </c>
      <c r="G259" s="61">
        <f t="shared" si="20"/>
        <v>48.689869154940283</v>
      </c>
      <c r="H259" s="61">
        <f t="shared" si="18"/>
        <v>-0.52638641854184043</v>
      </c>
      <c r="I259" s="28" t="str">
        <f t="shared" si="21"/>
        <v>Normal</v>
      </c>
      <c r="J259" s="49">
        <f t="shared" si="22"/>
        <v>19</v>
      </c>
      <c r="K259" s="49" t="e">
        <f t="shared" si="23"/>
        <v>#N/A</v>
      </c>
    </row>
    <row r="260" spans="1:11">
      <c r="A260" s="74">
        <v>40555</v>
      </c>
      <c r="B260" s="75">
        <v>0</v>
      </c>
      <c r="C260" s="73">
        <v>7</v>
      </c>
      <c r="D260" s="72" cm="1">
        <f t="array" ref="D260">AVERAGE(_xlfn._xlws.FILTER(C:C,B:B=B260))</f>
        <v>16.348837209302324</v>
      </c>
      <c r="E260" s="61" cm="1">
        <f t="array" ref="E260">_xlfn.STDEV.S(_xlfn._xlws.FILTER(C:C,B:B=B260))</f>
        <v>10.44232167427621</v>
      </c>
      <c r="F260" s="61">
        <f t="shared" si="19"/>
        <v>-4.535806139250095</v>
      </c>
      <c r="G260" s="61">
        <f t="shared" si="20"/>
        <v>37.233480557854747</v>
      </c>
      <c r="H260" s="61">
        <f t="shared" si="18"/>
        <v>-0.89528339586898642</v>
      </c>
      <c r="I260" s="28" t="str">
        <f t="shared" si="21"/>
        <v>Normal</v>
      </c>
      <c r="J260" s="49">
        <f t="shared" si="22"/>
        <v>7</v>
      </c>
      <c r="K260" s="49" t="e">
        <f t="shared" si="23"/>
        <v>#N/A</v>
      </c>
    </row>
    <row r="261" spans="1:11">
      <c r="A261" s="74">
        <v>40555</v>
      </c>
      <c r="B261" s="75">
        <v>1</v>
      </c>
      <c r="C261" s="73">
        <v>6</v>
      </c>
      <c r="D261" s="72" cm="1">
        <f t="array" ref="D261">AVERAGE(_xlfn._xlws.FILTER(C:C,B:B=B261))</f>
        <v>10.697674418604651</v>
      </c>
      <c r="E261" s="61" cm="1">
        <f t="array" ref="E261">_xlfn.STDEV.S(_xlfn._xlws.FILTER(C:C,B:B=B261))</f>
        <v>10.060613641515801</v>
      </c>
      <c r="F261" s="61">
        <f t="shared" si="19"/>
        <v>-9.4235528644269504</v>
      </c>
      <c r="G261" s="61">
        <f t="shared" si="20"/>
        <v>30.81890170163625</v>
      </c>
      <c r="H261" s="61">
        <f t="shared" ref="H261:H324" si="24">(C261-D261)/E261</f>
        <v>-0.4669371656634721</v>
      </c>
      <c r="I261" s="28" t="str">
        <f t="shared" si="21"/>
        <v>Normal</v>
      </c>
      <c r="J261" s="49">
        <f t="shared" si="22"/>
        <v>6</v>
      </c>
      <c r="K261" s="49" t="e">
        <f t="shared" si="23"/>
        <v>#N/A</v>
      </c>
    </row>
    <row r="262" spans="1:11">
      <c r="A262" s="74">
        <v>40555</v>
      </c>
      <c r="B262" s="75">
        <v>2</v>
      </c>
      <c r="C262" s="73">
        <v>1</v>
      </c>
      <c r="D262" s="72" cm="1">
        <f t="array" ref="D262">AVERAGE(_xlfn._xlws.FILTER(C:C,B:B=B262))</f>
        <v>7.1707317073170733</v>
      </c>
      <c r="E262" s="61" cm="1">
        <f t="array" ref="E262">_xlfn.STDEV.S(_xlfn._xlws.FILTER(C:C,B:B=B262))</f>
        <v>7.3685223723090854</v>
      </c>
      <c r="F262" s="61">
        <f t="shared" ref="F262:F325" si="25">D262-(2*E262)</f>
        <v>-7.5663130373010974</v>
      </c>
      <c r="G262" s="61">
        <f t="shared" ref="G262:G325" si="26">D262+(2*E262)</f>
        <v>21.907776451935245</v>
      </c>
      <c r="H262" s="61">
        <f t="shared" si="24"/>
        <v>-0.83744493068334691</v>
      </c>
      <c r="I262" s="28" t="str">
        <f t="shared" ref="I262:I325" si="27">IF(H262&gt;=2,"High Anomaly",IF(H262&lt;=-2,"Low Anomaly","Normal"))</f>
        <v>Normal</v>
      </c>
      <c r="J262" s="49">
        <f t="shared" ref="J262:J325" si="28">IF(I262="Normal",C262,NA())</f>
        <v>1</v>
      </c>
      <c r="K262" s="49" t="e">
        <f t="shared" ref="K262:K325" si="29">IF(I262&lt;&gt;"Normal",C262,NA())</f>
        <v>#N/A</v>
      </c>
    </row>
    <row r="263" spans="1:11">
      <c r="A263" s="74">
        <v>40555</v>
      </c>
      <c r="B263" s="75">
        <v>5</v>
      </c>
      <c r="C263" s="73">
        <v>5</v>
      </c>
      <c r="D263" s="72" cm="1">
        <f t="array" ref="D263">AVERAGE(_xlfn._xlws.FILTER(C:C,B:B=B263))</f>
        <v>4.2051282051282053</v>
      </c>
      <c r="E263" s="61" cm="1">
        <f t="array" ref="E263">_xlfn.STDEV.S(_xlfn._xlws.FILTER(C:C,B:B=B263))</f>
        <v>2.5358429220352288</v>
      </c>
      <c r="F263" s="61">
        <f t="shared" si="25"/>
        <v>-0.86655763894225224</v>
      </c>
      <c r="G263" s="61">
        <f t="shared" si="26"/>
        <v>9.2768140491986628</v>
      </c>
      <c r="H263" s="61">
        <f t="shared" si="24"/>
        <v>0.31345466549396633</v>
      </c>
      <c r="I263" s="28" t="str">
        <f t="shared" si="27"/>
        <v>Normal</v>
      </c>
      <c r="J263" s="49">
        <f t="shared" si="28"/>
        <v>5</v>
      </c>
      <c r="K263" s="49" t="e">
        <f t="shared" si="29"/>
        <v>#N/A</v>
      </c>
    </row>
    <row r="264" spans="1:11">
      <c r="A264" s="74">
        <v>40555</v>
      </c>
      <c r="B264" s="75">
        <v>6</v>
      </c>
      <c r="C264" s="73">
        <v>16</v>
      </c>
      <c r="D264" s="72" cm="1">
        <f t="array" ref="D264">AVERAGE(_xlfn._xlws.FILTER(C:C,B:B=B264))</f>
        <v>19.571428571428573</v>
      </c>
      <c r="E264" s="61" cm="1">
        <f t="array" ref="E264">_xlfn.STDEV.S(_xlfn._xlws.FILTER(C:C,B:B=B264))</f>
        <v>14.202615453298934</v>
      </c>
      <c r="F264" s="61">
        <f t="shared" si="25"/>
        <v>-8.8338023351692954</v>
      </c>
      <c r="G264" s="61">
        <f t="shared" si="26"/>
        <v>47.976659478026441</v>
      </c>
      <c r="H264" s="61">
        <f t="shared" si="24"/>
        <v>-0.25146273819580278</v>
      </c>
      <c r="I264" s="28" t="str">
        <f t="shared" si="27"/>
        <v>Normal</v>
      </c>
      <c r="J264" s="49">
        <f t="shared" si="28"/>
        <v>16</v>
      </c>
      <c r="K264" s="49" t="e">
        <f t="shared" si="29"/>
        <v>#N/A</v>
      </c>
    </row>
    <row r="265" spans="1:11">
      <c r="A265" s="74">
        <v>40555</v>
      </c>
      <c r="B265" s="75">
        <v>7</v>
      </c>
      <c r="C265" s="73">
        <v>54</v>
      </c>
      <c r="D265" s="72" cm="1">
        <f t="array" ref="D265">AVERAGE(_xlfn._xlws.FILTER(C:C,B:B=B265))</f>
        <v>54.395348837209305</v>
      </c>
      <c r="E265" s="61" cm="1">
        <f t="array" ref="E265">_xlfn.STDEV.S(_xlfn._xlws.FILTER(C:C,B:B=B265))</f>
        <v>39.112864486352777</v>
      </c>
      <c r="F265" s="61">
        <f t="shared" si="25"/>
        <v>-23.830380135496249</v>
      </c>
      <c r="G265" s="61">
        <f t="shared" si="26"/>
        <v>132.62107780991485</v>
      </c>
      <c r="H265" s="61">
        <f t="shared" si="24"/>
        <v>-1.0107897808079221E-2</v>
      </c>
      <c r="I265" s="28" t="str">
        <f t="shared" si="27"/>
        <v>Normal</v>
      </c>
      <c r="J265" s="49">
        <f t="shared" si="28"/>
        <v>54</v>
      </c>
      <c r="K265" s="49" t="e">
        <f t="shared" si="29"/>
        <v>#N/A</v>
      </c>
    </row>
    <row r="266" spans="1:11">
      <c r="A266" s="74">
        <v>40555</v>
      </c>
      <c r="B266" s="75">
        <v>8</v>
      </c>
      <c r="C266" s="73">
        <v>128</v>
      </c>
      <c r="D266" s="72" cm="1">
        <f t="array" ref="D266">AVERAGE(_xlfn._xlws.FILTER(C:C,B:B=B266))</f>
        <v>128.28571428571428</v>
      </c>
      <c r="E266" s="61" cm="1">
        <f t="array" ref="E266">_xlfn.STDEV.S(_xlfn._xlws.FILTER(C:C,B:B=B266))</f>
        <v>88.551565717048547</v>
      </c>
      <c r="F266" s="61">
        <f t="shared" si="25"/>
        <v>-48.817417148382816</v>
      </c>
      <c r="G266" s="61">
        <f t="shared" si="26"/>
        <v>305.38884571981134</v>
      </c>
      <c r="H266" s="61">
        <f t="shared" si="24"/>
        <v>-3.2265300268910992E-3</v>
      </c>
      <c r="I266" s="28" t="str">
        <f t="shared" si="27"/>
        <v>Normal</v>
      </c>
      <c r="J266" s="49">
        <f t="shared" si="28"/>
        <v>128</v>
      </c>
      <c r="K266" s="49" t="e">
        <f t="shared" si="29"/>
        <v>#N/A</v>
      </c>
    </row>
    <row r="267" spans="1:11">
      <c r="A267" s="74">
        <v>40555</v>
      </c>
      <c r="B267" s="75">
        <v>9</v>
      </c>
      <c r="C267" s="73">
        <v>81</v>
      </c>
      <c r="D267" s="72" cm="1">
        <f t="array" ref="D267">AVERAGE(_xlfn._xlws.FILTER(C:C,B:B=B267))</f>
        <v>87.428571428571431</v>
      </c>
      <c r="E267" s="61" cm="1">
        <f t="array" ref="E267">_xlfn.STDEV.S(_xlfn._xlws.FILTER(C:C,B:B=B267))</f>
        <v>45.93852884078624</v>
      </c>
      <c r="F267" s="61">
        <f t="shared" si="25"/>
        <v>-4.4484862530010503</v>
      </c>
      <c r="G267" s="61">
        <f t="shared" si="26"/>
        <v>179.30562911014391</v>
      </c>
      <c r="H267" s="61">
        <f t="shared" si="24"/>
        <v>-0.13993855682343626</v>
      </c>
      <c r="I267" s="28" t="str">
        <f t="shared" si="27"/>
        <v>Normal</v>
      </c>
      <c r="J267" s="49">
        <f t="shared" si="28"/>
        <v>81</v>
      </c>
      <c r="K267" s="49" t="e">
        <f t="shared" si="29"/>
        <v>#N/A</v>
      </c>
    </row>
    <row r="268" spans="1:11">
      <c r="A268" s="74">
        <v>40555</v>
      </c>
      <c r="B268" s="75">
        <v>10</v>
      </c>
      <c r="C268" s="73">
        <v>39</v>
      </c>
      <c r="D268" s="72" cm="1">
        <f t="array" ref="D268">AVERAGE(_xlfn._xlws.FILTER(C:C,B:B=B268))</f>
        <v>53.642857142857146</v>
      </c>
      <c r="E268" s="61" cm="1">
        <f t="array" ref="E268">_xlfn.STDEV.S(_xlfn._xlws.FILTER(C:C,B:B=B268))</f>
        <v>15.395313554536934</v>
      </c>
      <c r="F268" s="61">
        <f t="shared" si="25"/>
        <v>22.852230033783279</v>
      </c>
      <c r="G268" s="61">
        <f t="shared" si="26"/>
        <v>84.43348425193102</v>
      </c>
      <c r="H268" s="61">
        <f t="shared" si="24"/>
        <v>-0.95112432046192119</v>
      </c>
      <c r="I268" s="28" t="str">
        <f t="shared" si="27"/>
        <v>Normal</v>
      </c>
      <c r="J268" s="49">
        <f t="shared" si="28"/>
        <v>39</v>
      </c>
      <c r="K268" s="49" t="e">
        <f t="shared" si="29"/>
        <v>#N/A</v>
      </c>
    </row>
    <row r="269" spans="1:11">
      <c r="A269" s="74">
        <v>40555</v>
      </c>
      <c r="B269" s="75">
        <v>11</v>
      </c>
      <c r="C269" s="73">
        <v>35</v>
      </c>
      <c r="D269" s="72" cm="1">
        <f t="array" ref="D269">AVERAGE(_xlfn._xlws.FILTER(C:C,B:B=B269))</f>
        <v>59.38095238095238</v>
      </c>
      <c r="E269" s="61" cm="1">
        <f t="array" ref="E269">_xlfn.STDEV.S(_xlfn._xlws.FILTER(C:C,B:B=B269))</f>
        <v>20.89573696860419</v>
      </c>
      <c r="F269" s="61">
        <f t="shared" si="25"/>
        <v>17.589478443743999</v>
      </c>
      <c r="G269" s="61">
        <f t="shared" si="26"/>
        <v>101.17242631816076</v>
      </c>
      <c r="H269" s="61">
        <f t="shared" si="24"/>
        <v>-1.1667907390672423</v>
      </c>
      <c r="I269" s="28" t="str">
        <f t="shared" si="27"/>
        <v>Normal</v>
      </c>
      <c r="J269" s="49">
        <f t="shared" si="28"/>
        <v>35</v>
      </c>
      <c r="K269" s="49" t="e">
        <f t="shared" si="29"/>
        <v>#N/A</v>
      </c>
    </row>
    <row r="270" spans="1:11">
      <c r="A270" s="74">
        <v>40555</v>
      </c>
      <c r="B270" s="75">
        <v>12</v>
      </c>
      <c r="C270" s="73">
        <v>55</v>
      </c>
      <c r="D270" s="72" cm="1">
        <f t="array" ref="D270">AVERAGE(_xlfn._xlws.FILTER(C:C,B:B=B270))</f>
        <v>76.348837209302332</v>
      </c>
      <c r="E270" s="61" cm="1">
        <f t="array" ref="E270">_xlfn.STDEV.S(_xlfn._xlws.FILTER(C:C,B:B=B270))</f>
        <v>29.034366927857054</v>
      </c>
      <c r="F270" s="61">
        <f t="shared" si="25"/>
        <v>18.280103353588224</v>
      </c>
      <c r="G270" s="61">
        <f t="shared" si="26"/>
        <v>134.41757106501643</v>
      </c>
      <c r="H270" s="61">
        <f t="shared" si="24"/>
        <v>-0.73529542635968992</v>
      </c>
      <c r="I270" s="28" t="str">
        <f t="shared" si="27"/>
        <v>Normal</v>
      </c>
      <c r="J270" s="49">
        <f t="shared" si="28"/>
        <v>55</v>
      </c>
      <c r="K270" s="49" t="e">
        <f t="shared" si="29"/>
        <v>#N/A</v>
      </c>
    </row>
    <row r="271" spans="1:11">
      <c r="A271" s="74">
        <v>40555</v>
      </c>
      <c r="B271" s="75">
        <v>13</v>
      </c>
      <c r="C271" s="73">
        <v>49</v>
      </c>
      <c r="D271" s="72" cm="1">
        <f t="array" ref="D271">AVERAGE(_xlfn._xlws.FILTER(C:C,B:B=B271))</f>
        <v>78.511627906976742</v>
      </c>
      <c r="E271" s="61" cm="1">
        <f t="array" ref="E271">_xlfn.STDEV.S(_xlfn._xlws.FILTER(C:C,B:B=B271))</f>
        <v>30.072430098825187</v>
      </c>
      <c r="F271" s="61">
        <f t="shared" si="25"/>
        <v>18.366767709326368</v>
      </c>
      <c r="G271" s="61">
        <f t="shared" si="26"/>
        <v>138.6564881046271</v>
      </c>
      <c r="H271" s="61">
        <f t="shared" si="24"/>
        <v>-0.98135161707898177</v>
      </c>
      <c r="I271" s="28" t="str">
        <f t="shared" si="27"/>
        <v>Normal</v>
      </c>
      <c r="J271" s="49">
        <f t="shared" si="28"/>
        <v>49</v>
      </c>
      <c r="K271" s="49" t="e">
        <f t="shared" si="29"/>
        <v>#N/A</v>
      </c>
    </row>
    <row r="272" spans="1:11">
      <c r="A272" s="74">
        <v>40555</v>
      </c>
      <c r="B272" s="75">
        <v>14</v>
      </c>
      <c r="C272" s="73">
        <v>44</v>
      </c>
      <c r="D272" s="72" cm="1">
        <f t="array" ref="D272">AVERAGE(_xlfn._xlws.FILTER(C:C,B:B=B272))</f>
        <v>74.418604651162795</v>
      </c>
      <c r="E272" s="61" cm="1">
        <f t="array" ref="E272">_xlfn.STDEV.S(_xlfn._xlws.FILTER(C:C,B:B=B272))</f>
        <v>30.30576918056515</v>
      </c>
      <c r="F272" s="61">
        <f t="shared" si="25"/>
        <v>13.807066290032495</v>
      </c>
      <c r="G272" s="61">
        <f t="shared" si="26"/>
        <v>135.03014301229308</v>
      </c>
      <c r="H272" s="61">
        <f t="shared" si="24"/>
        <v>-1.0037232340128164</v>
      </c>
      <c r="I272" s="28" t="str">
        <f t="shared" si="27"/>
        <v>Normal</v>
      </c>
      <c r="J272" s="49">
        <f t="shared" si="28"/>
        <v>44</v>
      </c>
      <c r="K272" s="49" t="e">
        <f t="shared" si="29"/>
        <v>#N/A</v>
      </c>
    </row>
    <row r="273" spans="1:11">
      <c r="A273" s="74">
        <v>40555</v>
      </c>
      <c r="B273" s="75">
        <v>15</v>
      </c>
      <c r="C273" s="73">
        <v>49</v>
      </c>
      <c r="D273" s="72" cm="1">
        <f t="array" ref="D273">AVERAGE(_xlfn._xlws.FILTER(C:C,B:B=B273))</f>
        <v>77.95348837209302</v>
      </c>
      <c r="E273" s="61" cm="1">
        <f t="array" ref="E273">_xlfn.STDEV.S(_xlfn._xlws.FILTER(C:C,B:B=B273))</f>
        <v>34.481156681772681</v>
      </c>
      <c r="F273" s="61">
        <f t="shared" si="25"/>
        <v>8.9911750085476569</v>
      </c>
      <c r="G273" s="61">
        <f t="shared" si="26"/>
        <v>146.91580173563838</v>
      </c>
      <c r="H273" s="61">
        <f t="shared" si="24"/>
        <v>-0.83969017162925741</v>
      </c>
      <c r="I273" s="28" t="str">
        <f t="shared" si="27"/>
        <v>Normal</v>
      </c>
      <c r="J273" s="49">
        <f t="shared" si="28"/>
        <v>49</v>
      </c>
      <c r="K273" s="49" t="e">
        <f t="shared" si="29"/>
        <v>#N/A</v>
      </c>
    </row>
    <row r="274" spans="1:11">
      <c r="A274" s="74">
        <v>40555</v>
      </c>
      <c r="B274" s="75">
        <v>16</v>
      </c>
      <c r="C274" s="73">
        <v>68</v>
      </c>
      <c r="D274" s="72" cm="1">
        <f t="array" ref="D274">AVERAGE(_xlfn._xlws.FILTER(C:C,B:B=B274))</f>
        <v>89.272727272727266</v>
      </c>
      <c r="E274" s="61" cm="1">
        <f t="array" ref="E274">_xlfn.STDEV.S(_xlfn._xlws.FILTER(C:C,B:B=B274))</f>
        <v>25.461657115880758</v>
      </c>
      <c r="F274" s="61">
        <f t="shared" si="25"/>
        <v>38.34941304096575</v>
      </c>
      <c r="G274" s="61">
        <f t="shared" si="26"/>
        <v>140.19604150448879</v>
      </c>
      <c r="H274" s="61">
        <f t="shared" si="24"/>
        <v>-0.83548086347683936</v>
      </c>
      <c r="I274" s="28" t="str">
        <f t="shared" si="27"/>
        <v>Normal</v>
      </c>
      <c r="J274" s="49">
        <f t="shared" si="28"/>
        <v>68</v>
      </c>
      <c r="K274" s="49" t="e">
        <f t="shared" si="29"/>
        <v>#N/A</v>
      </c>
    </row>
    <row r="275" spans="1:11">
      <c r="A275" s="74">
        <v>40555</v>
      </c>
      <c r="B275" s="75">
        <v>17</v>
      </c>
      <c r="C275" s="73">
        <v>139</v>
      </c>
      <c r="D275" s="72" cm="1">
        <f t="array" ref="D275">AVERAGE(_xlfn._xlws.FILTER(C:C,B:B=B275))</f>
        <v>140.20454545454547</v>
      </c>
      <c r="E275" s="61" cm="1">
        <f t="array" ref="E275">_xlfn.STDEV.S(_xlfn._xlws.FILTER(C:C,B:B=B275))</f>
        <v>54.067391000084555</v>
      </c>
      <c r="F275" s="61">
        <f t="shared" si="25"/>
        <v>32.069763454376357</v>
      </c>
      <c r="G275" s="61">
        <f t="shared" si="26"/>
        <v>248.33932745471458</v>
      </c>
      <c r="H275" s="61">
        <f t="shared" si="24"/>
        <v>-2.2278594033575315E-2</v>
      </c>
      <c r="I275" s="28" t="str">
        <f t="shared" si="27"/>
        <v>Normal</v>
      </c>
      <c r="J275" s="49">
        <f t="shared" si="28"/>
        <v>139</v>
      </c>
      <c r="K275" s="49" t="e">
        <f t="shared" si="29"/>
        <v>#N/A</v>
      </c>
    </row>
    <row r="276" spans="1:11">
      <c r="A276" s="74">
        <v>40555</v>
      </c>
      <c r="B276" s="75">
        <v>18</v>
      </c>
      <c r="C276" s="73">
        <v>137</v>
      </c>
      <c r="D276" s="72" cm="1">
        <f t="array" ref="D276">AVERAGE(_xlfn._xlws.FILTER(C:C,B:B=B276))</f>
        <v>122.86046511627907</v>
      </c>
      <c r="E276" s="61" cm="1">
        <f t="array" ref="E276">_xlfn.STDEV.S(_xlfn._xlws.FILTER(C:C,B:B=B276))</f>
        <v>48.613432101949932</v>
      </c>
      <c r="F276" s="61">
        <f t="shared" si="25"/>
        <v>25.633600912379208</v>
      </c>
      <c r="G276" s="61">
        <f t="shared" si="26"/>
        <v>220.08732932017892</v>
      </c>
      <c r="H276" s="61">
        <f t="shared" si="24"/>
        <v>0.29085654462882032</v>
      </c>
      <c r="I276" s="28" t="str">
        <f t="shared" si="27"/>
        <v>Normal</v>
      </c>
      <c r="J276" s="49">
        <f t="shared" si="28"/>
        <v>137</v>
      </c>
      <c r="K276" s="49" t="e">
        <f t="shared" si="29"/>
        <v>#N/A</v>
      </c>
    </row>
    <row r="277" spans="1:11">
      <c r="A277" s="74">
        <v>40555</v>
      </c>
      <c r="B277" s="75">
        <v>19</v>
      </c>
      <c r="C277" s="73">
        <v>83</v>
      </c>
      <c r="D277" s="72" cm="1">
        <f t="array" ref="D277">AVERAGE(_xlfn._xlws.FILTER(C:C,B:B=B277))</f>
        <v>85.139534883720927</v>
      </c>
      <c r="E277" s="61" cm="1">
        <f t="array" ref="E277">_xlfn.STDEV.S(_xlfn._xlws.FILTER(C:C,B:B=B277))</f>
        <v>31.690904054294752</v>
      </c>
      <c r="F277" s="61">
        <f t="shared" si="25"/>
        <v>21.757726775131424</v>
      </c>
      <c r="G277" s="61">
        <f t="shared" si="26"/>
        <v>148.52134299231042</v>
      </c>
      <c r="H277" s="61">
        <f t="shared" si="24"/>
        <v>-6.7512585947543433E-2</v>
      </c>
      <c r="I277" s="28" t="str">
        <f t="shared" si="27"/>
        <v>Normal</v>
      </c>
      <c r="J277" s="49">
        <f t="shared" si="28"/>
        <v>83</v>
      </c>
      <c r="K277" s="49" t="e">
        <f t="shared" si="29"/>
        <v>#N/A</v>
      </c>
    </row>
    <row r="278" spans="1:11">
      <c r="A278" s="74">
        <v>40555</v>
      </c>
      <c r="B278" s="75">
        <v>20</v>
      </c>
      <c r="C278" s="73">
        <v>56</v>
      </c>
      <c r="D278" s="72" cm="1">
        <f t="array" ref="D278">AVERAGE(_xlfn._xlws.FILTER(C:C,B:B=B278))</f>
        <v>61.767441860465119</v>
      </c>
      <c r="E278" s="61" cm="1">
        <f t="array" ref="E278">_xlfn.STDEV.S(_xlfn._xlws.FILTER(C:C,B:B=B278))</f>
        <v>24.632380169685593</v>
      </c>
      <c r="F278" s="61">
        <f t="shared" si="25"/>
        <v>12.502681521093933</v>
      </c>
      <c r="G278" s="61">
        <f t="shared" si="26"/>
        <v>111.03220219983631</v>
      </c>
      <c r="H278" s="61">
        <f t="shared" si="24"/>
        <v>-0.23414066447232554</v>
      </c>
      <c r="I278" s="28" t="str">
        <f t="shared" si="27"/>
        <v>Normal</v>
      </c>
      <c r="J278" s="49">
        <f t="shared" si="28"/>
        <v>56</v>
      </c>
      <c r="K278" s="49" t="e">
        <f t="shared" si="29"/>
        <v>#N/A</v>
      </c>
    </row>
    <row r="279" spans="1:11">
      <c r="A279" s="74">
        <v>40555</v>
      </c>
      <c r="B279" s="75">
        <v>21</v>
      </c>
      <c r="C279" s="73">
        <v>57</v>
      </c>
      <c r="D279" s="72" cm="1">
        <f t="array" ref="D279">AVERAGE(_xlfn._xlws.FILTER(C:C,B:B=B279))</f>
        <v>46.418604651162788</v>
      </c>
      <c r="E279" s="61" cm="1">
        <f t="array" ref="E279">_xlfn.STDEV.S(_xlfn._xlws.FILTER(C:C,B:B=B279))</f>
        <v>14.656759464719496</v>
      </c>
      <c r="F279" s="61">
        <f t="shared" si="25"/>
        <v>17.105085721723796</v>
      </c>
      <c r="G279" s="61">
        <f t="shared" si="26"/>
        <v>75.73212358060178</v>
      </c>
      <c r="H279" s="61">
        <f t="shared" si="24"/>
        <v>0.72194644213871739</v>
      </c>
      <c r="I279" s="28" t="str">
        <f t="shared" si="27"/>
        <v>Normal</v>
      </c>
      <c r="J279" s="49">
        <f t="shared" si="28"/>
        <v>57</v>
      </c>
      <c r="K279" s="49" t="e">
        <f t="shared" si="29"/>
        <v>#N/A</v>
      </c>
    </row>
    <row r="280" spans="1:11">
      <c r="A280" s="74">
        <v>40555</v>
      </c>
      <c r="B280" s="75">
        <v>22</v>
      </c>
      <c r="C280" s="73">
        <v>33</v>
      </c>
      <c r="D280" s="72" cm="1">
        <f t="array" ref="D280">AVERAGE(_xlfn._xlws.FILTER(C:C,B:B=B280))</f>
        <v>35.069767441860463</v>
      </c>
      <c r="E280" s="61" cm="1">
        <f t="array" ref="E280">_xlfn.STDEV.S(_xlfn._xlws.FILTER(C:C,B:B=B280))</f>
        <v>11.95506537162667</v>
      </c>
      <c r="F280" s="61">
        <f t="shared" si="25"/>
        <v>11.159636698607123</v>
      </c>
      <c r="G280" s="61">
        <f t="shared" si="26"/>
        <v>58.979898185113804</v>
      </c>
      <c r="H280" s="61">
        <f t="shared" si="24"/>
        <v>-0.17312891042592768</v>
      </c>
      <c r="I280" s="28" t="str">
        <f t="shared" si="27"/>
        <v>Normal</v>
      </c>
      <c r="J280" s="49">
        <f t="shared" si="28"/>
        <v>33</v>
      </c>
      <c r="K280" s="49" t="e">
        <f t="shared" si="29"/>
        <v>#N/A</v>
      </c>
    </row>
    <row r="281" spans="1:11">
      <c r="A281" s="74">
        <v>40555</v>
      </c>
      <c r="B281" s="75">
        <v>23</v>
      </c>
      <c r="C281" s="73">
        <v>20</v>
      </c>
      <c r="D281" s="72" cm="1">
        <f t="array" ref="D281">AVERAGE(_xlfn._xlws.FILTER(C:C,B:B=B281))</f>
        <v>25.186046511627907</v>
      </c>
      <c r="E281" s="61" cm="1">
        <f t="array" ref="E281">_xlfn.STDEV.S(_xlfn._xlws.FILTER(C:C,B:B=B281))</f>
        <v>11.751911321656188</v>
      </c>
      <c r="F281" s="61">
        <f t="shared" si="25"/>
        <v>1.6822238683155319</v>
      </c>
      <c r="G281" s="61">
        <f t="shared" si="26"/>
        <v>48.689869154940283</v>
      </c>
      <c r="H281" s="61">
        <f t="shared" si="24"/>
        <v>-0.44129387719861063</v>
      </c>
      <c r="I281" s="28" t="str">
        <f t="shared" si="27"/>
        <v>Normal</v>
      </c>
      <c r="J281" s="49">
        <f t="shared" si="28"/>
        <v>20</v>
      </c>
      <c r="K281" s="49" t="e">
        <f t="shared" si="29"/>
        <v>#N/A</v>
      </c>
    </row>
    <row r="282" spans="1:11">
      <c r="A282" s="74">
        <v>40556</v>
      </c>
      <c r="B282" s="75">
        <v>0</v>
      </c>
      <c r="C282" s="73">
        <v>7</v>
      </c>
      <c r="D282" s="72" cm="1">
        <f t="array" ref="D282">AVERAGE(_xlfn._xlws.FILTER(C:C,B:B=B282))</f>
        <v>16.348837209302324</v>
      </c>
      <c r="E282" s="61" cm="1">
        <f t="array" ref="E282">_xlfn.STDEV.S(_xlfn._xlws.FILTER(C:C,B:B=B282))</f>
        <v>10.44232167427621</v>
      </c>
      <c r="F282" s="61">
        <f t="shared" si="25"/>
        <v>-4.535806139250095</v>
      </c>
      <c r="G282" s="61">
        <f t="shared" si="26"/>
        <v>37.233480557854747</v>
      </c>
      <c r="H282" s="61">
        <f t="shared" si="24"/>
        <v>-0.89528339586898642</v>
      </c>
      <c r="I282" s="28" t="str">
        <f t="shared" si="27"/>
        <v>Normal</v>
      </c>
      <c r="J282" s="49">
        <f t="shared" si="28"/>
        <v>7</v>
      </c>
      <c r="K282" s="49" t="e">
        <f t="shared" si="29"/>
        <v>#N/A</v>
      </c>
    </row>
    <row r="283" spans="1:11">
      <c r="A283" s="74">
        <v>40556</v>
      </c>
      <c r="B283" s="75">
        <v>1</v>
      </c>
      <c r="C283" s="73">
        <v>2</v>
      </c>
      <c r="D283" s="72" cm="1">
        <f t="array" ref="D283">AVERAGE(_xlfn._xlws.FILTER(C:C,B:B=B283))</f>
        <v>10.697674418604651</v>
      </c>
      <c r="E283" s="61" cm="1">
        <f t="array" ref="E283">_xlfn.STDEV.S(_xlfn._xlws.FILTER(C:C,B:B=B283))</f>
        <v>10.060613641515801</v>
      </c>
      <c r="F283" s="61">
        <f t="shared" si="25"/>
        <v>-9.4235528644269504</v>
      </c>
      <c r="G283" s="61">
        <f t="shared" si="26"/>
        <v>30.81890170163625</v>
      </c>
      <c r="H283" s="61">
        <f t="shared" si="24"/>
        <v>-0.86452722751553746</v>
      </c>
      <c r="I283" s="28" t="str">
        <f t="shared" si="27"/>
        <v>Normal</v>
      </c>
      <c r="J283" s="49">
        <f t="shared" si="28"/>
        <v>2</v>
      </c>
      <c r="K283" s="49" t="e">
        <f t="shared" si="29"/>
        <v>#N/A</v>
      </c>
    </row>
    <row r="284" spans="1:11">
      <c r="A284" s="74">
        <v>40556</v>
      </c>
      <c r="B284" s="75">
        <v>2</v>
      </c>
      <c r="C284" s="73">
        <v>2</v>
      </c>
      <c r="D284" s="72" cm="1">
        <f t="array" ref="D284">AVERAGE(_xlfn._xlws.FILTER(C:C,B:B=B284))</f>
        <v>7.1707317073170733</v>
      </c>
      <c r="E284" s="61" cm="1">
        <f t="array" ref="E284">_xlfn.STDEV.S(_xlfn._xlws.FILTER(C:C,B:B=B284))</f>
        <v>7.3685223723090854</v>
      </c>
      <c r="F284" s="61">
        <f t="shared" si="25"/>
        <v>-7.5663130373010974</v>
      </c>
      <c r="G284" s="61">
        <f t="shared" si="26"/>
        <v>21.907776451935245</v>
      </c>
      <c r="H284" s="61">
        <f t="shared" si="24"/>
        <v>-0.70173251108644097</v>
      </c>
      <c r="I284" s="28" t="str">
        <f t="shared" si="27"/>
        <v>Normal</v>
      </c>
      <c r="J284" s="49">
        <f t="shared" si="28"/>
        <v>2</v>
      </c>
      <c r="K284" s="49" t="e">
        <f t="shared" si="29"/>
        <v>#N/A</v>
      </c>
    </row>
    <row r="285" spans="1:11">
      <c r="A285" s="74">
        <v>40556</v>
      </c>
      <c r="B285" s="75">
        <v>3</v>
      </c>
      <c r="C285" s="73">
        <v>3</v>
      </c>
      <c r="D285" s="72" cm="1">
        <f t="array" ref="D285">AVERAGE(_xlfn._xlws.FILTER(C:C,B:B=B285))</f>
        <v>4.870967741935484</v>
      </c>
      <c r="E285" s="61" cm="1">
        <f t="array" ref="E285">_xlfn.STDEV.S(_xlfn._xlws.FILTER(C:C,B:B=B285))</f>
        <v>4.4702120418303126</v>
      </c>
      <c r="F285" s="61">
        <f t="shared" si="25"/>
        <v>-4.0694563417251413</v>
      </c>
      <c r="G285" s="61">
        <f t="shared" si="26"/>
        <v>13.811391825596109</v>
      </c>
      <c r="H285" s="61">
        <f t="shared" si="24"/>
        <v>-0.41854116190189106</v>
      </c>
      <c r="I285" s="28" t="str">
        <f t="shared" si="27"/>
        <v>Normal</v>
      </c>
      <c r="J285" s="49">
        <f t="shared" si="28"/>
        <v>3</v>
      </c>
      <c r="K285" s="49" t="e">
        <f t="shared" si="29"/>
        <v>#N/A</v>
      </c>
    </row>
    <row r="286" spans="1:11">
      <c r="A286" s="74">
        <v>40556</v>
      </c>
      <c r="B286" s="75">
        <v>4</v>
      </c>
      <c r="C286" s="73">
        <v>4</v>
      </c>
      <c r="D286" s="72" cm="1">
        <f t="array" ref="D286">AVERAGE(_xlfn._xlws.FILTER(C:C,B:B=B286))</f>
        <v>2.15625</v>
      </c>
      <c r="E286" s="61" cm="1">
        <f t="array" ref="E286">_xlfn.STDEV.S(_xlfn._xlws.FILTER(C:C,B:B=B286))</f>
        <v>1.5263148747143209</v>
      </c>
      <c r="F286" s="61">
        <f t="shared" si="25"/>
        <v>-0.89637974942864185</v>
      </c>
      <c r="G286" s="61">
        <f t="shared" si="26"/>
        <v>5.2088797494286414</v>
      </c>
      <c r="H286" s="61">
        <f t="shared" si="24"/>
        <v>1.2079748619006896</v>
      </c>
      <c r="I286" s="28" t="str">
        <f t="shared" si="27"/>
        <v>Normal</v>
      </c>
      <c r="J286" s="49">
        <f t="shared" si="28"/>
        <v>4</v>
      </c>
      <c r="K286" s="49" t="e">
        <f t="shared" si="29"/>
        <v>#N/A</v>
      </c>
    </row>
    <row r="287" spans="1:11">
      <c r="A287" s="74">
        <v>40556</v>
      </c>
      <c r="B287" s="75">
        <v>5</v>
      </c>
      <c r="C287" s="73">
        <v>3</v>
      </c>
      <c r="D287" s="72" cm="1">
        <f t="array" ref="D287">AVERAGE(_xlfn._xlws.FILTER(C:C,B:B=B287))</f>
        <v>4.2051282051282053</v>
      </c>
      <c r="E287" s="61" cm="1">
        <f t="array" ref="E287">_xlfn.STDEV.S(_xlfn._xlws.FILTER(C:C,B:B=B287))</f>
        <v>2.5358429220352288</v>
      </c>
      <c r="F287" s="61">
        <f t="shared" si="25"/>
        <v>-0.86655763894225224</v>
      </c>
      <c r="G287" s="61">
        <f t="shared" si="26"/>
        <v>9.2768140491986628</v>
      </c>
      <c r="H287" s="61">
        <f t="shared" si="24"/>
        <v>-0.47523771865214265</v>
      </c>
      <c r="I287" s="28" t="str">
        <f t="shared" si="27"/>
        <v>Normal</v>
      </c>
      <c r="J287" s="49">
        <f t="shared" si="28"/>
        <v>3</v>
      </c>
      <c r="K287" s="49" t="e">
        <f t="shared" si="29"/>
        <v>#N/A</v>
      </c>
    </row>
    <row r="288" spans="1:11">
      <c r="A288" s="74">
        <v>40556</v>
      </c>
      <c r="B288" s="75">
        <v>6</v>
      </c>
      <c r="C288" s="73">
        <v>28</v>
      </c>
      <c r="D288" s="72" cm="1">
        <f t="array" ref="D288">AVERAGE(_xlfn._xlws.FILTER(C:C,B:B=B288))</f>
        <v>19.571428571428573</v>
      </c>
      <c r="E288" s="61" cm="1">
        <f t="array" ref="E288">_xlfn.STDEV.S(_xlfn._xlws.FILTER(C:C,B:B=B288))</f>
        <v>14.202615453298934</v>
      </c>
      <c r="F288" s="61">
        <f t="shared" si="25"/>
        <v>-8.8338023351692954</v>
      </c>
      <c r="G288" s="61">
        <f t="shared" si="26"/>
        <v>47.976659478026441</v>
      </c>
      <c r="H288" s="61">
        <f t="shared" si="24"/>
        <v>0.59345206214209423</v>
      </c>
      <c r="I288" s="28" t="str">
        <f t="shared" si="27"/>
        <v>Normal</v>
      </c>
      <c r="J288" s="49">
        <f t="shared" si="28"/>
        <v>28</v>
      </c>
      <c r="K288" s="49" t="e">
        <f t="shared" si="29"/>
        <v>#N/A</v>
      </c>
    </row>
    <row r="289" spans="1:11">
      <c r="A289" s="74">
        <v>40556</v>
      </c>
      <c r="B289" s="75">
        <v>7</v>
      </c>
      <c r="C289" s="73">
        <v>72</v>
      </c>
      <c r="D289" s="72" cm="1">
        <f t="array" ref="D289">AVERAGE(_xlfn._xlws.FILTER(C:C,B:B=B289))</f>
        <v>54.395348837209305</v>
      </c>
      <c r="E289" s="61" cm="1">
        <f t="array" ref="E289">_xlfn.STDEV.S(_xlfn._xlws.FILTER(C:C,B:B=B289))</f>
        <v>39.112864486352777</v>
      </c>
      <c r="F289" s="61">
        <f t="shared" si="25"/>
        <v>-23.830380135496249</v>
      </c>
      <c r="G289" s="61">
        <f t="shared" si="26"/>
        <v>132.62107780991485</v>
      </c>
      <c r="H289" s="61">
        <f t="shared" si="24"/>
        <v>0.45009874357152474</v>
      </c>
      <c r="I289" s="28" t="str">
        <f t="shared" si="27"/>
        <v>Normal</v>
      </c>
      <c r="J289" s="49">
        <f t="shared" si="28"/>
        <v>72</v>
      </c>
      <c r="K289" s="49" t="e">
        <f t="shared" si="29"/>
        <v>#N/A</v>
      </c>
    </row>
    <row r="290" spans="1:11">
      <c r="A290" s="74">
        <v>40556</v>
      </c>
      <c r="B290" s="75">
        <v>8</v>
      </c>
      <c r="C290" s="73">
        <v>202</v>
      </c>
      <c r="D290" s="72" cm="1">
        <f t="array" ref="D290">AVERAGE(_xlfn._xlws.FILTER(C:C,B:B=B290))</f>
        <v>128.28571428571428</v>
      </c>
      <c r="E290" s="61" cm="1">
        <f t="array" ref="E290">_xlfn.STDEV.S(_xlfn._xlws.FILTER(C:C,B:B=B290))</f>
        <v>88.551565717048547</v>
      </c>
      <c r="F290" s="61">
        <f t="shared" si="25"/>
        <v>-48.817417148382816</v>
      </c>
      <c r="G290" s="61">
        <f t="shared" si="26"/>
        <v>305.38884571981134</v>
      </c>
      <c r="H290" s="61">
        <f t="shared" si="24"/>
        <v>0.83244474693792736</v>
      </c>
      <c r="I290" s="28" t="str">
        <f t="shared" si="27"/>
        <v>Normal</v>
      </c>
      <c r="J290" s="49">
        <f t="shared" si="28"/>
        <v>202</v>
      </c>
      <c r="K290" s="49" t="e">
        <f t="shared" si="29"/>
        <v>#N/A</v>
      </c>
    </row>
    <row r="291" spans="1:11">
      <c r="A291" s="74">
        <v>40556</v>
      </c>
      <c r="B291" s="75">
        <v>9</v>
      </c>
      <c r="C291" s="73">
        <v>139</v>
      </c>
      <c r="D291" s="72" cm="1">
        <f t="array" ref="D291">AVERAGE(_xlfn._xlws.FILTER(C:C,B:B=B291))</f>
        <v>87.428571428571431</v>
      </c>
      <c r="E291" s="61" cm="1">
        <f t="array" ref="E291">_xlfn.STDEV.S(_xlfn._xlws.FILTER(C:C,B:B=B291))</f>
        <v>45.93852884078624</v>
      </c>
      <c r="F291" s="61">
        <f t="shared" si="25"/>
        <v>-4.4484862530010503</v>
      </c>
      <c r="G291" s="61">
        <f t="shared" si="26"/>
        <v>179.30562911014391</v>
      </c>
      <c r="H291" s="61">
        <f t="shared" si="24"/>
        <v>1.1226182002946772</v>
      </c>
      <c r="I291" s="28" t="str">
        <f t="shared" si="27"/>
        <v>Normal</v>
      </c>
      <c r="J291" s="49">
        <f t="shared" si="28"/>
        <v>139</v>
      </c>
      <c r="K291" s="49" t="e">
        <f t="shared" si="29"/>
        <v>#N/A</v>
      </c>
    </row>
    <row r="292" spans="1:11">
      <c r="A292" s="74">
        <v>40556</v>
      </c>
      <c r="B292" s="75">
        <v>10</v>
      </c>
      <c r="C292" s="73">
        <v>38</v>
      </c>
      <c r="D292" s="72" cm="1">
        <f t="array" ref="D292">AVERAGE(_xlfn._xlws.FILTER(C:C,B:B=B292))</f>
        <v>53.642857142857146</v>
      </c>
      <c r="E292" s="61" cm="1">
        <f t="array" ref="E292">_xlfn.STDEV.S(_xlfn._xlws.FILTER(C:C,B:B=B292))</f>
        <v>15.395313554536934</v>
      </c>
      <c r="F292" s="61">
        <f t="shared" si="25"/>
        <v>22.852230033783279</v>
      </c>
      <c r="G292" s="61">
        <f t="shared" si="26"/>
        <v>84.43348425193102</v>
      </c>
      <c r="H292" s="61">
        <f t="shared" si="24"/>
        <v>-1.0160791521032231</v>
      </c>
      <c r="I292" s="28" t="str">
        <f t="shared" si="27"/>
        <v>Normal</v>
      </c>
      <c r="J292" s="49">
        <f t="shared" si="28"/>
        <v>38</v>
      </c>
      <c r="K292" s="49" t="e">
        <f t="shared" si="29"/>
        <v>#N/A</v>
      </c>
    </row>
    <row r="293" spans="1:11">
      <c r="A293" s="74">
        <v>40556</v>
      </c>
      <c r="B293" s="75">
        <v>11</v>
      </c>
      <c r="C293" s="73">
        <v>37</v>
      </c>
      <c r="D293" s="72" cm="1">
        <f t="array" ref="D293">AVERAGE(_xlfn._xlws.FILTER(C:C,B:B=B293))</f>
        <v>59.38095238095238</v>
      </c>
      <c r="E293" s="61" cm="1">
        <f t="array" ref="E293">_xlfn.STDEV.S(_xlfn._xlws.FILTER(C:C,B:B=B293))</f>
        <v>20.89573696860419</v>
      </c>
      <c r="F293" s="61">
        <f t="shared" si="25"/>
        <v>17.589478443743999</v>
      </c>
      <c r="G293" s="61">
        <f t="shared" si="26"/>
        <v>101.17242631816076</v>
      </c>
      <c r="H293" s="61">
        <f t="shared" si="24"/>
        <v>-1.0710774362531326</v>
      </c>
      <c r="I293" s="28" t="str">
        <f t="shared" si="27"/>
        <v>Normal</v>
      </c>
      <c r="J293" s="49">
        <f t="shared" si="28"/>
        <v>37</v>
      </c>
      <c r="K293" s="49" t="e">
        <f t="shared" si="29"/>
        <v>#N/A</v>
      </c>
    </row>
    <row r="294" spans="1:11">
      <c r="A294" s="74">
        <v>40556</v>
      </c>
      <c r="B294" s="75">
        <v>12</v>
      </c>
      <c r="C294" s="73">
        <v>52</v>
      </c>
      <c r="D294" s="72" cm="1">
        <f t="array" ref="D294">AVERAGE(_xlfn._xlws.FILTER(C:C,B:B=B294))</f>
        <v>76.348837209302332</v>
      </c>
      <c r="E294" s="61" cm="1">
        <f t="array" ref="E294">_xlfn.STDEV.S(_xlfn._xlws.FILTER(C:C,B:B=B294))</f>
        <v>29.034366927857054</v>
      </c>
      <c r="F294" s="61">
        <f t="shared" si="25"/>
        <v>18.280103353588224</v>
      </c>
      <c r="G294" s="61">
        <f t="shared" si="26"/>
        <v>134.41757106501643</v>
      </c>
      <c r="H294" s="61">
        <f t="shared" si="24"/>
        <v>-0.83862125424683587</v>
      </c>
      <c r="I294" s="28" t="str">
        <f t="shared" si="27"/>
        <v>Normal</v>
      </c>
      <c r="J294" s="49">
        <f t="shared" si="28"/>
        <v>52</v>
      </c>
      <c r="K294" s="49" t="e">
        <f t="shared" si="29"/>
        <v>#N/A</v>
      </c>
    </row>
    <row r="295" spans="1:11">
      <c r="A295" s="74">
        <v>40556</v>
      </c>
      <c r="B295" s="75">
        <v>13</v>
      </c>
      <c r="C295" s="73">
        <v>83</v>
      </c>
      <c r="D295" s="72" cm="1">
        <f t="array" ref="D295">AVERAGE(_xlfn._xlws.FILTER(C:C,B:B=B295))</f>
        <v>78.511627906976742</v>
      </c>
      <c r="E295" s="61" cm="1">
        <f t="array" ref="E295">_xlfn.STDEV.S(_xlfn._xlws.FILTER(C:C,B:B=B295))</f>
        <v>30.072430098825187</v>
      </c>
      <c r="F295" s="61">
        <f t="shared" si="25"/>
        <v>18.366767709326368</v>
      </c>
      <c r="G295" s="61">
        <f t="shared" si="26"/>
        <v>138.6564881046271</v>
      </c>
      <c r="H295" s="61">
        <f t="shared" si="24"/>
        <v>0.14925205838947486</v>
      </c>
      <c r="I295" s="28" t="str">
        <f t="shared" si="27"/>
        <v>Normal</v>
      </c>
      <c r="J295" s="49">
        <f t="shared" si="28"/>
        <v>83</v>
      </c>
      <c r="K295" s="49" t="e">
        <f t="shared" si="29"/>
        <v>#N/A</v>
      </c>
    </row>
    <row r="296" spans="1:11">
      <c r="A296" s="74">
        <v>40556</v>
      </c>
      <c r="B296" s="75">
        <v>14</v>
      </c>
      <c r="C296" s="73">
        <v>42</v>
      </c>
      <c r="D296" s="72" cm="1">
        <f t="array" ref="D296">AVERAGE(_xlfn._xlws.FILTER(C:C,B:B=B296))</f>
        <v>74.418604651162795</v>
      </c>
      <c r="E296" s="61" cm="1">
        <f t="array" ref="E296">_xlfn.STDEV.S(_xlfn._xlws.FILTER(C:C,B:B=B296))</f>
        <v>30.30576918056515</v>
      </c>
      <c r="F296" s="61">
        <f t="shared" si="25"/>
        <v>13.807066290032495</v>
      </c>
      <c r="G296" s="61">
        <f t="shared" si="26"/>
        <v>135.03014301229308</v>
      </c>
      <c r="H296" s="61">
        <f t="shared" si="24"/>
        <v>-1.0697172692766561</v>
      </c>
      <c r="I296" s="28" t="str">
        <f t="shared" si="27"/>
        <v>Normal</v>
      </c>
      <c r="J296" s="49">
        <f t="shared" si="28"/>
        <v>42</v>
      </c>
      <c r="K296" s="49" t="e">
        <f t="shared" si="29"/>
        <v>#N/A</v>
      </c>
    </row>
    <row r="297" spans="1:11">
      <c r="A297" s="74">
        <v>40556</v>
      </c>
      <c r="B297" s="75">
        <v>15</v>
      </c>
      <c r="C297" s="73">
        <v>60</v>
      </c>
      <c r="D297" s="72" cm="1">
        <f t="array" ref="D297">AVERAGE(_xlfn._xlws.FILTER(C:C,B:B=B297))</f>
        <v>77.95348837209302</v>
      </c>
      <c r="E297" s="61" cm="1">
        <f t="array" ref="E297">_xlfn.STDEV.S(_xlfn._xlws.FILTER(C:C,B:B=B297))</f>
        <v>34.481156681772681</v>
      </c>
      <c r="F297" s="61">
        <f t="shared" si="25"/>
        <v>8.9911750085476569</v>
      </c>
      <c r="G297" s="61">
        <f t="shared" si="26"/>
        <v>146.91580173563838</v>
      </c>
      <c r="H297" s="61">
        <f t="shared" si="24"/>
        <v>-0.52067535140384469</v>
      </c>
      <c r="I297" s="28" t="str">
        <f t="shared" si="27"/>
        <v>Normal</v>
      </c>
      <c r="J297" s="49">
        <f t="shared" si="28"/>
        <v>60</v>
      </c>
      <c r="K297" s="49" t="e">
        <f t="shared" si="29"/>
        <v>#N/A</v>
      </c>
    </row>
    <row r="298" spans="1:11">
      <c r="A298" s="74">
        <v>40556</v>
      </c>
      <c r="B298" s="75">
        <v>16</v>
      </c>
      <c r="C298" s="73">
        <v>78</v>
      </c>
      <c r="D298" s="72" cm="1">
        <f t="array" ref="D298">AVERAGE(_xlfn._xlws.FILTER(C:C,B:B=B298))</f>
        <v>89.272727272727266</v>
      </c>
      <c r="E298" s="61" cm="1">
        <f t="array" ref="E298">_xlfn.STDEV.S(_xlfn._xlws.FILTER(C:C,B:B=B298))</f>
        <v>25.461657115880758</v>
      </c>
      <c r="F298" s="61">
        <f t="shared" si="25"/>
        <v>38.34941304096575</v>
      </c>
      <c r="G298" s="61">
        <f t="shared" si="26"/>
        <v>140.19604150448879</v>
      </c>
      <c r="H298" s="61">
        <f t="shared" si="24"/>
        <v>-0.44273344902191475</v>
      </c>
      <c r="I298" s="28" t="str">
        <f t="shared" si="27"/>
        <v>Normal</v>
      </c>
      <c r="J298" s="49">
        <f t="shared" si="28"/>
        <v>78</v>
      </c>
      <c r="K298" s="49" t="e">
        <f t="shared" si="29"/>
        <v>#N/A</v>
      </c>
    </row>
    <row r="299" spans="1:11">
      <c r="A299" s="74">
        <v>40556</v>
      </c>
      <c r="B299" s="75">
        <v>17</v>
      </c>
      <c r="C299" s="73">
        <v>162</v>
      </c>
      <c r="D299" s="72" cm="1">
        <f t="array" ref="D299">AVERAGE(_xlfn._xlws.FILTER(C:C,B:B=B299))</f>
        <v>140.20454545454547</v>
      </c>
      <c r="E299" s="61" cm="1">
        <f t="array" ref="E299">_xlfn.STDEV.S(_xlfn._xlws.FILTER(C:C,B:B=B299))</f>
        <v>54.067391000084555</v>
      </c>
      <c r="F299" s="61">
        <f t="shared" si="25"/>
        <v>32.069763454376357</v>
      </c>
      <c r="G299" s="61">
        <f t="shared" si="26"/>
        <v>248.33932745471458</v>
      </c>
      <c r="H299" s="61">
        <f t="shared" si="24"/>
        <v>0.40311644675846198</v>
      </c>
      <c r="I299" s="28" t="str">
        <f t="shared" si="27"/>
        <v>Normal</v>
      </c>
      <c r="J299" s="49">
        <f t="shared" si="28"/>
        <v>162</v>
      </c>
      <c r="K299" s="49" t="e">
        <f t="shared" si="29"/>
        <v>#N/A</v>
      </c>
    </row>
    <row r="300" spans="1:11">
      <c r="A300" s="74">
        <v>40556</v>
      </c>
      <c r="B300" s="75">
        <v>18</v>
      </c>
      <c r="C300" s="73">
        <v>144</v>
      </c>
      <c r="D300" s="72" cm="1">
        <f t="array" ref="D300">AVERAGE(_xlfn._xlws.FILTER(C:C,B:B=B300))</f>
        <v>122.86046511627907</v>
      </c>
      <c r="E300" s="61" cm="1">
        <f t="array" ref="E300">_xlfn.STDEV.S(_xlfn._xlws.FILTER(C:C,B:B=B300))</f>
        <v>48.613432101949932</v>
      </c>
      <c r="F300" s="61">
        <f t="shared" si="25"/>
        <v>25.633600912379208</v>
      </c>
      <c r="G300" s="61">
        <f t="shared" si="26"/>
        <v>220.08732932017892</v>
      </c>
      <c r="H300" s="61">
        <f t="shared" si="24"/>
        <v>0.43484966951907517</v>
      </c>
      <c r="I300" s="28" t="str">
        <f t="shared" si="27"/>
        <v>Normal</v>
      </c>
      <c r="J300" s="49">
        <f t="shared" si="28"/>
        <v>144</v>
      </c>
      <c r="K300" s="49" t="e">
        <f t="shared" si="29"/>
        <v>#N/A</v>
      </c>
    </row>
    <row r="301" spans="1:11">
      <c r="A301" s="74">
        <v>40556</v>
      </c>
      <c r="B301" s="75">
        <v>19</v>
      </c>
      <c r="C301" s="73">
        <v>99</v>
      </c>
      <c r="D301" s="72" cm="1">
        <f t="array" ref="D301">AVERAGE(_xlfn._xlws.FILTER(C:C,B:B=B301))</f>
        <v>85.139534883720927</v>
      </c>
      <c r="E301" s="61" cm="1">
        <f t="array" ref="E301">_xlfn.STDEV.S(_xlfn._xlws.FILTER(C:C,B:B=B301))</f>
        <v>31.690904054294752</v>
      </c>
      <c r="F301" s="61">
        <f t="shared" si="25"/>
        <v>21.757726775131424</v>
      </c>
      <c r="G301" s="61">
        <f t="shared" si="26"/>
        <v>148.52134299231042</v>
      </c>
      <c r="H301" s="61">
        <f t="shared" si="24"/>
        <v>0.43736414374712995</v>
      </c>
      <c r="I301" s="28" t="str">
        <f t="shared" si="27"/>
        <v>Normal</v>
      </c>
      <c r="J301" s="49">
        <f t="shared" si="28"/>
        <v>99</v>
      </c>
      <c r="K301" s="49" t="e">
        <f t="shared" si="29"/>
        <v>#N/A</v>
      </c>
    </row>
    <row r="302" spans="1:11">
      <c r="A302" s="74">
        <v>40556</v>
      </c>
      <c r="B302" s="75">
        <v>20</v>
      </c>
      <c r="C302" s="73">
        <v>64</v>
      </c>
      <c r="D302" s="72" cm="1">
        <f t="array" ref="D302">AVERAGE(_xlfn._xlws.FILTER(C:C,B:B=B302))</f>
        <v>61.767441860465119</v>
      </c>
      <c r="E302" s="61" cm="1">
        <f t="array" ref="E302">_xlfn.STDEV.S(_xlfn._xlws.FILTER(C:C,B:B=B302))</f>
        <v>24.632380169685593</v>
      </c>
      <c r="F302" s="61">
        <f t="shared" si="25"/>
        <v>12.502681521093933</v>
      </c>
      <c r="G302" s="61">
        <f t="shared" si="26"/>
        <v>111.03220219983631</v>
      </c>
      <c r="H302" s="61">
        <f t="shared" si="24"/>
        <v>9.0635095924770995E-2</v>
      </c>
      <c r="I302" s="28" t="str">
        <f t="shared" si="27"/>
        <v>Normal</v>
      </c>
      <c r="J302" s="49">
        <f t="shared" si="28"/>
        <v>64</v>
      </c>
      <c r="K302" s="49" t="e">
        <f t="shared" si="29"/>
        <v>#N/A</v>
      </c>
    </row>
    <row r="303" spans="1:11">
      <c r="A303" s="74">
        <v>40556</v>
      </c>
      <c r="B303" s="75">
        <v>21</v>
      </c>
      <c r="C303" s="73">
        <v>40</v>
      </c>
      <c r="D303" s="72" cm="1">
        <f t="array" ref="D303">AVERAGE(_xlfn._xlws.FILTER(C:C,B:B=B303))</f>
        <v>46.418604651162788</v>
      </c>
      <c r="E303" s="61" cm="1">
        <f t="array" ref="E303">_xlfn.STDEV.S(_xlfn._xlws.FILTER(C:C,B:B=B303))</f>
        <v>14.656759464719496</v>
      </c>
      <c r="F303" s="61">
        <f t="shared" si="25"/>
        <v>17.105085721723796</v>
      </c>
      <c r="G303" s="61">
        <f t="shared" si="26"/>
        <v>75.73212358060178</v>
      </c>
      <c r="H303" s="61">
        <f t="shared" si="24"/>
        <v>-0.437927951714914</v>
      </c>
      <c r="I303" s="28" t="str">
        <f t="shared" si="27"/>
        <v>Normal</v>
      </c>
      <c r="J303" s="49">
        <f t="shared" si="28"/>
        <v>40</v>
      </c>
      <c r="K303" s="49" t="e">
        <f t="shared" si="29"/>
        <v>#N/A</v>
      </c>
    </row>
    <row r="304" spans="1:11">
      <c r="A304" s="74">
        <v>40556</v>
      </c>
      <c r="B304" s="75">
        <v>22</v>
      </c>
      <c r="C304" s="73">
        <v>30</v>
      </c>
      <c r="D304" s="72" cm="1">
        <f t="array" ref="D304">AVERAGE(_xlfn._xlws.FILTER(C:C,B:B=B304))</f>
        <v>35.069767441860463</v>
      </c>
      <c r="E304" s="61" cm="1">
        <f t="array" ref="E304">_xlfn.STDEV.S(_xlfn._xlws.FILTER(C:C,B:B=B304))</f>
        <v>11.95506537162667</v>
      </c>
      <c r="F304" s="61">
        <f t="shared" si="25"/>
        <v>11.159636698607123</v>
      </c>
      <c r="G304" s="61">
        <f t="shared" si="26"/>
        <v>58.979898185113804</v>
      </c>
      <c r="H304" s="61">
        <f t="shared" si="24"/>
        <v>-0.42406856711069946</v>
      </c>
      <c r="I304" s="28" t="str">
        <f t="shared" si="27"/>
        <v>Normal</v>
      </c>
      <c r="J304" s="49">
        <f t="shared" si="28"/>
        <v>30</v>
      </c>
      <c r="K304" s="49" t="e">
        <f t="shared" si="29"/>
        <v>#N/A</v>
      </c>
    </row>
    <row r="305" spans="1:11">
      <c r="A305" s="74">
        <v>40556</v>
      </c>
      <c r="B305" s="75">
        <v>23</v>
      </c>
      <c r="C305" s="73">
        <v>15</v>
      </c>
      <c r="D305" s="72" cm="1">
        <f t="array" ref="D305">AVERAGE(_xlfn._xlws.FILTER(C:C,B:B=B305))</f>
        <v>25.186046511627907</v>
      </c>
      <c r="E305" s="61" cm="1">
        <f t="array" ref="E305">_xlfn.STDEV.S(_xlfn._xlws.FILTER(C:C,B:B=B305))</f>
        <v>11.751911321656188</v>
      </c>
      <c r="F305" s="61">
        <f t="shared" si="25"/>
        <v>1.6822238683155319</v>
      </c>
      <c r="G305" s="61">
        <f t="shared" si="26"/>
        <v>48.689869154940283</v>
      </c>
      <c r="H305" s="61">
        <f t="shared" si="24"/>
        <v>-0.86675658391475985</v>
      </c>
      <c r="I305" s="28" t="str">
        <f t="shared" si="27"/>
        <v>Normal</v>
      </c>
      <c r="J305" s="49">
        <f t="shared" si="28"/>
        <v>15</v>
      </c>
      <c r="K305" s="49" t="e">
        <f t="shared" si="29"/>
        <v>#N/A</v>
      </c>
    </row>
    <row r="306" spans="1:11">
      <c r="A306" s="74">
        <v>40557</v>
      </c>
      <c r="B306" s="75">
        <v>0</v>
      </c>
      <c r="C306" s="73">
        <v>14</v>
      </c>
      <c r="D306" s="72" cm="1">
        <f t="array" ref="D306">AVERAGE(_xlfn._xlws.FILTER(C:C,B:B=B306))</f>
        <v>16.348837209302324</v>
      </c>
      <c r="E306" s="61" cm="1">
        <f t="array" ref="E306">_xlfn.STDEV.S(_xlfn._xlws.FILTER(C:C,B:B=B306))</f>
        <v>10.44232167427621</v>
      </c>
      <c r="F306" s="61">
        <f t="shared" si="25"/>
        <v>-4.535806139250095</v>
      </c>
      <c r="G306" s="61">
        <f t="shared" si="26"/>
        <v>37.233480557854747</v>
      </c>
      <c r="H306" s="61">
        <f t="shared" si="24"/>
        <v>-0.22493438552927261</v>
      </c>
      <c r="I306" s="28" t="str">
        <f t="shared" si="27"/>
        <v>Normal</v>
      </c>
      <c r="J306" s="49">
        <f t="shared" si="28"/>
        <v>14</v>
      </c>
      <c r="K306" s="49" t="e">
        <f t="shared" si="29"/>
        <v>#N/A</v>
      </c>
    </row>
    <row r="307" spans="1:11">
      <c r="A307" s="74">
        <v>40557</v>
      </c>
      <c r="B307" s="75">
        <v>1</v>
      </c>
      <c r="C307" s="73">
        <v>5</v>
      </c>
      <c r="D307" s="72" cm="1">
        <f t="array" ref="D307">AVERAGE(_xlfn._xlws.FILTER(C:C,B:B=B307))</f>
        <v>10.697674418604651</v>
      </c>
      <c r="E307" s="61" cm="1">
        <f t="array" ref="E307">_xlfn.STDEV.S(_xlfn._xlws.FILTER(C:C,B:B=B307))</f>
        <v>10.060613641515801</v>
      </c>
      <c r="F307" s="61">
        <f t="shared" si="25"/>
        <v>-9.4235528644269504</v>
      </c>
      <c r="G307" s="61">
        <f t="shared" si="26"/>
        <v>30.81890170163625</v>
      </c>
      <c r="H307" s="61">
        <f t="shared" si="24"/>
        <v>-0.56633468112648844</v>
      </c>
      <c r="I307" s="28" t="str">
        <f t="shared" si="27"/>
        <v>Normal</v>
      </c>
      <c r="J307" s="49">
        <f t="shared" si="28"/>
        <v>5</v>
      </c>
      <c r="K307" s="49" t="e">
        <f t="shared" si="29"/>
        <v>#N/A</v>
      </c>
    </row>
    <row r="308" spans="1:11">
      <c r="A308" s="74">
        <v>40557</v>
      </c>
      <c r="B308" s="75">
        <v>2</v>
      </c>
      <c r="C308" s="73">
        <v>1</v>
      </c>
      <c r="D308" s="72" cm="1">
        <f t="array" ref="D308">AVERAGE(_xlfn._xlws.FILTER(C:C,B:B=B308))</f>
        <v>7.1707317073170733</v>
      </c>
      <c r="E308" s="61" cm="1">
        <f t="array" ref="E308">_xlfn.STDEV.S(_xlfn._xlws.FILTER(C:C,B:B=B308))</f>
        <v>7.3685223723090854</v>
      </c>
      <c r="F308" s="61">
        <f t="shared" si="25"/>
        <v>-7.5663130373010974</v>
      </c>
      <c r="G308" s="61">
        <f t="shared" si="26"/>
        <v>21.907776451935245</v>
      </c>
      <c r="H308" s="61">
        <f t="shared" si="24"/>
        <v>-0.83744493068334691</v>
      </c>
      <c r="I308" s="28" t="str">
        <f t="shared" si="27"/>
        <v>Normal</v>
      </c>
      <c r="J308" s="49">
        <f t="shared" si="28"/>
        <v>1</v>
      </c>
      <c r="K308" s="49" t="e">
        <f t="shared" si="29"/>
        <v>#N/A</v>
      </c>
    </row>
    <row r="309" spans="1:11">
      <c r="A309" s="74">
        <v>40557</v>
      </c>
      <c r="B309" s="75">
        <v>3</v>
      </c>
      <c r="C309" s="73">
        <v>1</v>
      </c>
      <c r="D309" s="72" cm="1">
        <f t="array" ref="D309">AVERAGE(_xlfn._xlws.FILTER(C:C,B:B=B309))</f>
        <v>4.870967741935484</v>
      </c>
      <c r="E309" s="61" cm="1">
        <f t="array" ref="E309">_xlfn.STDEV.S(_xlfn._xlws.FILTER(C:C,B:B=B309))</f>
        <v>4.4702120418303126</v>
      </c>
      <c r="F309" s="61">
        <f t="shared" si="25"/>
        <v>-4.0694563417251413</v>
      </c>
      <c r="G309" s="61">
        <f t="shared" si="26"/>
        <v>13.811391825596109</v>
      </c>
      <c r="H309" s="61">
        <f t="shared" si="24"/>
        <v>-0.86594723152115394</v>
      </c>
      <c r="I309" s="28" t="str">
        <f t="shared" si="27"/>
        <v>Normal</v>
      </c>
      <c r="J309" s="49">
        <f t="shared" si="28"/>
        <v>1</v>
      </c>
      <c r="K309" s="49" t="e">
        <f t="shared" si="29"/>
        <v>#N/A</v>
      </c>
    </row>
    <row r="310" spans="1:11">
      <c r="A310" s="74">
        <v>40557</v>
      </c>
      <c r="B310" s="75">
        <v>5</v>
      </c>
      <c r="C310" s="73">
        <v>8</v>
      </c>
      <c r="D310" s="72" cm="1">
        <f t="array" ref="D310">AVERAGE(_xlfn._xlws.FILTER(C:C,B:B=B310))</f>
        <v>4.2051282051282053</v>
      </c>
      <c r="E310" s="61" cm="1">
        <f t="array" ref="E310">_xlfn.STDEV.S(_xlfn._xlws.FILTER(C:C,B:B=B310))</f>
        <v>2.5358429220352288</v>
      </c>
      <c r="F310" s="61">
        <f t="shared" si="25"/>
        <v>-0.86655763894225224</v>
      </c>
      <c r="G310" s="61">
        <f t="shared" si="26"/>
        <v>9.2768140491986628</v>
      </c>
      <c r="H310" s="61">
        <f t="shared" si="24"/>
        <v>1.4964932417131298</v>
      </c>
      <c r="I310" s="28" t="str">
        <f t="shared" si="27"/>
        <v>Normal</v>
      </c>
      <c r="J310" s="49">
        <f t="shared" si="28"/>
        <v>8</v>
      </c>
      <c r="K310" s="49" t="e">
        <f t="shared" si="29"/>
        <v>#N/A</v>
      </c>
    </row>
    <row r="311" spans="1:11">
      <c r="A311" s="74">
        <v>40557</v>
      </c>
      <c r="B311" s="75">
        <v>6</v>
      </c>
      <c r="C311" s="73">
        <v>17</v>
      </c>
      <c r="D311" s="72" cm="1">
        <f t="array" ref="D311">AVERAGE(_xlfn._xlws.FILTER(C:C,B:B=B311))</f>
        <v>19.571428571428573</v>
      </c>
      <c r="E311" s="61" cm="1">
        <f t="array" ref="E311">_xlfn.STDEV.S(_xlfn._xlws.FILTER(C:C,B:B=B311))</f>
        <v>14.202615453298934</v>
      </c>
      <c r="F311" s="61">
        <f t="shared" si="25"/>
        <v>-8.8338023351692954</v>
      </c>
      <c r="G311" s="61">
        <f t="shared" si="26"/>
        <v>47.976659478026441</v>
      </c>
      <c r="H311" s="61">
        <f t="shared" si="24"/>
        <v>-0.18105317150097805</v>
      </c>
      <c r="I311" s="28" t="str">
        <f t="shared" si="27"/>
        <v>Normal</v>
      </c>
      <c r="J311" s="49">
        <f t="shared" si="28"/>
        <v>17</v>
      </c>
      <c r="K311" s="49" t="e">
        <f t="shared" si="29"/>
        <v>#N/A</v>
      </c>
    </row>
    <row r="312" spans="1:11">
      <c r="A312" s="74">
        <v>40557</v>
      </c>
      <c r="B312" s="75">
        <v>7</v>
      </c>
      <c r="C312" s="73">
        <v>70</v>
      </c>
      <c r="D312" s="72" cm="1">
        <f t="array" ref="D312">AVERAGE(_xlfn._xlws.FILTER(C:C,B:B=B312))</f>
        <v>54.395348837209305</v>
      </c>
      <c r="E312" s="61" cm="1">
        <f t="array" ref="E312">_xlfn.STDEV.S(_xlfn._xlws.FILTER(C:C,B:B=B312))</f>
        <v>39.112864486352777</v>
      </c>
      <c r="F312" s="61">
        <f t="shared" si="25"/>
        <v>-23.830380135496249</v>
      </c>
      <c r="G312" s="61">
        <f t="shared" si="26"/>
        <v>132.62107780991485</v>
      </c>
      <c r="H312" s="61">
        <f t="shared" si="24"/>
        <v>0.39896467230712429</v>
      </c>
      <c r="I312" s="28" t="str">
        <f t="shared" si="27"/>
        <v>Normal</v>
      </c>
      <c r="J312" s="49">
        <f t="shared" si="28"/>
        <v>70</v>
      </c>
      <c r="K312" s="49" t="e">
        <f t="shared" si="29"/>
        <v>#N/A</v>
      </c>
    </row>
    <row r="313" spans="1:11">
      <c r="A313" s="74">
        <v>40557</v>
      </c>
      <c r="B313" s="75">
        <v>8</v>
      </c>
      <c r="C313" s="73">
        <v>158</v>
      </c>
      <c r="D313" s="72" cm="1">
        <f t="array" ref="D313">AVERAGE(_xlfn._xlws.FILTER(C:C,B:B=B313))</f>
        <v>128.28571428571428</v>
      </c>
      <c r="E313" s="61" cm="1">
        <f t="array" ref="E313">_xlfn.STDEV.S(_xlfn._xlws.FILTER(C:C,B:B=B313))</f>
        <v>88.551565717048547</v>
      </c>
      <c r="F313" s="61">
        <f t="shared" si="25"/>
        <v>-48.817417148382816</v>
      </c>
      <c r="G313" s="61">
        <f t="shared" si="26"/>
        <v>305.38884571981134</v>
      </c>
      <c r="H313" s="61">
        <f t="shared" si="24"/>
        <v>0.33555912279668393</v>
      </c>
      <c r="I313" s="28" t="str">
        <f t="shared" si="27"/>
        <v>Normal</v>
      </c>
      <c r="J313" s="49">
        <f t="shared" si="28"/>
        <v>158</v>
      </c>
      <c r="K313" s="49" t="e">
        <f t="shared" si="29"/>
        <v>#N/A</v>
      </c>
    </row>
    <row r="314" spans="1:11">
      <c r="A314" s="74">
        <v>40557</v>
      </c>
      <c r="B314" s="75">
        <v>9</v>
      </c>
      <c r="C314" s="73">
        <v>117</v>
      </c>
      <c r="D314" s="72" cm="1">
        <f t="array" ref="D314">AVERAGE(_xlfn._xlws.FILTER(C:C,B:B=B314))</f>
        <v>87.428571428571431</v>
      </c>
      <c r="E314" s="61" cm="1">
        <f t="array" ref="E314">_xlfn.STDEV.S(_xlfn._xlws.FILTER(C:C,B:B=B314))</f>
        <v>45.93852884078624</v>
      </c>
      <c r="F314" s="61">
        <f t="shared" si="25"/>
        <v>-4.4484862530010503</v>
      </c>
      <c r="G314" s="61">
        <f t="shared" si="26"/>
        <v>179.30562911014391</v>
      </c>
      <c r="H314" s="61">
        <f t="shared" si="24"/>
        <v>0.64371736138780655</v>
      </c>
      <c r="I314" s="28" t="str">
        <f t="shared" si="27"/>
        <v>Normal</v>
      </c>
      <c r="J314" s="49">
        <f t="shared" si="28"/>
        <v>117</v>
      </c>
      <c r="K314" s="49" t="e">
        <f t="shared" si="29"/>
        <v>#N/A</v>
      </c>
    </row>
    <row r="315" spans="1:11">
      <c r="A315" s="74">
        <v>40557</v>
      </c>
      <c r="B315" s="75">
        <v>10</v>
      </c>
      <c r="C315" s="73">
        <v>44</v>
      </c>
      <c r="D315" s="72" cm="1">
        <f t="array" ref="D315">AVERAGE(_xlfn._xlws.FILTER(C:C,B:B=B315))</f>
        <v>53.642857142857146</v>
      </c>
      <c r="E315" s="61" cm="1">
        <f t="array" ref="E315">_xlfn.STDEV.S(_xlfn._xlws.FILTER(C:C,B:B=B315))</f>
        <v>15.395313554536934</v>
      </c>
      <c r="F315" s="61">
        <f t="shared" si="25"/>
        <v>22.852230033783279</v>
      </c>
      <c r="G315" s="61">
        <f t="shared" si="26"/>
        <v>84.43348425193102</v>
      </c>
      <c r="H315" s="61">
        <f t="shared" si="24"/>
        <v>-0.62635016225541162</v>
      </c>
      <c r="I315" s="28" t="str">
        <f t="shared" si="27"/>
        <v>Normal</v>
      </c>
      <c r="J315" s="49">
        <f t="shared" si="28"/>
        <v>44</v>
      </c>
      <c r="K315" s="49" t="e">
        <f t="shared" si="29"/>
        <v>#N/A</v>
      </c>
    </row>
    <row r="316" spans="1:11">
      <c r="A316" s="74">
        <v>40557</v>
      </c>
      <c r="B316" s="75">
        <v>11</v>
      </c>
      <c r="C316" s="73">
        <v>53</v>
      </c>
      <c r="D316" s="72" cm="1">
        <f t="array" ref="D316">AVERAGE(_xlfn._xlws.FILTER(C:C,B:B=B316))</f>
        <v>59.38095238095238</v>
      </c>
      <c r="E316" s="61" cm="1">
        <f t="array" ref="E316">_xlfn.STDEV.S(_xlfn._xlws.FILTER(C:C,B:B=B316))</f>
        <v>20.89573696860419</v>
      </c>
      <c r="F316" s="61">
        <f t="shared" si="25"/>
        <v>17.589478443743999</v>
      </c>
      <c r="G316" s="61">
        <f t="shared" si="26"/>
        <v>101.17242631816076</v>
      </c>
      <c r="H316" s="61">
        <f t="shared" si="24"/>
        <v>-0.30537101374025477</v>
      </c>
      <c r="I316" s="28" t="str">
        <f t="shared" si="27"/>
        <v>Normal</v>
      </c>
      <c r="J316" s="49">
        <f t="shared" si="28"/>
        <v>53</v>
      </c>
      <c r="K316" s="49" t="e">
        <f t="shared" si="29"/>
        <v>#N/A</v>
      </c>
    </row>
    <row r="317" spans="1:11">
      <c r="A317" s="74">
        <v>40557</v>
      </c>
      <c r="B317" s="75">
        <v>12</v>
      </c>
      <c r="C317" s="73">
        <v>61</v>
      </c>
      <c r="D317" s="72" cm="1">
        <f t="array" ref="D317">AVERAGE(_xlfn._xlws.FILTER(C:C,B:B=B317))</f>
        <v>76.348837209302332</v>
      </c>
      <c r="E317" s="61" cm="1">
        <f t="array" ref="E317">_xlfn.STDEV.S(_xlfn._xlws.FILTER(C:C,B:B=B317))</f>
        <v>29.034366927857054</v>
      </c>
      <c r="F317" s="61">
        <f t="shared" si="25"/>
        <v>18.280103353588224</v>
      </c>
      <c r="G317" s="61">
        <f t="shared" si="26"/>
        <v>134.41757106501643</v>
      </c>
      <c r="H317" s="61">
        <f t="shared" si="24"/>
        <v>-0.52864377058539802</v>
      </c>
      <c r="I317" s="28" t="str">
        <f t="shared" si="27"/>
        <v>Normal</v>
      </c>
      <c r="J317" s="49">
        <f t="shared" si="28"/>
        <v>61</v>
      </c>
      <c r="K317" s="49" t="e">
        <f t="shared" si="29"/>
        <v>#N/A</v>
      </c>
    </row>
    <row r="318" spans="1:11">
      <c r="A318" s="74">
        <v>40557</v>
      </c>
      <c r="B318" s="75">
        <v>13</v>
      </c>
      <c r="C318" s="73">
        <v>77</v>
      </c>
      <c r="D318" s="72" cm="1">
        <f t="array" ref="D318">AVERAGE(_xlfn._xlws.FILTER(C:C,B:B=B318))</f>
        <v>78.511627906976742</v>
      </c>
      <c r="E318" s="61" cm="1">
        <f t="array" ref="E318">_xlfn.STDEV.S(_xlfn._xlws.FILTER(C:C,B:B=B318))</f>
        <v>30.072430098825187</v>
      </c>
      <c r="F318" s="61">
        <f t="shared" si="25"/>
        <v>18.366767709326368</v>
      </c>
      <c r="G318" s="61">
        <f t="shared" si="26"/>
        <v>138.6564881046271</v>
      </c>
      <c r="H318" s="61">
        <f t="shared" si="24"/>
        <v>-5.0266237281429246E-2</v>
      </c>
      <c r="I318" s="28" t="str">
        <f t="shared" si="27"/>
        <v>Normal</v>
      </c>
      <c r="J318" s="49">
        <f t="shared" si="28"/>
        <v>77</v>
      </c>
      <c r="K318" s="49" t="e">
        <f t="shared" si="29"/>
        <v>#N/A</v>
      </c>
    </row>
    <row r="319" spans="1:11">
      <c r="A319" s="74">
        <v>40557</v>
      </c>
      <c r="B319" s="75">
        <v>14</v>
      </c>
      <c r="C319" s="73">
        <v>64</v>
      </c>
      <c r="D319" s="72" cm="1">
        <f t="array" ref="D319">AVERAGE(_xlfn._xlws.FILTER(C:C,B:B=B319))</f>
        <v>74.418604651162795</v>
      </c>
      <c r="E319" s="61" cm="1">
        <f t="array" ref="E319">_xlfn.STDEV.S(_xlfn._xlws.FILTER(C:C,B:B=B319))</f>
        <v>30.30576918056515</v>
      </c>
      <c r="F319" s="61">
        <f t="shared" si="25"/>
        <v>13.807066290032495</v>
      </c>
      <c r="G319" s="61">
        <f t="shared" si="26"/>
        <v>135.03014301229308</v>
      </c>
      <c r="H319" s="61">
        <f t="shared" si="24"/>
        <v>-0.34378288137442042</v>
      </c>
      <c r="I319" s="28" t="str">
        <f t="shared" si="27"/>
        <v>Normal</v>
      </c>
      <c r="J319" s="49">
        <f t="shared" si="28"/>
        <v>64</v>
      </c>
      <c r="K319" s="49" t="e">
        <f t="shared" si="29"/>
        <v>#N/A</v>
      </c>
    </row>
    <row r="320" spans="1:11">
      <c r="A320" s="74">
        <v>40557</v>
      </c>
      <c r="B320" s="75">
        <v>15</v>
      </c>
      <c r="C320" s="73">
        <v>68</v>
      </c>
      <c r="D320" s="72" cm="1">
        <f t="array" ref="D320">AVERAGE(_xlfn._xlws.FILTER(C:C,B:B=B320))</f>
        <v>77.95348837209302</v>
      </c>
      <c r="E320" s="61" cm="1">
        <f t="array" ref="E320">_xlfn.STDEV.S(_xlfn._xlws.FILTER(C:C,B:B=B320))</f>
        <v>34.481156681772681</v>
      </c>
      <c r="F320" s="61">
        <f t="shared" si="25"/>
        <v>8.9911750085476569</v>
      </c>
      <c r="G320" s="61">
        <f t="shared" si="26"/>
        <v>146.91580173563838</v>
      </c>
      <c r="H320" s="61">
        <f t="shared" si="24"/>
        <v>-0.28866457305809001</v>
      </c>
      <c r="I320" s="28" t="str">
        <f t="shared" si="27"/>
        <v>Normal</v>
      </c>
      <c r="J320" s="49">
        <f t="shared" si="28"/>
        <v>68</v>
      </c>
      <c r="K320" s="49" t="e">
        <f t="shared" si="29"/>
        <v>#N/A</v>
      </c>
    </row>
    <row r="321" spans="1:11">
      <c r="A321" s="74">
        <v>40557</v>
      </c>
      <c r="B321" s="75">
        <v>16</v>
      </c>
      <c r="C321" s="73">
        <v>90</v>
      </c>
      <c r="D321" s="72" cm="1">
        <f t="array" ref="D321">AVERAGE(_xlfn._xlws.FILTER(C:C,B:B=B321))</f>
        <v>89.272727272727266</v>
      </c>
      <c r="E321" s="61" cm="1">
        <f t="array" ref="E321">_xlfn.STDEV.S(_xlfn._xlws.FILTER(C:C,B:B=B321))</f>
        <v>25.461657115880758</v>
      </c>
      <c r="F321" s="61">
        <f t="shared" si="25"/>
        <v>38.34941304096575</v>
      </c>
      <c r="G321" s="61">
        <f t="shared" si="26"/>
        <v>140.19604150448879</v>
      </c>
      <c r="H321" s="61">
        <f t="shared" si="24"/>
        <v>2.856344832399477E-2</v>
      </c>
      <c r="I321" s="28" t="str">
        <f t="shared" si="27"/>
        <v>Normal</v>
      </c>
      <c r="J321" s="49">
        <f t="shared" si="28"/>
        <v>90</v>
      </c>
      <c r="K321" s="49" t="e">
        <f t="shared" si="29"/>
        <v>#N/A</v>
      </c>
    </row>
    <row r="322" spans="1:11">
      <c r="A322" s="74">
        <v>40557</v>
      </c>
      <c r="B322" s="75">
        <v>17</v>
      </c>
      <c r="C322" s="73">
        <v>159</v>
      </c>
      <c r="D322" s="72" cm="1">
        <f t="array" ref="D322">AVERAGE(_xlfn._xlws.FILTER(C:C,B:B=B322))</f>
        <v>140.20454545454547</v>
      </c>
      <c r="E322" s="61" cm="1">
        <f t="array" ref="E322">_xlfn.STDEV.S(_xlfn._xlws.FILTER(C:C,B:B=B322))</f>
        <v>54.067391000084555</v>
      </c>
      <c r="F322" s="61">
        <f t="shared" si="25"/>
        <v>32.069763454376357</v>
      </c>
      <c r="G322" s="61">
        <f t="shared" si="26"/>
        <v>248.33932745471458</v>
      </c>
      <c r="H322" s="61">
        <f t="shared" si="24"/>
        <v>0.3476301370899354</v>
      </c>
      <c r="I322" s="28" t="str">
        <f t="shared" si="27"/>
        <v>Normal</v>
      </c>
      <c r="J322" s="49">
        <f t="shared" si="28"/>
        <v>159</v>
      </c>
      <c r="K322" s="49" t="e">
        <f t="shared" si="29"/>
        <v>#N/A</v>
      </c>
    </row>
    <row r="323" spans="1:11">
      <c r="A323" s="74">
        <v>40557</v>
      </c>
      <c r="B323" s="75">
        <v>18</v>
      </c>
      <c r="C323" s="73">
        <v>139</v>
      </c>
      <c r="D323" s="72" cm="1">
        <f t="array" ref="D323">AVERAGE(_xlfn._xlws.FILTER(C:C,B:B=B323))</f>
        <v>122.86046511627907</v>
      </c>
      <c r="E323" s="61" cm="1">
        <f t="array" ref="E323">_xlfn.STDEV.S(_xlfn._xlws.FILTER(C:C,B:B=B323))</f>
        <v>48.613432101949932</v>
      </c>
      <c r="F323" s="61">
        <f t="shared" si="25"/>
        <v>25.633600912379208</v>
      </c>
      <c r="G323" s="61">
        <f t="shared" si="26"/>
        <v>220.08732932017892</v>
      </c>
      <c r="H323" s="61">
        <f t="shared" si="24"/>
        <v>0.33199743745460741</v>
      </c>
      <c r="I323" s="28" t="str">
        <f t="shared" si="27"/>
        <v>Normal</v>
      </c>
      <c r="J323" s="49">
        <f t="shared" si="28"/>
        <v>139</v>
      </c>
      <c r="K323" s="49" t="e">
        <f t="shared" si="29"/>
        <v>#N/A</v>
      </c>
    </row>
    <row r="324" spans="1:11">
      <c r="A324" s="74">
        <v>40557</v>
      </c>
      <c r="B324" s="75">
        <v>19</v>
      </c>
      <c r="C324" s="73">
        <v>92</v>
      </c>
      <c r="D324" s="72" cm="1">
        <f t="array" ref="D324">AVERAGE(_xlfn._xlws.FILTER(C:C,B:B=B324))</f>
        <v>85.139534883720927</v>
      </c>
      <c r="E324" s="61" cm="1">
        <f t="array" ref="E324">_xlfn.STDEV.S(_xlfn._xlws.FILTER(C:C,B:B=B324))</f>
        <v>31.690904054294752</v>
      </c>
      <c r="F324" s="61">
        <f t="shared" si="25"/>
        <v>21.757726775131424</v>
      </c>
      <c r="G324" s="61">
        <f t="shared" si="26"/>
        <v>148.52134299231042</v>
      </c>
      <c r="H324" s="61">
        <f t="shared" si="24"/>
        <v>0.21648057450571034</v>
      </c>
      <c r="I324" s="28" t="str">
        <f t="shared" si="27"/>
        <v>Normal</v>
      </c>
      <c r="J324" s="49">
        <f t="shared" si="28"/>
        <v>92</v>
      </c>
      <c r="K324" s="49" t="e">
        <f t="shared" si="29"/>
        <v>#N/A</v>
      </c>
    </row>
    <row r="325" spans="1:11">
      <c r="A325" s="74">
        <v>40557</v>
      </c>
      <c r="B325" s="75">
        <v>20</v>
      </c>
      <c r="C325" s="73">
        <v>68</v>
      </c>
      <c r="D325" s="72" cm="1">
        <f t="array" ref="D325">AVERAGE(_xlfn._xlws.FILTER(C:C,B:B=B325))</f>
        <v>61.767441860465119</v>
      </c>
      <c r="E325" s="61" cm="1">
        <f t="array" ref="E325">_xlfn.STDEV.S(_xlfn._xlws.FILTER(C:C,B:B=B325))</f>
        <v>24.632380169685593</v>
      </c>
      <c r="F325" s="61">
        <f t="shared" si="25"/>
        <v>12.502681521093933</v>
      </c>
      <c r="G325" s="61">
        <f t="shared" si="26"/>
        <v>111.03220219983631</v>
      </c>
      <c r="H325" s="61">
        <f t="shared" ref="H325:H388" si="30">(C325-D325)/E325</f>
        <v>0.25302297612331925</v>
      </c>
      <c r="I325" s="28" t="str">
        <f t="shared" si="27"/>
        <v>Normal</v>
      </c>
      <c r="J325" s="49">
        <f t="shared" si="28"/>
        <v>68</v>
      </c>
      <c r="K325" s="49" t="e">
        <f t="shared" si="29"/>
        <v>#N/A</v>
      </c>
    </row>
    <row r="326" spans="1:11">
      <c r="A326" s="74">
        <v>40557</v>
      </c>
      <c r="B326" s="75">
        <v>21</v>
      </c>
      <c r="C326" s="73">
        <v>52</v>
      </c>
      <c r="D326" s="72" cm="1">
        <f t="array" ref="D326">AVERAGE(_xlfn._xlws.FILTER(C:C,B:B=B326))</f>
        <v>46.418604651162788</v>
      </c>
      <c r="E326" s="61" cm="1">
        <f t="array" ref="E326">_xlfn.STDEV.S(_xlfn._xlws.FILTER(C:C,B:B=B326))</f>
        <v>14.656759464719496</v>
      </c>
      <c r="F326" s="61">
        <f t="shared" ref="F326:F389" si="31">D326-(2*E326)</f>
        <v>17.105085721723796</v>
      </c>
      <c r="G326" s="61">
        <f t="shared" ref="G326:G389" si="32">D326+(2*E326)</f>
        <v>75.73212358060178</v>
      </c>
      <c r="H326" s="61">
        <f t="shared" si="30"/>
        <v>0.38080691453470816</v>
      </c>
      <c r="I326" s="28" t="str">
        <f t="shared" ref="I326:I389" si="33">IF(H326&gt;=2,"High Anomaly",IF(H326&lt;=-2,"Low Anomaly","Normal"))</f>
        <v>Normal</v>
      </c>
      <c r="J326" s="49">
        <f t="shared" ref="J326:J389" si="34">IF(I326="Normal",C326,NA())</f>
        <v>52</v>
      </c>
      <c r="K326" s="49" t="e">
        <f t="shared" ref="K326:K389" si="35">IF(I326&lt;&gt;"Normal",C326,NA())</f>
        <v>#N/A</v>
      </c>
    </row>
    <row r="327" spans="1:11">
      <c r="A327" s="74">
        <v>40557</v>
      </c>
      <c r="B327" s="75">
        <v>22</v>
      </c>
      <c r="C327" s="73">
        <v>36</v>
      </c>
      <c r="D327" s="72" cm="1">
        <f t="array" ref="D327">AVERAGE(_xlfn._xlws.FILTER(C:C,B:B=B327))</f>
        <v>35.069767441860463</v>
      </c>
      <c r="E327" s="61" cm="1">
        <f t="array" ref="E327">_xlfn.STDEV.S(_xlfn._xlws.FILTER(C:C,B:B=B327))</f>
        <v>11.95506537162667</v>
      </c>
      <c r="F327" s="61">
        <f t="shared" si="31"/>
        <v>11.159636698607123</v>
      </c>
      <c r="G327" s="61">
        <f t="shared" si="32"/>
        <v>58.979898185113804</v>
      </c>
      <c r="H327" s="61">
        <f t="shared" si="30"/>
        <v>7.7810746258844099E-2</v>
      </c>
      <c r="I327" s="28" t="str">
        <f t="shared" si="33"/>
        <v>Normal</v>
      </c>
      <c r="J327" s="49">
        <f t="shared" si="34"/>
        <v>36</v>
      </c>
      <c r="K327" s="49" t="e">
        <f t="shared" si="35"/>
        <v>#N/A</v>
      </c>
    </row>
    <row r="328" spans="1:11">
      <c r="A328" s="74">
        <v>40557</v>
      </c>
      <c r="B328" s="75">
        <v>23</v>
      </c>
      <c r="C328" s="73">
        <v>27</v>
      </c>
      <c r="D328" s="72" cm="1">
        <f t="array" ref="D328">AVERAGE(_xlfn._xlws.FILTER(C:C,B:B=B328))</f>
        <v>25.186046511627907</v>
      </c>
      <c r="E328" s="61" cm="1">
        <f t="array" ref="E328">_xlfn.STDEV.S(_xlfn._xlws.FILTER(C:C,B:B=B328))</f>
        <v>11.751911321656188</v>
      </c>
      <c r="F328" s="61">
        <f t="shared" si="31"/>
        <v>1.6822238683155319</v>
      </c>
      <c r="G328" s="61">
        <f t="shared" si="32"/>
        <v>48.689869154940283</v>
      </c>
      <c r="H328" s="61">
        <f t="shared" si="30"/>
        <v>0.1543539122039983</v>
      </c>
      <c r="I328" s="28" t="str">
        <f t="shared" si="33"/>
        <v>Normal</v>
      </c>
      <c r="J328" s="49">
        <f t="shared" si="34"/>
        <v>27</v>
      </c>
      <c r="K328" s="49" t="e">
        <f t="shared" si="35"/>
        <v>#N/A</v>
      </c>
    </row>
    <row r="329" spans="1:11">
      <c r="A329" s="74">
        <v>40558</v>
      </c>
      <c r="B329" s="75">
        <v>0</v>
      </c>
      <c r="C329" s="73">
        <v>28</v>
      </c>
      <c r="D329" s="72" cm="1">
        <f t="array" ref="D329">AVERAGE(_xlfn._xlws.FILTER(C:C,B:B=B329))</f>
        <v>16.348837209302324</v>
      </c>
      <c r="E329" s="61" cm="1">
        <f t="array" ref="E329">_xlfn.STDEV.S(_xlfn._xlws.FILTER(C:C,B:B=B329))</f>
        <v>10.44232167427621</v>
      </c>
      <c r="F329" s="61">
        <f t="shared" si="31"/>
        <v>-4.535806139250095</v>
      </c>
      <c r="G329" s="61">
        <f t="shared" si="32"/>
        <v>37.233480557854747</v>
      </c>
      <c r="H329" s="61">
        <f t="shared" si="30"/>
        <v>1.115763635150155</v>
      </c>
      <c r="I329" s="28" t="str">
        <f t="shared" si="33"/>
        <v>Normal</v>
      </c>
      <c r="J329" s="49">
        <f t="shared" si="34"/>
        <v>28</v>
      </c>
      <c r="K329" s="49" t="e">
        <f t="shared" si="35"/>
        <v>#N/A</v>
      </c>
    </row>
    <row r="330" spans="1:11">
      <c r="A330" s="74">
        <v>40558</v>
      </c>
      <c r="B330" s="75">
        <v>1</v>
      </c>
      <c r="C330" s="73">
        <v>20</v>
      </c>
      <c r="D330" s="72" cm="1">
        <f t="array" ref="D330">AVERAGE(_xlfn._xlws.FILTER(C:C,B:B=B330))</f>
        <v>10.697674418604651</v>
      </c>
      <c r="E330" s="61" cm="1">
        <f t="array" ref="E330">_xlfn.STDEV.S(_xlfn._xlws.FILTER(C:C,B:B=B330))</f>
        <v>10.060613641515801</v>
      </c>
      <c r="F330" s="61">
        <f t="shared" si="31"/>
        <v>-9.4235528644269504</v>
      </c>
      <c r="G330" s="61">
        <f t="shared" si="32"/>
        <v>30.81890170163625</v>
      </c>
      <c r="H330" s="61">
        <f t="shared" si="30"/>
        <v>0.92462805081875676</v>
      </c>
      <c r="I330" s="28" t="str">
        <f t="shared" si="33"/>
        <v>Normal</v>
      </c>
      <c r="J330" s="49">
        <f t="shared" si="34"/>
        <v>20</v>
      </c>
      <c r="K330" s="49" t="e">
        <f t="shared" si="35"/>
        <v>#N/A</v>
      </c>
    </row>
    <row r="331" spans="1:11">
      <c r="A331" s="74">
        <v>40558</v>
      </c>
      <c r="B331" s="75">
        <v>2</v>
      </c>
      <c r="C331" s="73">
        <v>12</v>
      </c>
      <c r="D331" s="72" cm="1">
        <f t="array" ref="D331">AVERAGE(_xlfn._xlws.FILTER(C:C,B:B=B331))</f>
        <v>7.1707317073170733</v>
      </c>
      <c r="E331" s="61" cm="1">
        <f t="array" ref="E331">_xlfn.STDEV.S(_xlfn._xlws.FILTER(C:C,B:B=B331))</f>
        <v>7.3685223723090854</v>
      </c>
      <c r="F331" s="61">
        <f t="shared" si="31"/>
        <v>-7.5663130373010974</v>
      </c>
      <c r="G331" s="61">
        <f t="shared" si="32"/>
        <v>21.907776451935245</v>
      </c>
      <c r="H331" s="61">
        <f t="shared" si="30"/>
        <v>0.65539168488261934</v>
      </c>
      <c r="I331" s="28" t="str">
        <f t="shared" si="33"/>
        <v>Normal</v>
      </c>
      <c r="J331" s="49">
        <f t="shared" si="34"/>
        <v>12</v>
      </c>
      <c r="K331" s="49" t="e">
        <f t="shared" si="35"/>
        <v>#N/A</v>
      </c>
    </row>
    <row r="332" spans="1:11">
      <c r="A332" s="74">
        <v>40558</v>
      </c>
      <c r="B332" s="75">
        <v>3</v>
      </c>
      <c r="C332" s="73">
        <v>8</v>
      </c>
      <c r="D332" s="72" cm="1">
        <f t="array" ref="D332">AVERAGE(_xlfn._xlws.FILTER(C:C,B:B=B332))</f>
        <v>4.870967741935484</v>
      </c>
      <c r="E332" s="61" cm="1">
        <f t="array" ref="E332">_xlfn.STDEV.S(_xlfn._xlws.FILTER(C:C,B:B=B332))</f>
        <v>4.4702120418303126</v>
      </c>
      <c r="F332" s="61">
        <f t="shared" si="31"/>
        <v>-4.0694563417251413</v>
      </c>
      <c r="G332" s="61">
        <f t="shared" si="32"/>
        <v>13.811391825596109</v>
      </c>
      <c r="H332" s="61">
        <f t="shared" si="30"/>
        <v>0.69997401214626609</v>
      </c>
      <c r="I332" s="28" t="str">
        <f t="shared" si="33"/>
        <v>Normal</v>
      </c>
      <c r="J332" s="49">
        <f t="shared" si="34"/>
        <v>8</v>
      </c>
      <c r="K332" s="49" t="e">
        <f t="shared" si="35"/>
        <v>#N/A</v>
      </c>
    </row>
    <row r="333" spans="1:11">
      <c r="A333" s="74">
        <v>40558</v>
      </c>
      <c r="B333" s="75">
        <v>4</v>
      </c>
      <c r="C333" s="73">
        <v>5</v>
      </c>
      <c r="D333" s="72" cm="1">
        <f t="array" ref="D333">AVERAGE(_xlfn._xlws.FILTER(C:C,B:B=B333))</f>
        <v>2.15625</v>
      </c>
      <c r="E333" s="61" cm="1">
        <f t="array" ref="E333">_xlfn.STDEV.S(_xlfn._xlws.FILTER(C:C,B:B=B333))</f>
        <v>1.5263148747143209</v>
      </c>
      <c r="F333" s="61">
        <f t="shared" si="31"/>
        <v>-0.89637974942864185</v>
      </c>
      <c r="G333" s="61">
        <f t="shared" si="32"/>
        <v>5.2088797494286414</v>
      </c>
      <c r="H333" s="61">
        <f t="shared" si="30"/>
        <v>1.8631476683553008</v>
      </c>
      <c r="I333" s="28" t="str">
        <f t="shared" si="33"/>
        <v>Normal</v>
      </c>
      <c r="J333" s="49">
        <f t="shared" si="34"/>
        <v>5</v>
      </c>
      <c r="K333" s="49" t="e">
        <f t="shared" si="35"/>
        <v>#N/A</v>
      </c>
    </row>
    <row r="334" spans="1:11">
      <c r="A334" s="74">
        <v>40558</v>
      </c>
      <c r="B334" s="75">
        <v>5</v>
      </c>
      <c r="C334" s="73">
        <v>1</v>
      </c>
      <c r="D334" s="72" cm="1">
        <f t="array" ref="D334">AVERAGE(_xlfn._xlws.FILTER(C:C,B:B=B334))</f>
        <v>4.2051282051282053</v>
      </c>
      <c r="E334" s="61" cm="1">
        <f t="array" ref="E334">_xlfn.STDEV.S(_xlfn._xlws.FILTER(C:C,B:B=B334))</f>
        <v>2.5358429220352288</v>
      </c>
      <c r="F334" s="61">
        <f t="shared" si="31"/>
        <v>-0.86655763894225224</v>
      </c>
      <c r="G334" s="61">
        <f t="shared" si="32"/>
        <v>9.2768140491986628</v>
      </c>
      <c r="H334" s="61">
        <f t="shared" si="30"/>
        <v>-1.2639301027982515</v>
      </c>
      <c r="I334" s="28" t="str">
        <f t="shared" si="33"/>
        <v>Normal</v>
      </c>
      <c r="J334" s="49">
        <f t="shared" si="34"/>
        <v>1</v>
      </c>
      <c r="K334" s="49" t="e">
        <f t="shared" si="35"/>
        <v>#N/A</v>
      </c>
    </row>
    <row r="335" spans="1:11">
      <c r="A335" s="74">
        <v>40558</v>
      </c>
      <c r="B335" s="75">
        <v>6</v>
      </c>
      <c r="C335" s="73">
        <v>3</v>
      </c>
      <c r="D335" s="72" cm="1">
        <f t="array" ref="D335">AVERAGE(_xlfn._xlws.FILTER(C:C,B:B=B335))</f>
        <v>19.571428571428573</v>
      </c>
      <c r="E335" s="61" cm="1">
        <f t="array" ref="E335">_xlfn.STDEV.S(_xlfn._xlws.FILTER(C:C,B:B=B335))</f>
        <v>14.202615453298934</v>
      </c>
      <c r="F335" s="61">
        <f t="shared" si="31"/>
        <v>-8.8338023351692954</v>
      </c>
      <c r="G335" s="61">
        <f t="shared" si="32"/>
        <v>47.976659478026441</v>
      </c>
      <c r="H335" s="61">
        <f t="shared" si="30"/>
        <v>-1.1667871052285246</v>
      </c>
      <c r="I335" s="28" t="str">
        <f t="shared" si="33"/>
        <v>Normal</v>
      </c>
      <c r="J335" s="49">
        <f t="shared" si="34"/>
        <v>3</v>
      </c>
      <c r="K335" s="49" t="e">
        <f t="shared" si="35"/>
        <v>#N/A</v>
      </c>
    </row>
    <row r="336" spans="1:11">
      <c r="A336" s="74">
        <v>40558</v>
      </c>
      <c r="B336" s="75">
        <v>7</v>
      </c>
      <c r="C336" s="73">
        <v>10</v>
      </c>
      <c r="D336" s="72" cm="1">
        <f t="array" ref="D336">AVERAGE(_xlfn._xlws.FILTER(C:C,B:B=B336))</f>
        <v>54.395348837209305</v>
      </c>
      <c r="E336" s="61" cm="1">
        <f t="array" ref="E336">_xlfn.STDEV.S(_xlfn._xlws.FILTER(C:C,B:B=B336))</f>
        <v>39.112864486352777</v>
      </c>
      <c r="F336" s="61">
        <f t="shared" si="31"/>
        <v>-23.830380135496249</v>
      </c>
      <c r="G336" s="61">
        <f t="shared" si="32"/>
        <v>132.62107780991485</v>
      </c>
      <c r="H336" s="61">
        <f t="shared" si="30"/>
        <v>-1.1350574656248889</v>
      </c>
      <c r="I336" s="28" t="str">
        <f t="shared" si="33"/>
        <v>Normal</v>
      </c>
      <c r="J336" s="49">
        <f t="shared" si="34"/>
        <v>10</v>
      </c>
      <c r="K336" s="49" t="e">
        <f t="shared" si="35"/>
        <v>#N/A</v>
      </c>
    </row>
    <row r="337" spans="1:11">
      <c r="A337" s="74">
        <v>40558</v>
      </c>
      <c r="B337" s="75">
        <v>8</v>
      </c>
      <c r="C337" s="73">
        <v>23</v>
      </c>
      <c r="D337" s="72" cm="1">
        <f t="array" ref="D337">AVERAGE(_xlfn._xlws.FILTER(C:C,B:B=B337))</f>
        <v>128.28571428571428</v>
      </c>
      <c r="E337" s="61" cm="1">
        <f t="array" ref="E337">_xlfn.STDEV.S(_xlfn._xlws.FILTER(C:C,B:B=B337))</f>
        <v>88.551565717048547</v>
      </c>
      <c r="F337" s="61">
        <f t="shared" si="31"/>
        <v>-48.817417148382816</v>
      </c>
      <c r="G337" s="61">
        <f t="shared" si="32"/>
        <v>305.38884571981134</v>
      </c>
      <c r="H337" s="61">
        <f t="shared" si="30"/>
        <v>-1.1889763149094037</v>
      </c>
      <c r="I337" s="28" t="str">
        <f t="shared" si="33"/>
        <v>Normal</v>
      </c>
      <c r="J337" s="49">
        <f t="shared" si="34"/>
        <v>23</v>
      </c>
      <c r="K337" s="49" t="e">
        <f t="shared" si="35"/>
        <v>#N/A</v>
      </c>
    </row>
    <row r="338" spans="1:11">
      <c r="A338" s="74">
        <v>40558</v>
      </c>
      <c r="B338" s="75">
        <v>9</v>
      </c>
      <c r="C338" s="73">
        <v>33</v>
      </c>
      <c r="D338" s="72" cm="1">
        <f t="array" ref="D338">AVERAGE(_xlfn._xlws.FILTER(C:C,B:B=B338))</f>
        <v>87.428571428571431</v>
      </c>
      <c r="E338" s="61" cm="1">
        <f t="array" ref="E338">_xlfn.STDEV.S(_xlfn._xlws.FILTER(C:C,B:B=B338))</f>
        <v>45.93852884078624</v>
      </c>
      <c r="F338" s="61">
        <f t="shared" si="31"/>
        <v>-4.4484862530010503</v>
      </c>
      <c r="G338" s="61">
        <f t="shared" si="32"/>
        <v>179.30562911014391</v>
      </c>
      <c r="H338" s="61">
        <f t="shared" si="30"/>
        <v>-1.1848131144384266</v>
      </c>
      <c r="I338" s="28" t="str">
        <f t="shared" si="33"/>
        <v>Normal</v>
      </c>
      <c r="J338" s="49">
        <f t="shared" si="34"/>
        <v>33</v>
      </c>
      <c r="K338" s="49" t="e">
        <f t="shared" si="35"/>
        <v>#N/A</v>
      </c>
    </row>
    <row r="339" spans="1:11">
      <c r="A339" s="74">
        <v>40558</v>
      </c>
      <c r="B339" s="75">
        <v>10</v>
      </c>
      <c r="C339" s="73">
        <v>59</v>
      </c>
      <c r="D339" s="72" cm="1">
        <f t="array" ref="D339">AVERAGE(_xlfn._xlws.FILTER(C:C,B:B=B339))</f>
        <v>53.642857142857146</v>
      </c>
      <c r="E339" s="61" cm="1">
        <f t="array" ref="E339">_xlfn.STDEV.S(_xlfn._xlws.FILTER(C:C,B:B=B339))</f>
        <v>15.395313554536934</v>
      </c>
      <c r="F339" s="61">
        <f t="shared" si="31"/>
        <v>22.852230033783279</v>
      </c>
      <c r="G339" s="61">
        <f t="shared" si="32"/>
        <v>84.43348425193102</v>
      </c>
      <c r="H339" s="61">
        <f t="shared" si="30"/>
        <v>0.34797231236411724</v>
      </c>
      <c r="I339" s="28" t="str">
        <f t="shared" si="33"/>
        <v>Normal</v>
      </c>
      <c r="J339" s="49">
        <f t="shared" si="34"/>
        <v>59</v>
      </c>
      <c r="K339" s="49" t="e">
        <f t="shared" si="35"/>
        <v>#N/A</v>
      </c>
    </row>
    <row r="340" spans="1:11">
      <c r="A340" s="74">
        <v>40558</v>
      </c>
      <c r="B340" s="75">
        <v>11</v>
      </c>
      <c r="C340" s="73">
        <v>72</v>
      </c>
      <c r="D340" s="72" cm="1">
        <f t="array" ref="D340">AVERAGE(_xlfn._xlws.FILTER(C:C,B:B=B340))</f>
        <v>59.38095238095238</v>
      </c>
      <c r="E340" s="61" cm="1">
        <f t="array" ref="E340">_xlfn.STDEV.S(_xlfn._xlws.FILTER(C:C,B:B=B340))</f>
        <v>20.89573696860419</v>
      </c>
      <c r="F340" s="61">
        <f t="shared" si="31"/>
        <v>17.589478443743999</v>
      </c>
      <c r="G340" s="61">
        <f t="shared" si="32"/>
        <v>101.17242631816076</v>
      </c>
      <c r="H340" s="61">
        <f t="shared" si="30"/>
        <v>0.60390536299378761</v>
      </c>
      <c r="I340" s="28" t="str">
        <f t="shared" si="33"/>
        <v>Normal</v>
      </c>
      <c r="J340" s="49">
        <f t="shared" si="34"/>
        <v>72</v>
      </c>
      <c r="K340" s="49" t="e">
        <f t="shared" si="35"/>
        <v>#N/A</v>
      </c>
    </row>
    <row r="341" spans="1:11">
      <c r="A341" s="74">
        <v>40558</v>
      </c>
      <c r="B341" s="75">
        <v>12</v>
      </c>
      <c r="C341" s="73">
        <v>89</v>
      </c>
      <c r="D341" s="72" cm="1">
        <f t="array" ref="D341">AVERAGE(_xlfn._xlws.FILTER(C:C,B:B=B341))</f>
        <v>76.348837209302332</v>
      </c>
      <c r="E341" s="61" cm="1">
        <f t="array" ref="E341">_xlfn.STDEV.S(_xlfn._xlws.FILTER(C:C,B:B=B341))</f>
        <v>29.034366927857054</v>
      </c>
      <c r="F341" s="61">
        <f t="shared" si="31"/>
        <v>18.280103353588224</v>
      </c>
      <c r="G341" s="61">
        <f t="shared" si="32"/>
        <v>134.41757106501643</v>
      </c>
      <c r="H341" s="61">
        <f t="shared" si="30"/>
        <v>0.43573062302796406</v>
      </c>
      <c r="I341" s="28" t="str">
        <f t="shared" si="33"/>
        <v>Normal</v>
      </c>
      <c r="J341" s="49">
        <f t="shared" si="34"/>
        <v>89</v>
      </c>
      <c r="K341" s="49" t="e">
        <f t="shared" si="35"/>
        <v>#N/A</v>
      </c>
    </row>
    <row r="342" spans="1:11">
      <c r="A342" s="74">
        <v>40558</v>
      </c>
      <c r="B342" s="75">
        <v>13</v>
      </c>
      <c r="C342" s="73">
        <v>101</v>
      </c>
      <c r="D342" s="72" cm="1">
        <f t="array" ref="D342">AVERAGE(_xlfn._xlws.FILTER(C:C,B:B=B342))</f>
        <v>78.511627906976742</v>
      </c>
      <c r="E342" s="61" cm="1">
        <f t="array" ref="E342">_xlfn.STDEV.S(_xlfn._xlws.FILTER(C:C,B:B=B342))</f>
        <v>30.072430098825187</v>
      </c>
      <c r="F342" s="61">
        <f t="shared" si="31"/>
        <v>18.366767709326368</v>
      </c>
      <c r="G342" s="61">
        <f t="shared" si="32"/>
        <v>138.6564881046271</v>
      </c>
      <c r="H342" s="61">
        <f t="shared" si="30"/>
        <v>0.74780694540218728</v>
      </c>
      <c r="I342" s="28" t="str">
        <f t="shared" si="33"/>
        <v>Normal</v>
      </c>
      <c r="J342" s="49">
        <f t="shared" si="34"/>
        <v>101</v>
      </c>
      <c r="K342" s="49" t="e">
        <f t="shared" si="35"/>
        <v>#N/A</v>
      </c>
    </row>
    <row r="343" spans="1:11">
      <c r="A343" s="74">
        <v>40558</v>
      </c>
      <c r="B343" s="75">
        <v>14</v>
      </c>
      <c r="C343" s="73">
        <v>118</v>
      </c>
      <c r="D343" s="72" cm="1">
        <f t="array" ref="D343">AVERAGE(_xlfn._xlws.FILTER(C:C,B:B=B343))</f>
        <v>74.418604651162795</v>
      </c>
      <c r="E343" s="61" cm="1">
        <f t="array" ref="E343">_xlfn.STDEV.S(_xlfn._xlws.FILTER(C:C,B:B=B343))</f>
        <v>30.30576918056515</v>
      </c>
      <c r="F343" s="61">
        <f t="shared" si="31"/>
        <v>13.807066290032495</v>
      </c>
      <c r="G343" s="61">
        <f t="shared" si="32"/>
        <v>135.03014301229308</v>
      </c>
      <c r="H343" s="61">
        <f t="shared" si="30"/>
        <v>1.4380560707492489</v>
      </c>
      <c r="I343" s="28" t="str">
        <f t="shared" si="33"/>
        <v>Normal</v>
      </c>
      <c r="J343" s="49">
        <f t="shared" si="34"/>
        <v>118</v>
      </c>
      <c r="K343" s="49" t="e">
        <f t="shared" si="35"/>
        <v>#N/A</v>
      </c>
    </row>
    <row r="344" spans="1:11">
      <c r="A344" s="74">
        <v>40558</v>
      </c>
      <c r="B344" s="75">
        <v>15</v>
      </c>
      <c r="C344" s="73">
        <v>129</v>
      </c>
      <c r="D344" s="72" cm="1">
        <f t="array" ref="D344">AVERAGE(_xlfn._xlws.FILTER(C:C,B:B=B344))</f>
        <v>77.95348837209302</v>
      </c>
      <c r="E344" s="61" cm="1">
        <f t="array" ref="E344">_xlfn.STDEV.S(_xlfn._xlws.FILTER(C:C,B:B=B344))</f>
        <v>34.481156681772681</v>
      </c>
      <c r="F344" s="61">
        <f t="shared" si="31"/>
        <v>8.9911750085476569</v>
      </c>
      <c r="G344" s="61">
        <f t="shared" si="32"/>
        <v>146.91580173563838</v>
      </c>
      <c r="H344" s="61">
        <f t="shared" si="30"/>
        <v>1.4804176118282895</v>
      </c>
      <c r="I344" s="28" t="str">
        <f t="shared" si="33"/>
        <v>Normal</v>
      </c>
      <c r="J344" s="49">
        <f t="shared" si="34"/>
        <v>129</v>
      </c>
      <c r="K344" s="49" t="e">
        <f t="shared" si="35"/>
        <v>#N/A</v>
      </c>
    </row>
    <row r="345" spans="1:11">
      <c r="A345" s="74">
        <v>40558</v>
      </c>
      <c r="B345" s="75">
        <v>16</v>
      </c>
      <c r="C345" s="73">
        <v>128</v>
      </c>
      <c r="D345" s="72" cm="1">
        <f t="array" ref="D345">AVERAGE(_xlfn._xlws.FILTER(C:C,B:B=B345))</f>
        <v>89.272727272727266</v>
      </c>
      <c r="E345" s="61" cm="1">
        <f t="array" ref="E345">_xlfn.STDEV.S(_xlfn._xlws.FILTER(C:C,B:B=B345))</f>
        <v>25.461657115880758</v>
      </c>
      <c r="F345" s="61">
        <f t="shared" si="31"/>
        <v>38.34941304096575</v>
      </c>
      <c r="G345" s="61">
        <f t="shared" si="32"/>
        <v>140.19604150448879</v>
      </c>
      <c r="H345" s="61">
        <f t="shared" si="30"/>
        <v>1.5210036232527082</v>
      </c>
      <c r="I345" s="28" t="str">
        <f t="shared" si="33"/>
        <v>Normal</v>
      </c>
      <c r="J345" s="49">
        <f t="shared" si="34"/>
        <v>128</v>
      </c>
      <c r="K345" s="49" t="e">
        <f t="shared" si="35"/>
        <v>#N/A</v>
      </c>
    </row>
    <row r="346" spans="1:11">
      <c r="A346" s="74">
        <v>40558</v>
      </c>
      <c r="B346" s="75">
        <v>17</v>
      </c>
      <c r="C346" s="73">
        <v>83</v>
      </c>
      <c r="D346" s="72" cm="1">
        <f t="array" ref="D346">AVERAGE(_xlfn._xlws.FILTER(C:C,B:B=B346))</f>
        <v>140.20454545454547</v>
      </c>
      <c r="E346" s="61" cm="1">
        <f t="array" ref="E346">_xlfn.STDEV.S(_xlfn._xlws.FILTER(C:C,B:B=B346))</f>
        <v>54.067391000084555</v>
      </c>
      <c r="F346" s="61">
        <f t="shared" si="31"/>
        <v>32.069763454376357</v>
      </c>
      <c r="G346" s="61">
        <f t="shared" si="32"/>
        <v>248.33932745471458</v>
      </c>
      <c r="H346" s="61">
        <f t="shared" si="30"/>
        <v>-1.0580230411794054</v>
      </c>
      <c r="I346" s="28" t="str">
        <f t="shared" si="33"/>
        <v>Normal</v>
      </c>
      <c r="J346" s="49">
        <f t="shared" si="34"/>
        <v>83</v>
      </c>
      <c r="K346" s="49" t="e">
        <f t="shared" si="35"/>
        <v>#N/A</v>
      </c>
    </row>
    <row r="347" spans="1:11">
      <c r="A347" s="74">
        <v>40558</v>
      </c>
      <c r="B347" s="75">
        <v>18</v>
      </c>
      <c r="C347" s="73">
        <v>84</v>
      </c>
      <c r="D347" s="72" cm="1">
        <f t="array" ref="D347">AVERAGE(_xlfn._xlws.FILTER(C:C,B:B=B347))</f>
        <v>122.86046511627907</v>
      </c>
      <c r="E347" s="61" cm="1">
        <f t="array" ref="E347">_xlfn.STDEV.S(_xlfn._xlws.FILTER(C:C,B:B=B347))</f>
        <v>48.613432101949932</v>
      </c>
      <c r="F347" s="61">
        <f t="shared" si="31"/>
        <v>25.633600912379208</v>
      </c>
      <c r="G347" s="61">
        <f t="shared" si="32"/>
        <v>220.08732932017892</v>
      </c>
      <c r="H347" s="61">
        <f t="shared" si="30"/>
        <v>-0.7993771152545377</v>
      </c>
      <c r="I347" s="28" t="str">
        <f t="shared" si="33"/>
        <v>Normal</v>
      </c>
      <c r="J347" s="49">
        <f t="shared" si="34"/>
        <v>84</v>
      </c>
      <c r="K347" s="49" t="e">
        <f t="shared" si="35"/>
        <v>#N/A</v>
      </c>
    </row>
    <row r="348" spans="1:11">
      <c r="A348" s="74">
        <v>40558</v>
      </c>
      <c r="B348" s="75">
        <v>19</v>
      </c>
      <c r="C348" s="73">
        <v>74</v>
      </c>
      <c r="D348" s="72" cm="1">
        <f t="array" ref="D348">AVERAGE(_xlfn._xlws.FILTER(C:C,B:B=B348))</f>
        <v>85.139534883720927</v>
      </c>
      <c r="E348" s="61" cm="1">
        <f t="array" ref="E348">_xlfn.STDEV.S(_xlfn._xlws.FILTER(C:C,B:B=B348))</f>
        <v>31.690904054294752</v>
      </c>
      <c r="F348" s="61">
        <f t="shared" si="31"/>
        <v>21.757726775131424</v>
      </c>
      <c r="G348" s="61">
        <f t="shared" si="32"/>
        <v>148.52134299231042</v>
      </c>
      <c r="H348" s="61">
        <f t="shared" si="30"/>
        <v>-0.35150574640079718</v>
      </c>
      <c r="I348" s="28" t="str">
        <f t="shared" si="33"/>
        <v>Normal</v>
      </c>
      <c r="J348" s="49">
        <f t="shared" si="34"/>
        <v>74</v>
      </c>
      <c r="K348" s="49" t="e">
        <f t="shared" si="35"/>
        <v>#N/A</v>
      </c>
    </row>
    <row r="349" spans="1:11">
      <c r="A349" s="74">
        <v>40558</v>
      </c>
      <c r="B349" s="75">
        <v>20</v>
      </c>
      <c r="C349" s="73">
        <v>41</v>
      </c>
      <c r="D349" s="72" cm="1">
        <f t="array" ref="D349">AVERAGE(_xlfn._xlws.FILTER(C:C,B:B=B349))</f>
        <v>61.767441860465119</v>
      </c>
      <c r="E349" s="61" cm="1">
        <f t="array" ref="E349">_xlfn.STDEV.S(_xlfn._xlws.FILTER(C:C,B:B=B349))</f>
        <v>24.632380169685593</v>
      </c>
      <c r="F349" s="61">
        <f t="shared" si="31"/>
        <v>12.502681521093933</v>
      </c>
      <c r="G349" s="61">
        <f t="shared" si="32"/>
        <v>111.03220219983631</v>
      </c>
      <c r="H349" s="61">
        <f t="shared" si="30"/>
        <v>-0.84309521521688147</v>
      </c>
      <c r="I349" s="28" t="str">
        <f t="shared" si="33"/>
        <v>Normal</v>
      </c>
      <c r="J349" s="49">
        <f t="shared" si="34"/>
        <v>41</v>
      </c>
      <c r="K349" s="49" t="e">
        <f t="shared" si="35"/>
        <v>#N/A</v>
      </c>
    </row>
    <row r="350" spans="1:11">
      <c r="A350" s="74">
        <v>40558</v>
      </c>
      <c r="B350" s="75">
        <v>21</v>
      </c>
      <c r="C350" s="73">
        <v>57</v>
      </c>
      <c r="D350" s="72" cm="1">
        <f t="array" ref="D350">AVERAGE(_xlfn._xlws.FILTER(C:C,B:B=B350))</f>
        <v>46.418604651162788</v>
      </c>
      <c r="E350" s="61" cm="1">
        <f t="array" ref="E350">_xlfn.STDEV.S(_xlfn._xlws.FILTER(C:C,B:B=B350))</f>
        <v>14.656759464719496</v>
      </c>
      <c r="F350" s="61">
        <f t="shared" si="31"/>
        <v>17.105085721723796</v>
      </c>
      <c r="G350" s="61">
        <f t="shared" si="32"/>
        <v>75.73212358060178</v>
      </c>
      <c r="H350" s="61">
        <f t="shared" si="30"/>
        <v>0.72194644213871739</v>
      </c>
      <c r="I350" s="28" t="str">
        <f t="shared" si="33"/>
        <v>Normal</v>
      </c>
      <c r="J350" s="49">
        <f t="shared" si="34"/>
        <v>57</v>
      </c>
      <c r="K350" s="49" t="e">
        <f t="shared" si="35"/>
        <v>#N/A</v>
      </c>
    </row>
    <row r="351" spans="1:11">
      <c r="A351" s="74">
        <v>40558</v>
      </c>
      <c r="B351" s="75">
        <v>22</v>
      </c>
      <c r="C351" s="73">
        <v>26</v>
      </c>
      <c r="D351" s="72" cm="1">
        <f t="array" ref="D351">AVERAGE(_xlfn._xlws.FILTER(C:C,B:B=B351))</f>
        <v>35.069767441860463</v>
      </c>
      <c r="E351" s="61" cm="1">
        <f t="array" ref="E351">_xlfn.STDEV.S(_xlfn._xlws.FILTER(C:C,B:B=B351))</f>
        <v>11.95506537162667</v>
      </c>
      <c r="F351" s="61">
        <f t="shared" si="31"/>
        <v>11.159636698607123</v>
      </c>
      <c r="G351" s="61">
        <f t="shared" si="32"/>
        <v>58.979898185113804</v>
      </c>
      <c r="H351" s="61">
        <f t="shared" si="30"/>
        <v>-0.75865477602372844</v>
      </c>
      <c r="I351" s="28" t="str">
        <f t="shared" si="33"/>
        <v>Normal</v>
      </c>
      <c r="J351" s="49">
        <f t="shared" si="34"/>
        <v>26</v>
      </c>
      <c r="K351" s="49" t="e">
        <f t="shared" si="35"/>
        <v>#N/A</v>
      </c>
    </row>
    <row r="352" spans="1:11">
      <c r="A352" s="74">
        <v>40558</v>
      </c>
      <c r="B352" s="75">
        <v>23</v>
      </c>
      <c r="C352" s="73">
        <v>44</v>
      </c>
      <c r="D352" s="72" cm="1">
        <f t="array" ref="D352">AVERAGE(_xlfn._xlws.FILTER(C:C,B:B=B352))</f>
        <v>25.186046511627907</v>
      </c>
      <c r="E352" s="61" cm="1">
        <f t="array" ref="E352">_xlfn.STDEV.S(_xlfn._xlws.FILTER(C:C,B:B=B352))</f>
        <v>11.751911321656188</v>
      </c>
      <c r="F352" s="61">
        <f t="shared" si="31"/>
        <v>1.6822238683155319</v>
      </c>
      <c r="G352" s="61">
        <f t="shared" si="32"/>
        <v>48.689869154940283</v>
      </c>
      <c r="H352" s="61">
        <f t="shared" si="30"/>
        <v>1.6009271150389055</v>
      </c>
      <c r="I352" s="28" t="str">
        <f t="shared" si="33"/>
        <v>Normal</v>
      </c>
      <c r="J352" s="49">
        <f t="shared" si="34"/>
        <v>44</v>
      </c>
      <c r="K352" s="49" t="e">
        <f t="shared" si="35"/>
        <v>#N/A</v>
      </c>
    </row>
    <row r="353" spans="1:11">
      <c r="A353" s="74">
        <v>40559</v>
      </c>
      <c r="B353" s="75">
        <v>0</v>
      </c>
      <c r="C353" s="73">
        <v>39</v>
      </c>
      <c r="D353" s="72" cm="1">
        <f t="array" ref="D353">AVERAGE(_xlfn._xlws.FILTER(C:C,B:B=B353))</f>
        <v>16.348837209302324</v>
      </c>
      <c r="E353" s="61" cm="1">
        <f t="array" ref="E353">_xlfn.STDEV.S(_xlfn._xlws.FILTER(C:C,B:B=B353))</f>
        <v>10.44232167427621</v>
      </c>
      <c r="F353" s="61">
        <f t="shared" si="31"/>
        <v>-4.535806139250095</v>
      </c>
      <c r="G353" s="61">
        <f t="shared" si="32"/>
        <v>37.233480557854747</v>
      </c>
      <c r="H353" s="61">
        <f t="shared" si="30"/>
        <v>2.1691692228268478</v>
      </c>
      <c r="I353" s="28" t="str">
        <f t="shared" si="33"/>
        <v>High Anomaly</v>
      </c>
      <c r="J353" s="49" t="e">
        <f t="shared" si="34"/>
        <v>#N/A</v>
      </c>
      <c r="K353" s="49">
        <f t="shared" si="35"/>
        <v>39</v>
      </c>
    </row>
    <row r="354" spans="1:11">
      <c r="A354" s="74">
        <v>40559</v>
      </c>
      <c r="B354" s="75">
        <v>1</v>
      </c>
      <c r="C354" s="73">
        <v>23</v>
      </c>
      <c r="D354" s="72" cm="1">
        <f t="array" ref="D354">AVERAGE(_xlfn._xlws.FILTER(C:C,B:B=B354))</f>
        <v>10.697674418604651</v>
      </c>
      <c r="E354" s="61" cm="1">
        <f t="array" ref="E354">_xlfn.STDEV.S(_xlfn._xlws.FILTER(C:C,B:B=B354))</f>
        <v>10.060613641515801</v>
      </c>
      <c r="F354" s="61">
        <f t="shared" si="31"/>
        <v>-9.4235528644269504</v>
      </c>
      <c r="G354" s="61">
        <f t="shared" si="32"/>
        <v>30.81890170163625</v>
      </c>
      <c r="H354" s="61">
        <f t="shared" si="30"/>
        <v>1.2228205972078059</v>
      </c>
      <c r="I354" s="28" t="str">
        <f t="shared" si="33"/>
        <v>Normal</v>
      </c>
      <c r="J354" s="49">
        <f t="shared" si="34"/>
        <v>23</v>
      </c>
      <c r="K354" s="49" t="e">
        <f t="shared" si="35"/>
        <v>#N/A</v>
      </c>
    </row>
    <row r="355" spans="1:11">
      <c r="A355" s="74">
        <v>40559</v>
      </c>
      <c r="B355" s="75">
        <v>2</v>
      </c>
      <c r="C355" s="73">
        <v>16</v>
      </c>
      <c r="D355" s="72" cm="1">
        <f t="array" ref="D355">AVERAGE(_xlfn._xlws.FILTER(C:C,B:B=B355))</f>
        <v>7.1707317073170733</v>
      </c>
      <c r="E355" s="61" cm="1">
        <f t="array" ref="E355">_xlfn.STDEV.S(_xlfn._xlws.FILTER(C:C,B:B=B355))</f>
        <v>7.3685223723090854</v>
      </c>
      <c r="F355" s="61">
        <f t="shared" si="31"/>
        <v>-7.5663130373010974</v>
      </c>
      <c r="G355" s="61">
        <f t="shared" si="32"/>
        <v>21.907776451935245</v>
      </c>
      <c r="H355" s="61">
        <f t="shared" si="30"/>
        <v>1.1982413632702433</v>
      </c>
      <c r="I355" s="28" t="str">
        <f t="shared" si="33"/>
        <v>Normal</v>
      </c>
      <c r="J355" s="49">
        <f t="shared" si="34"/>
        <v>16</v>
      </c>
      <c r="K355" s="49" t="e">
        <f t="shared" si="35"/>
        <v>#N/A</v>
      </c>
    </row>
    <row r="356" spans="1:11">
      <c r="A356" s="74">
        <v>40559</v>
      </c>
      <c r="B356" s="75">
        <v>3</v>
      </c>
      <c r="C356" s="73">
        <v>15</v>
      </c>
      <c r="D356" s="72" cm="1">
        <f t="array" ref="D356">AVERAGE(_xlfn._xlws.FILTER(C:C,B:B=B356))</f>
        <v>4.870967741935484</v>
      </c>
      <c r="E356" s="61" cm="1">
        <f t="array" ref="E356">_xlfn.STDEV.S(_xlfn._xlws.FILTER(C:C,B:B=B356))</f>
        <v>4.4702120418303126</v>
      </c>
      <c r="F356" s="61">
        <f t="shared" si="31"/>
        <v>-4.0694563417251413</v>
      </c>
      <c r="G356" s="61">
        <f t="shared" si="32"/>
        <v>13.811391825596109</v>
      </c>
      <c r="H356" s="61">
        <f t="shared" si="30"/>
        <v>2.2658952558136862</v>
      </c>
      <c r="I356" s="28" t="str">
        <f t="shared" si="33"/>
        <v>High Anomaly</v>
      </c>
      <c r="J356" s="49" t="e">
        <f t="shared" si="34"/>
        <v>#N/A</v>
      </c>
      <c r="K356" s="49">
        <f t="shared" si="35"/>
        <v>15</v>
      </c>
    </row>
    <row r="357" spans="1:11">
      <c r="A357" s="74">
        <v>40559</v>
      </c>
      <c r="B357" s="75">
        <v>4</v>
      </c>
      <c r="C357" s="73">
        <v>1</v>
      </c>
      <c r="D357" s="72" cm="1">
        <f t="array" ref="D357">AVERAGE(_xlfn._xlws.FILTER(C:C,B:B=B357))</f>
        <v>2.15625</v>
      </c>
      <c r="E357" s="61" cm="1">
        <f t="array" ref="E357">_xlfn.STDEV.S(_xlfn._xlws.FILTER(C:C,B:B=B357))</f>
        <v>1.5263148747143209</v>
      </c>
      <c r="F357" s="61">
        <f t="shared" si="31"/>
        <v>-0.89637974942864185</v>
      </c>
      <c r="G357" s="61">
        <f t="shared" si="32"/>
        <v>5.2088797494286414</v>
      </c>
      <c r="H357" s="61">
        <f t="shared" si="30"/>
        <v>-0.75754355746314428</v>
      </c>
      <c r="I357" s="28" t="str">
        <f t="shared" si="33"/>
        <v>Normal</v>
      </c>
      <c r="J357" s="49">
        <f t="shared" si="34"/>
        <v>1</v>
      </c>
      <c r="K357" s="49" t="e">
        <f t="shared" si="35"/>
        <v>#N/A</v>
      </c>
    </row>
    <row r="358" spans="1:11">
      <c r="A358" s="74">
        <v>40559</v>
      </c>
      <c r="B358" s="75">
        <v>5</v>
      </c>
      <c r="C358" s="73">
        <v>2</v>
      </c>
      <c r="D358" s="72" cm="1">
        <f t="array" ref="D358">AVERAGE(_xlfn._xlws.FILTER(C:C,B:B=B358))</f>
        <v>4.2051282051282053</v>
      </c>
      <c r="E358" s="61" cm="1">
        <f t="array" ref="E358">_xlfn.STDEV.S(_xlfn._xlws.FILTER(C:C,B:B=B358))</f>
        <v>2.5358429220352288</v>
      </c>
      <c r="F358" s="61">
        <f t="shared" si="31"/>
        <v>-0.86655763894225224</v>
      </c>
      <c r="G358" s="61">
        <f t="shared" si="32"/>
        <v>9.2768140491986628</v>
      </c>
      <c r="H358" s="61">
        <f t="shared" si="30"/>
        <v>-0.86958391072519714</v>
      </c>
      <c r="I358" s="28" t="str">
        <f t="shared" si="33"/>
        <v>Normal</v>
      </c>
      <c r="J358" s="49">
        <f t="shared" si="34"/>
        <v>2</v>
      </c>
      <c r="K358" s="49" t="e">
        <f t="shared" si="35"/>
        <v>#N/A</v>
      </c>
    </row>
    <row r="359" spans="1:11">
      <c r="A359" s="74">
        <v>40559</v>
      </c>
      <c r="B359" s="75">
        <v>6</v>
      </c>
      <c r="C359" s="73">
        <v>1</v>
      </c>
      <c r="D359" s="72" cm="1">
        <f t="array" ref="D359">AVERAGE(_xlfn._xlws.FILTER(C:C,B:B=B359))</f>
        <v>19.571428571428573</v>
      </c>
      <c r="E359" s="61" cm="1">
        <f t="array" ref="E359">_xlfn.STDEV.S(_xlfn._xlws.FILTER(C:C,B:B=B359))</f>
        <v>14.202615453298934</v>
      </c>
      <c r="F359" s="61">
        <f t="shared" si="31"/>
        <v>-8.8338023351692954</v>
      </c>
      <c r="G359" s="61">
        <f t="shared" si="32"/>
        <v>47.976659478026441</v>
      </c>
      <c r="H359" s="61">
        <f t="shared" si="30"/>
        <v>-1.3076062386181742</v>
      </c>
      <c r="I359" s="28" t="str">
        <f t="shared" si="33"/>
        <v>Normal</v>
      </c>
      <c r="J359" s="49">
        <f t="shared" si="34"/>
        <v>1</v>
      </c>
      <c r="K359" s="49" t="e">
        <f t="shared" si="35"/>
        <v>#N/A</v>
      </c>
    </row>
    <row r="360" spans="1:11">
      <c r="A360" s="74">
        <v>40559</v>
      </c>
      <c r="B360" s="75">
        <v>7</v>
      </c>
      <c r="C360" s="73">
        <v>3</v>
      </c>
      <c r="D360" s="72" cm="1">
        <f t="array" ref="D360">AVERAGE(_xlfn._xlws.FILTER(C:C,B:B=B360))</f>
        <v>54.395348837209305</v>
      </c>
      <c r="E360" s="61" cm="1">
        <f t="array" ref="E360">_xlfn.STDEV.S(_xlfn._xlws.FILTER(C:C,B:B=B360))</f>
        <v>39.112864486352777</v>
      </c>
      <c r="F360" s="61">
        <f t="shared" si="31"/>
        <v>-23.830380135496249</v>
      </c>
      <c r="G360" s="61">
        <f t="shared" si="32"/>
        <v>132.62107780991485</v>
      </c>
      <c r="H360" s="61">
        <f t="shared" si="30"/>
        <v>-1.3140267150502905</v>
      </c>
      <c r="I360" s="28" t="str">
        <f t="shared" si="33"/>
        <v>Normal</v>
      </c>
      <c r="J360" s="49">
        <f t="shared" si="34"/>
        <v>3</v>
      </c>
      <c r="K360" s="49" t="e">
        <f t="shared" si="35"/>
        <v>#N/A</v>
      </c>
    </row>
    <row r="361" spans="1:11">
      <c r="A361" s="74">
        <v>40559</v>
      </c>
      <c r="B361" s="75">
        <v>8</v>
      </c>
      <c r="C361" s="73">
        <v>18</v>
      </c>
      <c r="D361" s="72" cm="1">
        <f t="array" ref="D361">AVERAGE(_xlfn._xlws.FILTER(C:C,B:B=B361))</f>
        <v>128.28571428571428</v>
      </c>
      <c r="E361" s="61" cm="1">
        <f t="array" ref="E361">_xlfn.STDEV.S(_xlfn._xlws.FILTER(C:C,B:B=B361))</f>
        <v>88.551565717048547</v>
      </c>
      <c r="F361" s="61">
        <f t="shared" si="31"/>
        <v>-48.817417148382816</v>
      </c>
      <c r="G361" s="61">
        <f t="shared" si="32"/>
        <v>305.38884571981134</v>
      </c>
      <c r="H361" s="61">
        <f t="shared" si="30"/>
        <v>-1.2454405903799997</v>
      </c>
      <c r="I361" s="28" t="str">
        <f t="shared" si="33"/>
        <v>Normal</v>
      </c>
      <c r="J361" s="49">
        <f t="shared" si="34"/>
        <v>18</v>
      </c>
      <c r="K361" s="49" t="e">
        <f t="shared" si="35"/>
        <v>#N/A</v>
      </c>
    </row>
    <row r="362" spans="1:11">
      <c r="A362" s="74">
        <v>40559</v>
      </c>
      <c r="B362" s="75">
        <v>9</v>
      </c>
      <c r="C362" s="73">
        <v>32</v>
      </c>
      <c r="D362" s="72" cm="1">
        <f t="array" ref="D362">AVERAGE(_xlfn._xlws.FILTER(C:C,B:B=B362))</f>
        <v>87.428571428571431</v>
      </c>
      <c r="E362" s="61" cm="1">
        <f t="array" ref="E362">_xlfn.STDEV.S(_xlfn._xlws.FILTER(C:C,B:B=B362))</f>
        <v>45.93852884078624</v>
      </c>
      <c r="F362" s="61">
        <f t="shared" si="31"/>
        <v>-4.4484862530010503</v>
      </c>
      <c r="G362" s="61">
        <f t="shared" si="32"/>
        <v>179.30562911014391</v>
      </c>
      <c r="H362" s="61">
        <f t="shared" si="30"/>
        <v>-1.206581334388739</v>
      </c>
      <c r="I362" s="28" t="str">
        <f t="shared" si="33"/>
        <v>Normal</v>
      </c>
      <c r="J362" s="49">
        <f t="shared" si="34"/>
        <v>32</v>
      </c>
      <c r="K362" s="49" t="e">
        <f t="shared" si="35"/>
        <v>#N/A</v>
      </c>
    </row>
    <row r="363" spans="1:11">
      <c r="A363" s="74">
        <v>40559</v>
      </c>
      <c r="B363" s="75">
        <v>10</v>
      </c>
      <c r="C363" s="73">
        <v>79</v>
      </c>
      <c r="D363" s="72" cm="1">
        <f t="array" ref="D363">AVERAGE(_xlfn._xlws.FILTER(C:C,B:B=B363))</f>
        <v>53.642857142857146</v>
      </c>
      <c r="E363" s="61" cm="1">
        <f t="array" ref="E363">_xlfn.STDEV.S(_xlfn._xlws.FILTER(C:C,B:B=B363))</f>
        <v>15.395313554536934</v>
      </c>
      <c r="F363" s="61">
        <f t="shared" si="31"/>
        <v>22.852230033783279</v>
      </c>
      <c r="G363" s="61">
        <f t="shared" si="32"/>
        <v>84.43348425193102</v>
      </c>
      <c r="H363" s="61">
        <f t="shared" si="30"/>
        <v>1.6470689451901557</v>
      </c>
      <c r="I363" s="28" t="str">
        <f t="shared" si="33"/>
        <v>Normal</v>
      </c>
      <c r="J363" s="49">
        <f t="shared" si="34"/>
        <v>79</v>
      </c>
      <c r="K363" s="49" t="e">
        <f t="shared" si="35"/>
        <v>#N/A</v>
      </c>
    </row>
    <row r="364" spans="1:11">
      <c r="A364" s="74">
        <v>40559</v>
      </c>
      <c r="B364" s="75">
        <v>11</v>
      </c>
      <c r="C364" s="73">
        <v>93</v>
      </c>
      <c r="D364" s="72" cm="1">
        <f t="array" ref="D364">AVERAGE(_xlfn._xlws.FILTER(C:C,B:B=B364))</f>
        <v>59.38095238095238</v>
      </c>
      <c r="E364" s="61" cm="1">
        <f t="array" ref="E364">_xlfn.STDEV.S(_xlfn._xlws.FILTER(C:C,B:B=B364))</f>
        <v>20.89573696860419</v>
      </c>
      <c r="F364" s="61">
        <f t="shared" si="31"/>
        <v>17.589478443743999</v>
      </c>
      <c r="G364" s="61">
        <f t="shared" si="32"/>
        <v>101.17242631816076</v>
      </c>
      <c r="H364" s="61">
        <f t="shared" si="30"/>
        <v>1.6088950425419397</v>
      </c>
      <c r="I364" s="28" t="str">
        <f t="shared" si="33"/>
        <v>Normal</v>
      </c>
      <c r="J364" s="49">
        <f t="shared" si="34"/>
        <v>93</v>
      </c>
      <c r="K364" s="49" t="e">
        <f t="shared" si="35"/>
        <v>#N/A</v>
      </c>
    </row>
    <row r="365" spans="1:11">
      <c r="A365" s="74">
        <v>40559</v>
      </c>
      <c r="B365" s="75">
        <v>12</v>
      </c>
      <c r="C365" s="73">
        <v>104</v>
      </c>
      <c r="D365" s="72" cm="1">
        <f t="array" ref="D365">AVERAGE(_xlfn._xlws.FILTER(C:C,B:B=B365))</f>
        <v>76.348837209302332</v>
      </c>
      <c r="E365" s="61" cm="1">
        <f t="array" ref="E365">_xlfn.STDEV.S(_xlfn._xlws.FILTER(C:C,B:B=B365))</f>
        <v>29.034366927857054</v>
      </c>
      <c r="F365" s="61">
        <f t="shared" si="31"/>
        <v>18.280103353588224</v>
      </c>
      <c r="G365" s="61">
        <f t="shared" si="32"/>
        <v>134.41757106501643</v>
      </c>
      <c r="H365" s="61">
        <f t="shared" si="30"/>
        <v>0.95235976246369369</v>
      </c>
      <c r="I365" s="28" t="str">
        <f t="shared" si="33"/>
        <v>Normal</v>
      </c>
      <c r="J365" s="49">
        <f t="shared" si="34"/>
        <v>104</v>
      </c>
      <c r="K365" s="49" t="e">
        <f t="shared" si="35"/>
        <v>#N/A</v>
      </c>
    </row>
    <row r="366" spans="1:11">
      <c r="A366" s="74">
        <v>40559</v>
      </c>
      <c r="B366" s="75">
        <v>13</v>
      </c>
      <c r="C366" s="73">
        <v>118</v>
      </c>
      <c r="D366" s="72" cm="1">
        <f t="array" ref="D366">AVERAGE(_xlfn._xlws.FILTER(C:C,B:B=B366))</f>
        <v>78.511627906976742</v>
      </c>
      <c r="E366" s="61" cm="1">
        <f t="array" ref="E366">_xlfn.STDEV.S(_xlfn._xlws.FILTER(C:C,B:B=B366))</f>
        <v>30.072430098825187</v>
      </c>
      <c r="F366" s="61">
        <f t="shared" si="31"/>
        <v>18.366767709326368</v>
      </c>
      <c r="G366" s="61">
        <f t="shared" si="32"/>
        <v>138.6564881046271</v>
      </c>
      <c r="H366" s="61">
        <f t="shared" si="30"/>
        <v>1.3131087831364157</v>
      </c>
      <c r="I366" s="28" t="str">
        <f t="shared" si="33"/>
        <v>Normal</v>
      </c>
      <c r="J366" s="49">
        <f t="shared" si="34"/>
        <v>118</v>
      </c>
      <c r="K366" s="49" t="e">
        <f t="shared" si="35"/>
        <v>#N/A</v>
      </c>
    </row>
    <row r="367" spans="1:11">
      <c r="A367" s="74">
        <v>40559</v>
      </c>
      <c r="B367" s="75">
        <v>14</v>
      </c>
      <c r="C367" s="73">
        <v>91</v>
      </c>
      <c r="D367" s="72" cm="1">
        <f t="array" ref="D367">AVERAGE(_xlfn._xlws.FILTER(C:C,B:B=B367))</f>
        <v>74.418604651162795</v>
      </c>
      <c r="E367" s="61" cm="1">
        <f t="array" ref="E367">_xlfn.STDEV.S(_xlfn._xlws.FILTER(C:C,B:B=B367))</f>
        <v>30.30576918056515</v>
      </c>
      <c r="F367" s="61">
        <f t="shared" si="31"/>
        <v>13.807066290032495</v>
      </c>
      <c r="G367" s="61">
        <f t="shared" si="32"/>
        <v>135.03014301229308</v>
      </c>
      <c r="H367" s="61">
        <f t="shared" si="30"/>
        <v>0.54713659468741427</v>
      </c>
      <c r="I367" s="28" t="str">
        <f t="shared" si="33"/>
        <v>Normal</v>
      </c>
      <c r="J367" s="49">
        <f t="shared" si="34"/>
        <v>91</v>
      </c>
      <c r="K367" s="49" t="e">
        <f t="shared" si="35"/>
        <v>#N/A</v>
      </c>
    </row>
    <row r="368" spans="1:11">
      <c r="A368" s="74">
        <v>40559</v>
      </c>
      <c r="B368" s="75">
        <v>15</v>
      </c>
      <c r="C368" s="73">
        <v>113</v>
      </c>
      <c r="D368" s="72" cm="1">
        <f t="array" ref="D368">AVERAGE(_xlfn._xlws.FILTER(C:C,B:B=B368))</f>
        <v>77.95348837209302</v>
      </c>
      <c r="E368" s="61" cm="1">
        <f t="array" ref="E368">_xlfn.STDEV.S(_xlfn._xlws.FILTER(C:C,B:B=B368))</f>
        <v>34.481156681772681</v>
      </c>
      <c r="F368" s="61">
        <f t="shared" si="31"/>
        <v>8.9911750085476569</v>
      </c>
      <c r="G368" s="61">
        <f t="shared" si="32"/>
        <v>146.91580173563838</v>
      </c>
      <c r="H368" s="61">
        <f t="shared" si="30"/>
        <v>1.0163960551367801</v>
      </c>
      <c r="I368" s="28" t="str">
        <f t="shared" si="33"/>
        <v>Normal</v>
      </c>
      <c r="J368" s="49">
        <f t="shared" si="34"/>
        <v>113</v>
      </c>
      <c r="K368" s="49" t="e">
        <f t="shared" si="35"/>
        <v>#N/A</v>
      </c>
    </row>
    <row r="369" spans="1:11">
      <c r="A369" s="74">
        <v>40559</v>
      </c>
      <c r="B369" s="75">
        <v>16</v>
      </c>
      <c r="C369" s="73">
        <v>99</v>
      </c>
      <c r="D369" s="72" cm="1">
        <f t="array" ref="D369">AVERAGE(_xlfn._xlws.FILTER(C:C,B:B=B369))</f>
        <v>89.272727272727266</v>
      </c>
      <c r="E369" s="61" cm="1">
        <f t="array" ref="E369">_xlfn.STDEV.S(_xlfn._xlws.FILTER(C:C,B:B=B369))</f>
        <v>25.461657115880758</v>
      </c>
      <c r="F369" s="61">
        <f t="shared" si="31"/>
        <v>38.34941304096575</v>
      </c>
      <c r="G369" s="61">
        <f t="shared" si="32"/>
        <v>140.19604150448879</v>
      </c>
      <c r="H369" s="61">
        <f t="shared" si="30"/>
        <v>0.3820361213334269</v>
      </c>
      <c r="I369" s="28" t="str">
        <f t="shared" si="33"/>
        <v>Normal</v>
      </c>
      <c r="J369" s="49">
        <f t="shared" si="34"/>
        <v>99</v>
      </c>
      <c r="K369" s="49" t="e">
        <f t="shared" si="35"/>
        <v>#N/A</v>
      </c>
    </row>
    <row r="370" spans="1:11">
      <c r="A370" s="74">
        <v>40559</v>
      </c>
      <c r="B370" s="75">
        <v>17</v>
      </c>
      <c r="C370" s="73">
        <v>105</v>
      </c>
      <c r="D370" s="72" cm="1">
        <f t="array" ref="D370">AVERAGE(_xlfn._xlws.FILTER(C:C,B:B=B370))</f>
        <v>140.20454545454547</v>
      </c>
      <c r="E370" s="61" cm="1">
        <f t="array" ref="E370">_xlfn.STDEV.S(_xlfn._xlws.FILTER(C:C,B:B=B370))</f>
        <v>54.067391000084555</v>
      </c>
      <c r="F370" s="61">
        <f t="shared" si="31"/>
        <v>32.069763454376357</v>
      </c>
      <c r="G370" s="61">
        <f t="shared" si="32"/>
        <v>248.33932745471458</v>
      </c>
      <c r="H370" s="61">
        <f t="shared" si="30"/>
        <v>-0.65112343694354347</v>
      </c>
      <c r="I370" s="28" t="str">
        <f t="shared" si="33"/>
        <v>Normal</v>
      </c>
      <c r="J370" s="49">
        <f t="shared" si="34"/>
        <v>105</v>
      </c>
      <c r="K370" s="49" t="e">
        <f t="shared" si="35"/>
        <v>#N/A</v>
      </c>
    </row>
    <row r="371" spans="1:11">
      <c r="A371" s="74">
        <v>40559</v>
      </c>
      <c r="B371" s="75">
        <v>18</v>
      </c>
      <c r="C371" s="73">
        <v>67</v>
      </c>
      <c r="D371" s="72" cm="1">
        <f t="array" ref="D371">AVERAGE(_xlfn._xlws.FILTER(C:C,B:B=B371))</f>
        <v>122.86046511627907</v>
      </c>
      <c r="E371" s="61" cm="1">
        <f t="array" ref="E371">_xlfn.STDEV.S(_xlfn._xlws.FILTER(C:C,B:B=B371))</f>
        <v>48.613432101949932</v>
      </c>
      <c r="F371" s="61">
        <f t="shared" si="31"/>
        <v>25.633600912379208</v>
      </c>
      <c r="G371" s="61">
        <f t="shared" si="32"/>
        <v>220.08732932017892</v>
      </c>
      <c r="H371" s="61">
        <f t="shared" si="30"/>
        <v>-1.1490747042737279</v>
      </c>
      <c r="I371" s="28" t="str">
        <f t="shared" si="33"/>
        <v>Normal</v>
      </c>
      <c r="J371" s="49">
        <f t="shared" si="34"/>
        <v>67</v>
      </c>
      <c r="K371" s="49" t="e">
        <f t="shared" si="35"/>
        <v>#N/A</v>
      </c>
    </row>
    <row r="372" spans="1:11">
      <c r="A372" s="74">
        <v>40559</v>
      </c>
      <c r="B372" s="75">
        <v>19</v>
      </c>
      <c r="C372" s="73">
        <v>61</v>
      </c>
      <c r="D372" s="72" cm="1">
        <f t="array" ref="D372">AVERAGE(_xlfn._xlws.FILTER(C:C,B:B=B372))</f>
        <v>85.139534883720927</v>
      </c>
      <c r="E372" s="61" cm="1">
        <f t="array" ref="E372">_xlfn.STDEV.S(_xlfn._xlws.FILTER(C:C,B:B=B372))</f>
        <v>31.690904054294752</v>
      </c>
      <c r="F372" s="61">
        <f t="shared" si="31"/>
        <v>21.757726775131424</v>
      </c>
      <c r="G372" s="61">
        <f t="shared" si="32"/>
        <v>148.52134299231042</v>
      </c>
      <c r="H372" s="61">
        <f t="shared" si="30"/>
        <v>-0.76171808927771933</v>
      </c>
      <c r="I372" s="28" t="str">
        <f t="shared" si="33"/>
        <v>Normal</v>
      </c>
      <c r="J372" s="49">
        <f t="shared" si="34"/>
        <v>61</v>
      </c>
      <c r="K372" s="49" t="e">
        <f t="shared" si="35"/>
        <v>#N/A</v>
      </c>
    </row>
    <row r="373" spans="1:11">
      <c r="A373" s="74">
        <v>40559</v>
      </c>
      <c r="B373" s="75">
        <v>20</v>
      </c>
      <c r="C373" s="73">
        <v>57</v>
      </c>
      <c r="D373" s="72" cm="1">
        <f t="array" ref="D373">AVERAGE(_xlfn._xlws.FILTER(C:C,B:B=B373))</f>
        <v>61.767441860465119</v>
      </c>
      <c r="E373" s="61" cm="1">
        <f t="array" ref="E373">_xlfn.STDEV.S(_xlfn._xlws.FILTER(C:C,B:B=B373))</f>
        <v>24.632380169685593</v>
      </c>
      <c r="F373" s="61">
        <f t="shared" si="31"/>
        <v>12.502681521093933</v>
      </c>
      <c r="G373" s="61">
        <f t="shared" si="32"/>
        <v>111.03220219983631</v>
      </c>
      <c r="H373" s="61">
        <f t="shared" si="30"/>
        <v>-0.19354369442268846</v>
      </c>
      <c r="I373" s="28" t="str">
        <f t="shared" si="33"/>
        <v>Normal</v>
      </c>
      <c r="J373" s="49">
        <f t="shared" si="34"/>
        <v>57</v>
      </c>
      <c r="K373" s="49" t="e">
        <f t="shared" si="35"/>
        <v>#N/A</v>
      </c>
    </row>
    <row r="374" spans="1:11">
      <c r="A374" s="74">
        <v>40559</v>
      </c>
      <c r="B374" s="75">
        <v>21</v>
      </c>
      <c r="C374" s="73">
        <v>28</v>
      </c>
      <c r="D374" s="72" cm="1">
        <f t="array" ref="D374">AVERAGE(_xlfn._xlws.FILTER(C:C,B:B=B374))</f>
        <v>46.418604651162788</v>
      </c>
      <c r="E374" s="61" cm="1">
        <f t="array" ref="E374">_xlfn.STDEV.S(_xlfn._xlws.FILTER(C:C,B:B=B374))</f>
        <v>14.656759464719496</v>
      </c>
      <c r="F374" s="61">
        <f t="shared" si="31"/>
        <v>17.105085721723796</v>
      </c>
      <c r="G374" s="61">
        <f t="shared" si="32"/>
        <v>75.73212358060178</v>
      </c>
      <c r="H374" s="61">
        <f t="shared" si="30"/>
        <v>-1.256662817964536</v>
      </c>
      <c r="I374" s="28" t="str">
        <f t="shared" si="33"/>
        <v>Normal</v>
      </c>
      <c r="J374" s="49">
        <f t="shared" si="34"/>
        <v>28</v>
      </c>
      <c r="K374" s="49" t="e">
        <f t="shared" si="35"/>
        <v>#N/A</v>
      </c>
    </row>
    <row r="375" spans="1:11">
      <c r="A375" s="74">
        <v>40559</v>
      </c>
      <c r="B375" s="75">
        <v>22</v>
      </c>
      <c r="C375" s="73">
        <v>21</v>
      </c>
      <c r="D375" s="72" cm="1">
        <f t="array" ref="D375">AVERAGE(_xlfn._xlws.FILTER(C:C,B:B=B375))</f>
        <v>35.069767441860463</v>
      </c>
      <c r="E375" s="61" cm="1">
        <f t="array" ref="E375">_xlfn.STDEV.S(_xlfn._xlws.FILTER(C:C,B:B=B375))</f>
        <v>11.95506537162667</v>
      </c>
      <c r="F375" s="61">
        <f t="shared" si="31"/>
        <v>11.159636698607123</v>
      </c>
      <c r="G375" s="61">
        <f t="shared" si="32"/>
        <v>58.979898185113804</v>
      </c>
      <c r="H375" s="61">
        <f t="shared" si="30"/>
        <v>-1.1768875371650147</v>
      </c>
      <c r="I375" s="28" t="str">
        <f t="shared" si="33"/>
        <v>Normal</v>
      </c>
      <c r="J375" s="49">
        <f t="shared" si="34"/>
        <v>21</v>
      </c>
      <c r="K375" s="49" t="e">
        <f t="shared" si="35"/>
        <v>#N/A</v>
      </c>
    </row>
    <row r="376" spans="1:11">
      <c r="A376" s="74">
        <v>40559</v>
      </c>
      <c r="B376" s="75">
        <v>23</v>
      </c>
      <c r="C376" s="73">
        <v>18</v>
      </c>
      <c r="D376" s="72" cm="1">
        <f t="array" ref="D376">AVERAGE(_xlfn._xlws.FILTER(C:C,B:B=B376))</f>
        <v>25.186046511627907</v>
      </c>
      <c r="E376" s="61" cm="1">
        <f t="array" ref="E376">_xlfn.STDEV.S(_xlfn._xlws.FILTER(C:C,B:B=B376))</f>
        <v>11.751911321656188</v>
      </c>
      <c r="F376" s="61">
        <f t="shared" si="31"/>
        <v>1.6822238683155319</v>
      </c>
      <c r="G376" s="61">
        <f t="shared" si="32"/>
        <v>48.689869154940283</v>
      </c>
      <c r="H376" s="61">
        <f t="shared" si="30"/>
        <v>-0.61147895988507028</v>
      </c>
      <c r="I376" s="28" t="str">
        <f t="shared" si="33"/>
        <v>Normal</v>
      </c>
      <c r="J376" s="49">
        <f t="shared" si="34"/>
        <v>18</v>
      </c>
      <c r="K376" s="49" t="e">
        <f t="shared" si="35"/>
        <v>#N/A</v>
      </c>
    </row>
    <row r="377" spans="1:11">
      <c r="A377" s="74">
        <v>40560</v>
      </c>
      <c r="B377" s="75">
        <v>0</v>
      </c>
      <c r="C377" s="73">
        <v>17</v>
      </c>
      <c r="D377" s="72" cm="1">
        <f t="array" ref="D377">AVERAGE(_xlfn._xlws.FILTER(C:C,B:B=B377))</f>
        <v>16.348837209302324</v>
      </c>
      <c r="E377" s="61" cm="1">
        <f t="array" ref="E377">_xlfn.STDEV.S(_xlfn._xlws.FILTER(C:C,B:B=B377))</f>
        <v>10.44232167427621</v>
      </c>
      <c r="F377" s="61">
        <f t="shared" si="31"/>
        <v>-4.535806139250095</v>
      </c>
      <c r="G377" s="61">
        <f t="shared" si="32"/>
        <v>37.233480557854747</v>
      </c>
      <c r="H377" s="61">
        <f t="shared" si="30"/>
        <v>6.2358047473461853E-2</v>
      </c>
      <c r="I377" s="28" t="str">
        <f t="shared" si="33"/>
        <v>Normal</v>
      </c>
      <c r="J377" s="49">
        <f t="shared" si="34"/>
        <v>17</v>
      </c>
      <c r="K377" s="49" t="e">
        <f t="shared" si="35"/>
        <v>#N/A</v>
      </c>
    </row>
    <row r="378" spans="1:11">
      <c r="A378" s="74">
        <v>40560</v>
      </c>
      <c r="B378" s="75">
        <v>1</v>
      </c>
      <c r="C378" s="73">
        <v>16</v>
      </c>
      <c r="D378" s="72" cm="1">
        <f t="array" ref="D378">AVERAGE(_xlfn._xlws.FILTER(C:C,B:B=B378))</f>
        <v>10.697674418604651</v>
      </c>
      <c r="E378" s="61" cm="1">
        <f t="array" ref="E378">_xlfn.STDEV.S(_xlfn._xlws.FILTER(C:C,B:B=B378))</f>
        <v>10.060613641515801</v>
      </c>
      <c r="F378" s="61">
        <f t="shared" si="31"/>
        <v>-9.4235528644269504</v>
      </c>
      <c r="G378" s="61">
        <f t="shared" si="32"/>
        <v>30.81890170163625</v>
      </c>
      <c r="H378" s="61">
        <f t="shared" si="30"/>
        <v>0.52703798896669141</v>
      </c>
      <c r="I378" s="28" t="str">
        <f t="shared" si="33"/>
        <v>Normal</v>
      </c>
      <c r="J378" s="49">
        <f t="shared" si="34"/>
        <v>16</v>
      </c>
      <c r="K378" s="49" t="e">
        <f t="shared" si="35"/>
        <v>#N/A</v>
      </c>
    </row>
    <row r="379" spans="1:11">
      <c r="A379" s="74">
        <v>40560</v>
      </c>
      <c r="B379" s="75">
        <v>2</v>
      </c>
      <c r="C379" s="73">
        <v>8</v>
      </c>
      <c r="D379" s="72" cm="1">
        <f t="array" ref="D379">AVERAGE(_xlfn._xlws.FILTER(C:C,B:B=B379))</f>
        <v>7.1707317073170733</v>
      </c>
      <c r="E379" s="61" cm="1">
        <f t="array" ref="E379">_xlfn.STDEV.S(_xlfn._xlws.FILTER(C:C,B:B=B379))</f>
        <v>7.3685223723090854</v>
      </c>
      <c r="F379" s="61">
        <f t="shared" si="31"/>
        <v>-7.5663130373010974</v>
      </c>
      <c r="G379" s="61">
        <f t="shared" si="32"/>
        <v>21.907776451935245</v>
      </c>
      <c r="H379" s="61">
        <f t="shared" si="30"/>
        <v>0.11254200649499523</v>
      </c>
      <c r="I379" s="28" t="str">
        <f t="shared" si="33"/>
        <v>Normal</v>
      </c>
      <c r="J379" s="49">
        <f t="shared" si="34"/>
        <v>8</v>
      </c>
      <c r="K379" s="49" t="e">
        <f t="shared" si="35"/>
        <v>#N/A</v>
      </c>
    </row>
    <row r="380" spans="1:11">
      <c r="A380" s="74">
        <v>40560</v>
      </c>
      <c r="B380" s="75">
        <v>3</v>
      </c>
      <c r="C380" s="73">
        <v>2</v>
      </c>
      <c r="D380" s="72" cm="1">
        <f t="array" ref="D380">AVERAGE(_xlfn._xlws.FILTER(C:C,B:B=B380))</f>
        <v>4.870967741935484</v>
      </c>
      <c r="E380" s="61" cm="1">
        <f t="array" ref="E380">_xlfn.STDEV.S(_xlfn._xlws.FILTER(C:C,B:B=B380))</f>
        <v>4.4702120418303126</v>
      </c>
      <c r="F380" s="61">
        <f t="shared" si="31"/>
        <v>-4.0694563417251413</v>
      </c>
      <c r="G380" s="61">
        <f t="shared" si="32"/>
        <v>13.811391825596109</v>
      </c>
      <c r="H380" s="61">
        <f t="shared" si="30"/>
        <v>-0.64224419671152255</v>
      </c>
      <c r="I380" s="28" t="str">
        <f t="shared" si="33"/>
        <v>Normal</v>
      </c>
      <c r="J380" s="49">
        <f t="shared" si="34"/>
        <v>2</v>
      </c>
      <c r="K380" s="49" t="e">
        <f t="shared" si="35"/>
        <v>#N/A</v>
      </c>
    </row>
    <row r="381" spans="1:11">
      <c r="A381" s="74">
        <v>40560</v>
      </c>
      <c r="B381" s="75">
        <v>4</v>
      </c>
      <c r="C381" s="73">
        <v>3</v>
      </c>
      <c r="D381" s="72" cm="1">
        <f t="array" ref="D381">AVERAGE(_xlfn._xlws.FILTER(C:C,B:B=B381))</f>
        <v>2.15625</v>
      </c>
      <c r="E381" s="61" cm="1">
        <f t="array" ref="E381">_xlfn.STDEV.S(_xlfn._xlws.FILTER(C:C,B:B=B381))</f>
        <v>1.5263148747143209</v>
      </c>
      <c r="F381" s="61">
        <f t="shared" si="31"/>
        <v>-0.89637974942864185</v>
      </c>
      <c r="G381" s="61">
        <f t="shared" si="32"/>
        <v>5.2088797494286414</v>
      </c>
      <c r="H381" s="61">
        <f t="shared" si="30"/>
        <v>0.55280205544607819</v>
      </c>
      <c r="I381" s="28" t="str">
        <f t="shared" si="33"/>
        <v>Normal</v>
      </c>
      <c r="J381" s="49">
        <f t="shared" si="34"/>
        <v>3</v>
      </c>
      <c r="K381" s="49" t="e">
        <f t="shared" si="35"/>
        <v>#N/A</v>
      </c>
    </row>
    <row r="382" spans="1:11">
      <c r="A382" s="74">
        <v>40560</v>
      </c>
      <c r="B382" s="75">
        <v>5</v>
      </c>
      <c r="C382" s="73">
        <v>1</v>
      </c>
      <c r="D382" s="72" cm="1">
        <f t="array" ref="D382">AVERAGE(_xlfn._xlws.FILTER(C:C,B:B=B382))</f>
        <v>4.2051282051282053</v>
      </c>
      <c r="E382" s="61" cm="1">
        <f t="array" ref="E382">_xlfn.STDEV.S(_xlfn._xlws.FILTER(C:C,B:B=B382))</f>
        <v>2.5358429220352288</v>
      </c>
      <c r="F382" s="61">
        <f t="shared" si="31"/>
        <v>-0.86655763894225224</v>
      </c>
      <c r="G382" s="61">
        <f t="shared" si="32"/>
        <v>9.2768140491986628</v>
      </c>
      <c r="H382" s="61">
        <f t="shared" si="30"/>
        <v>-1.2639301027982515</v>
      </c>
      <c r="I382" s="28" t="str">
        <f t="shared" si="33"/>
        <v>Normal</v>
      </c>
      <c r="J382" s="49">
        <f t="shared" si="34"/>
        <v>1</v>
      </c>
      <c r="K382" s="49" t="e">
        <f t="shared" si="35"/>
        <v>#N/A</v>
      </c>
    </row>
    <row r="383" spans="1:11">
      <c r="A383" s="74">
        <v>40560</v>
      </c>
      <c r="B383" s="75">
        <v>6</v>
      </c>
      <c r="C383" s="73">
        <v>5</v>
      </c>
      <c r="D383" s="72" cm="1">
        <f t="array" ref="D383">AVERAGE(_xlfn._xlws.FILTER(C:C,B:B=B383))</f>
        <v>19.571428571428573</v>
      </c>
      <c r="E383" s="61" cm="1">
        <f t="array" ref="E383">_xlfn.STDEV.S(_xlfn._xlws.FILTER(C:C,B:B=B383))</f>
        <v>14.202615453298934</v>
      </c>
      <c r="F383" s="61">
        <f t="shared" si="31"/>
        <v>-8.8338023351692954</v>
      </c>
      <c r="G383" s="61">
        <f t="shared" si="32"/>
        <v>47.976659478026441</v>
      </c>
      <c r="H383" s="61">
        <f t="shared" si="30"/>
        <v>-1.025967971838875</v>
      </c>
      <c r="I383" s="28" t="str">
        <f t="shared" si="33"/>
        <v>Normal</v>
      </c>
      <c r="J383" s="49">
        <f t="shared" si="34"/>
        <v>5</v>
      </c>
      <c r="K383" s="49" t="e">
        <f t="shared" si="35"/>
        <v>#N/A</v>
      </c>
    </row>
    <row r="384" spans="1:11">
      <c r="A384" s="74">
        <v>40560</v>
      </c>
      <c r="B384" s="75">
        <v>7</v>
      </c>
      <c r="C384" s="73">
        <v>13</v>
      </c>
      <c r="D384" s="72" cm="1">
        <f t="array" ref="D384">AVERAGE(_xlfn._xlws.FILTER(C:C,B:B=B384))</f>
        <v>54.395348837209305</v>
      </c>
      <c r="E384" s="61" cm="1">
        <f t="array" ref="E384">_xlfn.STDEV.S(_xlfn._xlws.FILTER(C:C,B:B=B384))</f>
        <v>39.112864486352777</v>
      </c>
      <c r="F384" s="61">
        <f t="shared" si="31"/>
        <v>-23.830380135496249</v>
      </c>
      <c r="G384" s="61">
        <f t="shared" si="32"/>
        <v>132.62107780991485</v>
      </c>
      <c r="H384" s="61">
        <f t="shared" si="30"/>
        <v>-1.0583563587282883</v>
      </c>
      <c r="I384" s="28" t="str">
        <f t="shared" si="33"/>
        <v>Normal</v>
      </c>
      <c r="J384" s="49">
        <f t="shared" si="34"/>
        <v>13</v>
      </c>
      <c r="K384" s="49" t="e">
        <f t="shared" si="35"/>
        <v>#N/A</v>
      </c>
    </row>
    <row r="385" spans="1:11">
      <c r="A385" s="74">
        <v>40560</v>
      </c>
      <c r="B385" s="75">
        <v>8</v>
      </c>
      <c r="C385" s="73">
        <v>33</v>
      </c>
      <c r="D385" s="72" cm="1">
        <f t="array" ref="D385">AVERAGE(_xlfn._xlws.FILTER(C:C,B:B=B385))</f>
        <v>128.28571428571428</v>
      </c>
      <c r="E385" s="61" cm="1">
        <f t="array" ref="E385">_xlfn.STDEV.S(_xlfn._xlws.FILTER(C:C,B:B=B385))</f>
        <v>88.551565717048547</v>
      </c>
      <c r="F385" s="61">
        <f t="shared" si="31"/>
        <v>-48.817417148382816</v>
      </c>
      <c r="G385" s="61">
        <f t="shared" si="32"/>
        <v>305.38884571981134</v>
      </c>
      <c r="H385" s="61">
        <f t="shared" si="30"/>
        <v>-1.076047763968212</v>
      </c>
      <c r="I385" s="28" t="str">
        <f t="shared" si="33"/>
        <v>Normal</v>
      </c>
      <c r="J385" s="49">
        <f t="shared" si="34"/>
        <v>33</v>
      </c>
      <c r="K385" s="49" t="e">
        <f t="shared" si="35"/>
        <v>#N/A</v>
      </c>
    </row>
    <row r="386" spans="1:11">
      <c r="A386" s="74">
        <v>40560</v>
      </c>
      <c r="B386" s="75">
        <v>9</v>
      </c>
      <c r="C386" s="73">
        <v>47</v>
      </c>
      <c r="D386" s="72" cm="1">
        <f t="array" ref="D386">AVERAGE(_xlfn._xlws.FILTER(C:C,B:B=B386))</f>
        <v>87.428571428571431</v>
      </c>
      <c r="E386" s="61" cm="1">
        <f t="array" ref="E386">_xlfn.STDEV.S(_xlfn._xlws.FILTER(C:C,B:B=B386))</f>
        <v>45.93852884078624</v>
      </c>
      <c r="F386" s="61">
        <f t="shared" si="31"/>
        <v>-4.4484862530010503</v>
      </c>
      <c r="G386" s="61">
        <f t="shared" si="32"/>
        <v>179.30562911014391</v>
      </c>
      <c r="H386" s="61">
        <f t="shared" si="30"/>
        <v>-0.88005803513405445</v>
      </c>
      <c r="I386" s="28" t="str">
        <f t="shared" si="33"/>
        <v>Normal</v>
      </c>
      <c r="J386" s="49">
        <f t="shared" si="34"/>
        <v>47</v>
      </c>
      <c r="K386" s="49" t="e">
        <f t="shared" si="35"/>
        <v>#N/A</v>
      </c>
    </row>
    <row r="387" spans="1:11">
      <c r="A387" s="74">
        <v>40560</v>
      </c>
      <c r="B387" s="75">
        <v>10</v>
      </c>
      <c r="C387" s="73">
        <v>57</v>
      </c>
      <c r="D387" s="72" cm="1">
        <f t="array" ref="D387">AVERAGE(_xlfn._xlws.FILTER(C:C,B:B=B387))</f>
        <v>53.642857142857146</v>
      </c>
      <c r="E387" s="61" cm="1">
        <f t="array" ref="E387">_xlfn.STDEV.S(_xlfn._xlws.FILTER(C:C,B:B=B387))</f>
        <v>15.395313554536934</v>
      </c>
      <c r="F387" s="61">
        <f t="shared" si="31"/>
        <v>22.852230033783279</v>
      </c>
      <c r="G387" s="61">
        <f t="shared" si="32"/>
        <v>84.43348425193102</v>
      </c>
      <c r="H387" s="61">
        <f t="shared" si="30"/>
        <v>0.2180626490815134</v>
      </c>
      <c r="I387" s="28" t="str">
        <f t="shared" si="33"/>
        <v>Normal</v>
      </c>
      <c r="J387" s="49">
        <f t="shared" si="34"/>
        <v>57</v>
      </c>
      <c r="K387" s="49" t="e">
        <f t="shared" si="35"/>
        <v>#N/A</v>
      </c>
    </row>
    <row r="388" spans="1:11">
      <c r="A388" s="74">
        <v>40560</v>
      </c>
      <c r="B388" s="75">
        <v>11</v>
      </c>
      <c r="C388" s="73">
        <v>64</v>
      </c>
      <c r="D388" s="72" cm="1">
        <f t="array" ref="D388">AVERAGE(_xlfn._xlws.FILTER(C:C,B:B=B388))</f>
        <v>59.38095238095238</v>
      </c>
      <c r="E388" s="61" cm="1">
        <f t="array" ref="E388">_xlfn.STDEV.S(_xlfn._xlws.FILTER(C:C,B:B=B388))</f>
        <v>20.89573696860419</v>
      </c>
      <c r="F388" s="61">
        <f t="shared" si="31"/>
        <v>17.589478443743999</v>
      </c>
      <c r="G388" s="61">
        <f t="shared" si="32"/>
        <v>101.17242631816076</v>
      </c>
      <c r="H388" s="61">
        <f t="shared" si="30"/>
        <v>0.22105215173734871</v>
      </c>
      <c r="I388" s="28" t="str">
        <f t="shared" si="33"/>
        <v>Normal</v>
      </c>
      <c r="J388" s="49">
        <f t="shared" si="34"/>
        <v>64</v>
      </c>
      <c r="K388" s="49" t="e">
        <f t="shared" si="35"/>
        <v>#N/A</v>
      </c>
    </row>
    <row r="389" spans="1:11">
      <c r="A389" s="74">
        <v>40560</v>
      </c>
      <c r="B389" s="75">
        <v>12</v>
      </c>
      <c r="C389" s="73">
        <v>80</v>
      </c>
      <c r="D389" s="72" cm="1">
        <f t="array" ref="D389">AVERAGE(_xlfn._xlws.FILTER(C:C,B:B=B389))</f>
        <v>76.348837209302332</v>
      </c>
      <c r="E389" s="61" cm="1">
        <f t="array" ref="E389">_xlfn.STDEV.S(_xlfn._xlws.FILTER(C:C,B:B=B389))</f>
        <v>29.034366927857054</v>
      </c>
      <c r="F389" s="61">
        <f t="shared" si="31"/>
        <v>18.280103353588224</v>
      </c>
      <c r="G389" s="61">
        <f t="shared" si="32"/>
        <v>134.41757106501643</v>
      </c>
      <c r="H389" s="61">
        <f t="shared" ref="H389:H452" si="36">(C389-D389)/E389</f>
        <v>0.12575313936652624</v>
      </c>
      <c r="I389" s="28" t="str">
        <f t="shared" si="33"/>
        <v>Normal</v>
      </c>
      <c r="J389" s="49">
        <f t="shared" si="34"/>
        <v>80</v>
      </c>
      <c r="K389" s="49" t="e">
        <f t="shared" si="35"/>
        <v>#N/A</v>
      </c>
    </row>
    <row r="390" spans="1:11">
      <c r="A390" s="74">
        <v>40560</v>
      </c>
      <c r="B390" s="75">
        <v>13</v>
      </c>
      <c r="C390" s="73">
        <v>93</v>
      </c>
      <c r="D390" s="72" cm="1">
        <f t="array" ref="D390">AVERAGE(_xlfn._xlws.FILTER(C:C,B:B=B390))</f>
        <v>78.511627906976742</v>
      </c>
      <c r="E390" s="61" cm="1">
        <f t="array" ref="E390">_xlfn.STDEV.S(_xlfn._xlws.FILTER(C:C,B:B=B390))</f>
        <v>30.072430098825187</v>
      </c>
      <c r="F390" s="61">
        <f t="shared" ref="F390:F453" si="37">D390-(2*E390)</f>
        <v>18.366767709326368</v>
      </c>
      <c r="G390" s="61">
        <f t="shared" ref="G390:G453" si="38">D390+(2*E390)</f>
        <v>138.6564881046271</v>
      </c>
      <c r="H390" s="61">
        <f t="shared" si="36"/>
        <v>0.48178255117431507</v>
      </c>
      <c r="I390" s="28" t="str">
        <f t="shared" ref="I390:I453" si="39">IF(H390&gt;=2,"High Anomaly",IF(H390&lt;=-2,"Low Anomaly","Normal"))</f>
        <v>Normal</v>
      </c>
      <c r="J390" s="49">
        <f t="shared" ref="J390:J453" si="40">IF(I390="Normal",C390,NA())</f>
        <v>93</v>
      </c>
      <c r="K390" s="49" t="e">
        <f t="shared" ref="K390:K453" si="41">IF(I390&lt;&gt;"Normal",C390,NA())</f>
        <v>#N/A</v>
      </c>
    </row>
    <row r="391" spans="1:11">
      <c r="A391" s="74">
        <v>40560</v>
      </c>
      <c r="B391" s="75">
        <v>14</v>
      </c>
      <c r="C391" s="73">
        <v>86</v>
      </c>
      <c r="D391" s="72" cm="1">
        <f t="array" ref="D391">AVERAGE(_xlfn._xlws.FILTER(C:C,B:B=B391))</f>
        <v>74.418604651162795</v>
      </c>
      <c r="E391" s="61" cm="1">
        <f t="array" ref="E391">_xlfn.STDEV.S(_xlfn._xlws.FILTER(C:C,B:B=B391))</f>
        <v>30.30576918056515</v>
      </c>
      <c r="F391" s="61">
        <f t="shared" si="37"/>
        <v>13.807066290032495</v>
      </c>
      <c r="G391" s="61">
        <f t="shared" si="38"/>
        <v>135.03014301229308</v>
      </c>
      <c r="H391" s="61">
        <f t="shared" si="36"/>
        <v>0.38215150652781527</v>
      </c>
      <c r="I391" s="28" t="str">
        <f t="shared" si="39"/>
        <v>Normal</v>
      </c>
      <c r="J391" s="49">
        <f t="shared" si="40"/>
        <v>86</v>
      </c>
      <c r="K391" s="49" t="e">
        <f t="shared" si="41"/>
        <v>#N/A</v>
      </c>
    </row>
    <row r="392" spans="1:11">
      <c r="A392" s="74">
        <v>40560</v>
      </c>
      <c r="B392" s="75">
        <v>15</v>
      </c>
      <c r="C392" s="73">
        <v>93</v>
      </c>
      <c r="D392" s="72" cm="1">
        <f t="array" ref="D392">AVERAGE(_xlfn._xlws.FILTER(C:C,B:B=B392))</f>
        <v>77.95348837209302</v>
      </c>
      <c r="E392" s="61" cm="1">
        <f t="array" ref="E392">_xlfn.STDEV.S(_xlfn._xlws.FILTER(C:C,B:B=B392))</f>
        <v>34.481156681772681</v>
      </c>
      <c r="F392" s="61">
        <f t="shared" si="37"/>
        <v>8.9911750085476569</v>
      </c>
      <c r="G392" s="61">
        <f t="shared" si="38"/>
        <v>146.91580173563838</v>
      </c>
      <c r="H392" s="61">
        <f t="shared" si="36"/>
        <v>0.43636910927239336</v>
      </c>
      <c r="I392" s="28" t="str">
        <f t="shared" si="39"/>
        <v>Normal</v>
      </c>
      <c r="J392" s="49">
        <f t="shared" si="40"/>
        <v>93</v>
      </c>
      <c r="K392" s="49" t="e">
        <f t="shared" si="41"/>
        <v>#N/A</v>
      </c>
    </row>
    <row r="393" spans="1:11">
      <c r="A393" s="74">
        <v>40560</v>
      </c>
      <c r="B393" s="75">
        <v>16</v>
      </c>
      <c r="C393" s="73">
        <v>82</v>
      </c>
      <c r="D393" s="72" cm="1">
        <f t="array" ref="D393">AVERAGE(_xlfn._xlws.FILTER(C:C,B:B=B393))</f>
        <v>89.272727272727266</v>
      </c>
      <c r="E393" s="61" cm="1">
        <f t="array" ref="E393">_xlfn.STDEV.S(_xlfn._xlws.FILTER(C:C,B:B=B393))</f>
        <v>25.461657115880758</v>
      </c>
      <c r="F393" s="61">
        <f t="shared" si="37"/>
        <v>38.34941304096575</v>
      </c>
      <c r="G393" s="61">
        <f t="shared" si="38"/>
        <v>140.19604150448879</v>
      </c>
      <c r="H393" s="61">
        <f t="shared" si="36"/>
        <v>-0.28563448323994489</v>
      </c>
      <c r="I393" s="28" t="str">
        <f t="shared" si="39"/>
        <v>Normal</v>
      </c>
      <c r="J393" s="49">
        <f t="shared" si="40"/>
        <v>82</v>
      </c>
      <c r="K393" s="49" t="e">
        <f t="shared" si="41"/>
        <v>#N/A</v>
      </c>
    </row>
    <row r="394" spans="1:11">
      <c r="A394" s="74">
        <v>40560</v>
      </c>
      <c r="B394" s="75">
        <v>17</v>
      </c>
      <c r="C394" s="73">
        <v>71</v>
      </c>
      <c r="D394" s="72" cm="1">
        <f t="array" ref="D394">AVERAGE(_xlfn._xlws.FILTER(C:C,B:B=B394))</f>
        <v>140.20454545454547</v>
      </c>
      <c r="E394" s="61" cm="1">
        <f t="array" ref="E394">_xlfn.STDEV.S(_xlfn._xlws.FILTER(C:C,B:B=B394))</f>
        <v>54.067391000084555</v>
      </c>
      <c r="F394" s="61">
        <f t="shared" si="37"/>
        <v>32.069763454376357</v>
      </c>
      <c r="G394" s="61">
        <f t="shared" si="38"/>
        <v>248.33932745471458</v>
      </c>
      <c r="H394" s="61">
        <f t="shared" si="36"/>
        <v>-1.2799682798535117</v>
      </c>
      <c r="I394" s="28" t="str">
        <f t="shared" si="39"/>
        <v>Normal</v>
      </c>
      <c r="J394" s="49">
        <f t="shared" si="40"/>
        <v>71</v>
      </c>
      <c r="K394" s="49" t="e">
        <f t="shared" si="41"/>
        <v>#N/A</v>
      </c>
    </row>
    <row r="395" spans="1:11">
      <c r="A395" s="74">
        <v>40560</v>
      </c>
      <c r="B395" s="75">
        <v>18</v>
      </c>
      <c r="C395" s="73">
        <v>92</v>
      </c>
      <c r="D395" s="72" cm="1">
        <f t="array" ref="D395">AVERAGE(_xlfn._xlws.FILTER(C:C,B:B=B395))</f>
        <v>122.86046511627907</v>
      </c>
      <c r="E395" s="61" cm="1">
        <f t="array" ref="E395">_xlfn.STDEV.S(_xlfn._xlws.FILTER(C:C,B:B=B395))</f>
        <v>48.613432101949932</v>
      </c>
      <c r="F395" s="61">
        <f t="shared" si="37"/>
        <v>25.633600912379208</v>
      </c>
      <c r="G395" s="61">
        <f t="shared" si="38"/>
        <v>220.08732932017892</v>
      </c>
      <c r="H395" s="61">
        <f t="shared" si="36"/>
        <v>-0.63481354395138934</v>
      </c>
      <c r="I395" s="28" t="str">
        <f t="shared" si="39"/>
        <v>Normal</v>
      </c>
      <c r="J395" s="49">
        <f t="shared" si="40"/>
        <v>92</v>
      </c>
      <c r="K395" s="49" t="e">
        <f t="shared" si="41"/>
        <v>#N/A</v>
      </c>
    </row>
    <row r="396" spans="1:11">
      <c r="A396" s="74">
        <v>40560</v>
      </c>
      <c r="B396" s="75">
        <v>19</v>
      </c>
      <c r="C396" s="73">
        <v>60</v>
      </c>
      <c r="D396" s="72" cm="1">
        <f t="array" ref="D396">AVERAGE(_xlfn._xlws.FILTER(C:C,B:B=B396))</f>
        <v>85.139534883720927</v>
      </c>
      <c r="E396" s="61" cm="1">
        <f t="array" ref="E396">_xlfn.STDEV.S(_xlfn._xlws.FILTER(C:C,B:B=B396))</f>
        <v>31.690904054294752</v>
      </c>
      <c r="F396" s="61">
        <f t="shared" si="37"/>
        <v>21.757726775131424</v>
      </c>
      <c r="G396" s="61">
        <f t="shared" si="38"/>
        <v>148.52134299231042</v>
      </c>
      <c r="H396" s="61">
        <f t="shared" si="36"/>
        <v>-0.79327288488363645</v>
      </c>
      <c r="I396" s="28" t="str">
        <f t="shared" si="39"/>
        <v>Normal</v>
      </c>
      <c r="J396" s="49">
        <f t="shared" si="40"/>
        <v>60</v>
      </c>
      <c r="K396" s="49" t="e">
        <f t="shared" si="41"/>
        <v>#N/A</v>
      </c>
    </row>
    <row r="397" spans="1:11">
      <c r="A397" s="74">
        <v>40560</v>
      </c>
      <c r="B397" s="75">
        <v>20</v>
      </c>
      <c r="C397" s="73">
        <v>33</v>
      </c>
      <c r="D397" s="72" cm="1">
        <f t="array" ref="D397">AVERAGE(_xlfn._xlws.FILTER(C:C,B:B=B397))</f>
        <v>61.767441860465119</v>
      </c>
      <c r="E397" s="61" cm="1">
        <f t="array" ref="E397">_xlfn.STDEV.S(_xlfn._xlws.FILTER(C:C,B:B=B397))</f>
        <v>24.632380169685593</v>
      </c>
      <c r="F397" s="61">
        <f t="shared" si="37"/>
        <v>12.502681521093933</v>
      </c>
      <c r="G397" s="61">
        <f t="shared" si="38"/>
        <v>111.03220219983631</v>
      </c>
      <c r="H397" s="61">
        <f t="shared" si="36"/>
        <v>-1.167870975613978</v>
      </c>
      <c r="I397" s="28" t="str">
        <f t="shared" si="39"/>
        <v>Normal</v>
      </c>
      <c r="J397" s="49">
        <f t="shared" si="40"/>
        <v>33</v>
      </c>
      <c r="K397" s="49" t="e">
        <f t="shared" si="41"/>
        <v>#N/A</v>
      </c>
    </row>
    <row r="398" spans="1:11">
      <c r="A398" s="74">
        <v>40560</v>
      </c>
      <c r="B398" s="75">
        <v>21</v>
      </c>
      <c r="C398" s="73">
        <v>27</v>
      </c>
      <c r="D398" s="72" cm="1">
        <f t="array" ref="D398">AVERAGE(_xlfn._xlws.FILTER(C:C,B:B=B398))</f>
        <v>46.418604651162788</v>
      </c>
      <c r="E398" s="61" cm="1">
        <f t="array" ref="E398">_xlfn.STDEV.S(_xlfn._xlws.FILTER(C:C,B:B=B398))</f>
        <v>14.656759464719496</v>
      </c>
      <c r="F398" s="61">
        <f t="shared" si="37"/>
        <v>17.105085721723796</v>
      </c>
      <c r="G398" s="61">
        <f t="shared" si="38"/>
        <v>75.73212358060178</v>
      </c>
      <c r="H398" s="61">
        <f t="shared" si="36"/>
        <v>-1.324890723485338</v>
      </c>
      <c r="I398" s="28" t="str">
        <f t="shared" si="39"/>
        <v>Normal</v>
      </c>
      <c r="J398" s="49">
        <f t="shared" si="40"/>
        <v>27</v>
      </c>
      <c r="K398" s="49" t="e">
        <f t="shared" si="41"/>
        <v>#N/A</v>
      </c>
    </row>
    <row r="399" spans="1:11">
      <c r="A399" s="74">
        <v>40560</v>
      </c>
      <c r="B399" s="75">
        <v>22</v>
      </c>
      <c r="C399" s="73">
        <v>13</v>
      </c>
      <c r="D399" s="72" cm="1">
        <f t="array" ref="D399">AVERAGE(_xlfn._xlws.FILTER(C:C,B:B=B399))</f>
        <v>35.069767441860463</v>
      </c>
      <c r="E399" s="61" cm="1">
        <f t="array" ref="E399">_xlfn.STDEV.S(_xlfn._xlws.FILTER(C:C,B:B=B399))</f>
        <v>11.95506537162667</v>
      </c>
      <c r="F399" s="61">
        <f t="shared" si="37"/>
        <v>11.159636698607123</v>
      </c>
      <c r="G399" s="61">
        <f t="shared" si="38"/>
        <v>58.979898185113804</v>
      </c>
      <c r="H399" s="61">
        <f t="shared" si="36"/>
        <v>-1.8460599549910728</v>
      </c>
      <c r="I399" s="28" t="str">
        <f t="shared" si="39"/>
        <v>Normal</v>
      </c>
      <c r="J399" s="49">
        <f t="shared" si="40"/>
        <v>13</v>
      </c>
      <c r="K399" s="49" t="e">
        <f t="shared" si="41"/>
        <v>#N/A</v>
      </c>
    </row>
    <row r="400" spans="1:11">
      <c r="A400" s="74">
        <v>40560</v>
      </c>
      <c r="B400" s="75">
        <v>23</v>
      </c>
      <c r="C400" s="73">
        <v>4</v>
      </c>
      <c r="D400" s="72" cm="1">
        <f t="array" ref="D400">AVERAGE(_xlfn._xlws.FILTER(C:C,B:B=B400))</f>
        <v>25.186046511627907</v>
      </c>
      <c r="E400" s="61" cm="1">
        <f t="array" ref="E400">_xlfn.STDEV.S(_xlfn._xlws.FILTER(C:C,B:B=B400))</f>
        <v>11.751911321656188</v>
      </c>
      <c r="F400" s="61">
        <f t="shared" si="37"/>
        <v>1.6822238683155319</v>
      </c>
      <c r="G400" s="61">
        <f t="shared" si="38"/>
        <v>48.689869154940283</v>
      </c>
      <c r="H400" s="61">
        <f t="shared" si="36"/>
        <v>-1.802774538690288</v>
      </c>
      <c r="I400" s="28" t="str">
        <f t="shared" si="39"/>
        <v>Normal</v>
      </c>
      <c r="J400" s="49">
        <f t="shared" si="40"/>
        <v>4</v>
      </c>
      <c r="K400" s="49" t="e">
        <f t="shared" si="41"/>
        <v>#N/A</v>
      </c>
    </row>
    <row r="401" spans="1:11">
      <c r="A401" s="74">
        <v>40561</v>
      </c>
      <c r="B401" s="75">
        <v>12</v>
      </c>
      <c r="C401" s="73">
        <v>3</v>
      </c>
      <c r="D401" s="72" cm="1">
        <f t="array" ref="D401">AVERAGE(_xlfn._xlws.FILTER(C:C,B:B=B401))</f>
        <v>76.348837209302332</v>
      </c>
      <c r="E401" s="61" cm="1">
        <f t="array" ref="E401">_xlfn.STDEV.S(_xlfn._xlws.FILTER(C:C,B:B=B401))</f>
        <v>29.034366927857054</v>
      </c>
      <c r="F401" s="61">
        <f t="shared" si="37"/>
        <v>18.280103353588224</v>
      </c>
      <c r="G401" s="61">
        <f t="shared" si="38"/>
        <v>134.41757106501643</v>
      </c>
      <c r="H401" s="61">
        <f t="shared" si="36"/>
        <v>-2.5262764430702194</v>
      </c>
      <c r="I401" s="28" t="str">
        <f t="shared" si="39"/>
        <v>Low Anomaly</v>
      </c>
      <c r="J401" s="49" t="e">
        <f t="shared" si="40"/>
        <v>#N/A</v>
      </c>
      <c r="K401" s="49">
        <f t="shared" si="41"/>
        <v>3</v>
      </c>
    </row>
    <row r="402" spans="1:11">
      <c r="A402" s="74">
        <v>40561</v>
      </c>
      <c r="B402" s="75">
        <v>13</v>
      </c>
      <c r="C402" s="73">
        <v>22</v>
      </c>
      <c r="D402" s="72" cm="1">
        <f t="array" ref="D402">AVERAGE(_xlfn._xlws.FILTER(C:C,B:B=B402))</f>
        <v>78.511627906976742</v>
      </c>
      <c r="E402" s="61" cm="1">
        <f t="array" ref="E402">_xlfn.STDEV.S(_xlfn._xlws.FILTER(C:C,B:B=B402))</f>
        <v>30.072430098825187</v>
      </c>
      <c r="F402" s="61">
        <f t="shared" si="37"/>
        <v>18.366767709326368</v>
      </c>
      <c r="G402" s="61">
        <f t="shared" si="38"/>
        <v>138.6564881046271</v>
      </c>
      <c r="H402" s="61">
        <f t="shared" si="36"/>
        <v>-1.8791839475980503</v>
      </c>
      <c r="I402" s="28" t="str">
        <f t="shared" si="39"/>
        <v>Normal</v>
      </c>
      <c r="J402" s="49">
        <f t="shared" si="40"/>
        <v>22</v>
      </c>
      <c r="K402" s="49" t="e">
        <f t="shared" si="41"/>
        <v>#N/A</v>
      </c>
    </row>
    <row r="403" spans="1:11">
      <c r="A403" s="74">
        <v>40561</v>
      </c>
      <c r="B403" s="75">
        <v>14</v>
      </c>
      <c r="C403" s="73">
        <v>28</v>
      </c>
      <c r="D403" s="72" cm="1">
        <f t="array" ref="D403">AVERAGE(_xlfn._xlws.FILTER(C:C,B:B=B403))</f>
        <v>74.418604651162795</v>
      </c>
      <c r="E403" s="61" cm="1">
        <f t="array" ref="E403">_xlfn.STDEV.S(_xlfn._xlws.FILTER(C:C,B:B=B403))</f>
        <v>30.30576918056515</v>
      </c>
      <c r="F403" s="61">
        <f t="shared" si="37"/>
        <v>13.807066290032495</v>
      </c>
      <c r="G403" s="61">
        <f t="shared" si="38"/>
        <v>135.03014301229308</v>
      </c>
      <c r="H403" s="61">
        <f t="shared" si="36"/>
        <v>-1.5316755161235334</v>
      </c>
      <c r="I403" s="28" t="str">
        <f t="shared" si="39"/>
        <v>Normal</v>
      </c>
      <c r="J403" s="49">
        <f t="shared" si="40"/>
        <v>28</v>
      </c>
      <c r="K403" s="49" t="e">
        <f t="shared" si="41"/>
        <v>#N/A</v>
      </c>
    </row>
    <row r="404" spans="1:11">
      <c r="A404" s="74">
        <v>40561</v>
      </c>
      <c r="B404" s="75">
        <v>15</v>
      </c>
      <c r="C404" s="73">
        <v>35</v>
      </c>
      <c r="D404" s="72" cm="1">
        <f t="array" ref="D404">AVERAGE(_xlfn._xlws.FILTER(C:C,B:B=B404))</f>
        <v>77.95348837209302</v>
      </c>
      <c r="E404" s="61" cm="1">
        <f t="array" ref="E404">_xlfn.STDEV.S(_xlfn._xlws.FILTER(C:C,B:B=B404))</f>
        <v>34.481156681772681</v>
      </c>
      <c r="F404" s="61">
        <f t="shared" si="37"/>
        <v>8.9911750085476569</v>
      </c>
      <c r="G404" s="61">
        <f t="shared" si="38"/>
        <v>146.91580173563838</v>
      </c>
      <c r="H404" s="61">
        <f t="shared" si="36"/>
        <v>-1.2457090337343282</v>
      </c>
      <c r="I404" s="28" t="str">
        <f t="shared" si="39"/>
        <v>Normal</v>
      </c>
      <c r="J404" s="49">
        <f t="shared" si="40"/>
        <v>35</v>
      </c>
      <c r="K404" s="49" t="e">
        <f t="shared" si="41"/>
        <v>#N/A</v>
      </c>
    </row>
    <row r="405" spans="1:11">
      <c r="A405" s="74">
        <v>40561</v>
      </c>
      <c r="B405" s="75">
        <v>16</v>
      </c>
      <c r="C405" s="73">
        <v>61</v>
      </c>
      <c r="D405" s="72" cm="1">
        <f t="array" ref="D405">AVERAGE(_xlfn._xlws.FILTER(C:C,B:B=B405))</f>
        <v>89.272727272727266</v>
      </c>
      <c r="E405" s="61" cm="1">
        <f t="array" ref="E405">_xlfn.STDEV.S(_xlfn._xlws.FILTER(C:C,B:B=B405))</f>
        <v>25.461657115880758</v>
      </c>
      <c r="F405" s="61">
        <f t="shared" si="37"/>
        <v>38.34941304096575</v>
      </c>
      <c r="G405" s="61">
        <f t="shared" si="38"/>
        <v>140.19604150448879</v>
      </c>
      <c r="H405" s="61">
        <f t="shared" si="36"/>
        <v>-1.1104040535952866</v>
      </c>
      <c r="I405" s="28" t="str">
        <f t="shared" si="39"/>
        <v>Normal</v>
      </c>
      <c r="J405" s="49">
        <f t="shared" si="40"/>
        <v>61</v>
      </c>
      <c r="K405" s="49" t="e">
        <f t="shared" si="41"/>
        <v>#N/A</v>
      </c>
    </row>
    <row r="406" spans="1:11">
      <c r="A406" s="74">
        <v>40561</v>
      </c>
      <c r="B406" s="75">
        <v>17</v>
      </c>
      <c r="C406" s="73">
        <v>125</v>
      </c>
      <c r="D406" s="72" cm="1">
        <f t="array" ref="D406">AVERAGE(_xlfn._xlws.FILTER(C:C,B:B=B406))</f>
        <v>140.20454545454547</v>
      </c>
      <c r="E406" s="61" cm="1">
        <f t="array" ref="E406">_xlfn.STDEV.S(_xlfn._xlws.FILTER(C:C,B:B=B406))</f>
        <v>54.067391000084555</v>
      </c>
      <c r="F406" s="61">
        <f t="shared" si="37"/>
        <v>32.069763454376357</v>
      </c>
      <c r="G406" s="61">
        <f t="shared" si="38"/>
        <v>248.33932745471458</v>
      </c>
      <c r="H406" s="61">
        <f t="shared" si="36"/>
        <v>-0.28121470582003283</v>
      </c>
      <c r="I406" s="28" t="str">
        <f t="shared" si="39"/>
        <v>Normal</v>
      </c>
      <c r="J406" s="49">
        <f t="shared" si="40"/>
        <v>125</v>
      </c>
      <c r="K406" s="49" t="e">
        <f t="shared" si="41"/>
        <v>#N/A</v>
      </c>
    </row>
    <row r="407" spans="1:11">
      <c r="A407" s="74">
        <v>40561</v>
      </c>
      <c r="B407" s="75">
        <v>18</v>
      </c>
      <c r="C407" s="73">
        <v>133</v>
      </c>
      <c r="D407" s="72" cm="1">
        <f t="array" ref="D407">AVERAGE(_xlfn._xlws.FILTER(C:C,B:B=B407))</f>
        <v>122.86046511627907</v>
      </c>
      <c r="E407" s="61" cm="1">
        <f t="array" ref="E407">_xlfn.STDEV.S(_xlfn._xlws.FILTER(C:C,B:B=B407))</f>
        <v>48.613432101949932</v>
      </c>
      <c r="F407" s="61">
        <f t="shared" si="37"/>
        <v>25.633600912379208</v>
      </c>
      <c r="G407" s="61">
        <f t="shared" si="38"/>
        <v>220.08732932017892</v>
      </c>
      <c r="H407" s="61">
        <f t="shared" si="36"/>
        <v>0.20857475897724614</v>
      </c>
      <c r="I407" s="28" t="str">
        <f t="shared" si="39"/>
        <v>Normal</v>
      </c>
      <c r="J407" s="49">
        <f t="shared" si="40"/>
        <v>133</v>
      </c>
      <c r="K407" s="49" t="e">
        <f t="shared" si="41"/>
        <v>#N/A</v>
      </c>
    </row>
    <row r="408" spans="1:11">
      <c r="A408" s="74">
        <v>40561</v>
      </c>
      <c r="B408" s="75">
        <v>19</v>
      </c>
      <c r="C408" s="73">
        <v>99</v>
      </c>
      <c r="D408" s="72" cm="1">
        <f t="array" ref="D408">AVERAGE(_xlfn._xlws.FILTER(C:C,B:B=B408))</f>
        <v>85.139534883720927</v>
      </c>
      <c r="E408" s="61" cm="1">
        <f t="array" ref="E408">_xlfn.STDEV.S(_xlfn._xlws.FILTER(C:C,B:B=B408))</f>
        <v>31.690904054294752</v>
      </c>
      <c r="F408" s="61">
        <f t="shared" si="37"/>
        <v>21.757726775131424</v>
      </c>
      <c r="G408" s="61">
        <f t="shared" si="38"/>
        <v>148.52134299231042</v>
      </c>
      <c r="H408" s="61">
        <f t="shared" si="36"/>
        <v>0.43736414374712995</v>
      </c>
      <c r="I408" s="28" t="str">
        <f t="shared" si="39"/>
        <v>Normal</v>
      </c>
      <c r="J408" s="49">
        <f t="shared" si="40"/>
        <v>99</v>
      </c>
      <c r="K408" s="49" t="e">
        <f t="shared" si="41"/>
        <v>#N/A</v>
      </c>
    </row>
    <row r="409" spans="1:11">
      <c r="A409" s="74">
        <v>40561</v>
      </c>
      <c r="B409" s="75">
        <v>20</v>
      </c>
      <c r="C409" s="73">
        <v>83</v>
      </c>
      <c r="D409" s="72" cm="1">
        <f t="array" ref="D409">AVERAGE(_xlfn._xlws.FILTER(C:C,B:B=B409))</f>
        <v>61.767441860465119</v>
      </c>
      <c r="E409" s="61" cm="1">
        <f t="array" ref="E409">_xlfn.STDEV.S(_xlfn._xlws.FILTER(C:C,B:B=B409))</f>
        <v>24.632380169685593</v>
      </c>
      <c r="F409" s="61">
        <f t="shared" si="37"/>
        <v>12.502681521093933</v>
      </c>
      <c r="G409" s="61">
        <f t="shared" si="38"/>
        <v>111.03220219983631</v>
      </c>
      <c r="H409" s="61">
        <f t="shared" si="36"/>
        <v>0.86197752686787521</v>
      </c>
      <c r="I409" s="28" t="str">
        <f t="shared" si="39"/>
        <v>Normal</v>
      </c>
      <c r="J409" s="49">
        <f t="shared" si="40"/>
        <v>83</v>
      </c>
      <c r="K409" s="49" t="e">
        <f t="shared" si="41"/>
        <v>#N/A</v>
      </c>
    </row>
    <row r="410" spans="1:11">
      <c r="A410" s="74">
        <v>40561</v>
      </c>
      <c r="B410" s="75">
        <v>21</v>
      </c>
      <c r="C410" s="73">
        <v>41</v>
      </c>
      <c r="D410" s="72" cm="1">
        <f t="array" ref="D410">AVERAGE(_xlfn._xlws.FILTER(C:C,B:B=B410))</f>
        <v>46.418604651162788</v>
      </c>
      <c r="E410" s="61" cm="1">
        <f t="array" ref="E410">_xlfn.STDEV.S(_xlfn._xlws.FILTER(C:C,B:B=B410))</f>
        <v>14.656759464719496</v>
      </c>
      <c r="F410" s="61">
        <f t="shared" si="37"/>
        <v>17.105085721723796</v>
      </c>
      <c r="G410" s="61">
        <f t="shared" si="38"/>
        <v>75.73212358060178</v>
      </c>
      <c r="H410" s="61">
        <f t="shared" si="36"/>
        <v>-0.36970004619411212</v>
      </c>
      <c r="I410" s="28" t="str">
        <f t="shared" si="39"/>
        <v>Normal</v>
      </c>
      <c r="J410" s="49">
        <f t="shared" si="40"/>
        <v>41</v>
      </c>
      <c r="K410" s="49" t="e">
        <f t="shared" si="41"/>
        <v>#N/A</v>
      </c>
    </row>
    <row r="411" spans="1:11">
      <c r="A411" s="74">
        <v>40561</v>
      </c>
      <c r="B411" s="75">
        <v>22</v>
      </c>
      <c r="C411" s="73">
        <v>33</v>
      </c>
      <c r="D411" s="72" cm="1">
        <f t="array" ref="D411">AVERAGE(_xlfn._xlws.FILTER(C:C,B:B=B411))</f>
        <v>35.069767441860463</v>
      </c>
      <c r="E411" s="61" cm="1">
        <f t="array" ref="E411">_xlfn.STDEV.S(_xlfn._xlws.FILTER(C:C,B:B=B411))</f>
        <v>11.95506537162667</v>
      </c>
      <c r="F411" s="61">
        <f t="shared" si="37"/>
        <v>11.159636698607123</v>
      </c>
      <c r="G411" s="61">
        <f t="shared" si="38"/>
        <v>58.979898185113804</v>
      </c>
      <c r="H411" s="61">
        <f t="shared" si="36"/>
        <v>-0.17312891042592768</v>
      </c>
      <c r="I411" s="28" t="str">
        <f t="shared" si="39"/>
        <v>Normal</v>
      </c>
      <c r="J411" s="49">
        <f t="shared" si="40"/>
        <v>33</v>
      </c>
      <c r="K411" s="49" t="e">
        <f t="shared" si="41"/>
        <v>#N/A</v>
      </c>
    </row>
    <row r="412" spans="1:11">
      <c r="A412" s="74">
        <v>40561</v>
      </c>
      <c r="B412" s="75">
        <v>23</v>
      </c>
      <c r="C412" s="73">
        <v>20</v>
      </c>
      <c r="D412" s="72" cm="1">
        <f t="array" ref="D412">AVERAGE(_xlfn._xlws.FILTER(C:C,B:B=B412))</f>
        <v>25.186046511627907</v>
      </c>
      <c r="E412" s="61" cm="1">
        <f t="array" ref="E412">_xlfn.STDEV.S(_xlfn._xlws.FILTER(C:C,B:B=B412))</f>
        <v>11.751911321656188</v>
      </c>
      <c r="F412" s="61">
        <f t="shared" si="37"/>
        <v>1.6822238683155319</v>
      </c>
      <c r="G412" s="61">
        <f t="shared" si="38"/>
        <v>48.689869154940283</v>
      </c>
      <c r="H412" s="61">
        <f t="shared" si="36"/>
        <v>-0.44129387719861063</v>
      </c>
      <c r="I412" s="28" t="str">
        <f t="shared" si="39"/>
        <v>Normal</v>
      </c>
      <c r="J412" s="49">
        <f t="shared" si="40"/>
        <v>20</v>
      </c>
      <c r="K412" s="49" t="e">
        <f t="shared" si="41"/>
        <v>#N/A</v>
      </c>
    </row>
    <row r="413" spans="1:11">
      <c r="A413" s="74">
        <v>40562</v>
      </c>
      <c r="B413" s="75">
        <v>0</v>
      </c>
      <c r="C413" s="73">
        <v>3</v>
      </c>
      <c r="D413" s="72" cm="1">
        <f t="array" ref="D413">AVERAGE(_xlfn._xlws.FILTER(C:C,B:B=B413))</f>
        <v>16.348837209302324</v>
      </c>
      <c r="E413" s="61" cm="1">
        <f t="array" ref="E413">_xlfn.STDEV.S(_xlfn._xlws.FILTER(C:C,B:B=B413))</f>
        <v>10.44232167427621</v>
      </c>
      <c r="F413" s="61">
        <f t="shared" si="37"/>
        <v>-4.535806139250095</v>
      </c>
      <c r="G413" s="61">
        <f t="shared" si="38"/>
        <v>37.233480557854747</v>
      </c>
      <c r="H413" s="61">
        <f t="shared" si="36"/>
        <v>-1.2783399732059657</v>
      </c>
      <c r="I413" s="28" t="str">
        <f t="shared" si="39"/>
        <v>Normal</v>
      </c>
      <c r="J413" s="49">
        <f t="shared" si="40"/>
        <v>3</v>
      </c>
      <c r="K413" s="49" t="e">
        <f t="shared" si="41"/>
        <v>#N/A</v>
      </c>
    </row>
    <row r="414" spans="1:11">
      <c r="A414" s="74">
        <v>40562</v>
      </c>
      <c r="B414" s="75">
        <v>1</v>
      </c>
      <c r="C414" s="73">
        <v>7</v>
      </c>
      <c r="D414" s="72" cm="1">
        <f t="array" ref="D414">AVERAGE(_xlfn._xlws.FILTER(C:C,B:B=B414))</f>
        <v>10.697674418604651</v>
      </c>
      <c r="E414" s="61" cm="1">
        <f t="array" ref="E414">_xlfn.STDEV.S(_xlfn._xlws.FILTER(C:C,B:B=B414))</f>
        <v>10.060613641515801</v>
      </c>
      <c r="F414" s="61">
        <f t="shared" si="37"/>
        <v>-9.4235528644269504</v>
      </c>
      <c r="G414" s="61">
        <f t="shared" si="38"/>
        <v>30.81890170163625</v>
      </c>
      <c r="H414" s="61">
        <f t="shared" si="36"/>
        <v>-0.36753965020045576</v>
      </c>
      <c r="I414" s="28" t="str">
        <f t="shared" si="39"/>
        <v>Normal</v>
      </c>
      <c r="J414" s="49">
        <f t="shared" si="40"/>
        <v>7</v>
      </c>
      <c r="K414" s="49" t="e">
        <f t="shared" si="41"/>
        <v>#N/A</v>
      </c>
    </row>
    <row r="415" spans="1:11">
      <c r="A415" s="74">
        <v>40562</v>
      </c>
      <c r="B415" s="75">
        <v>2</v>
      </c>
      <c r="C415" s="73">
        <v>3</v>
      </c>
      <c r="D415" s="72" cm="1">
        <f t="array" ref="D415">AVERAGE(_xlfn._xlws.FILTER(C:C,B:B=B415))</f>
        <v>7.1707317073170733</v>
      </c>
      <c r="E415" s="61" cm="1">
        <f t="array" ref="E415">_xlfn.STDEV.S(_xlfn._xlws.FILTER(C:C,B:B=B415))</f>
        <v>7.3685223723090854</v>
      </c>
      <c r="F415" s="61">
        <f t="shared" si="37"/>
        <v>-7.5663130373010974</v>
      </c>
      <c r="G415" s="61">
        <f t="shared" si="38"/>
        <v>21.907776451935245</v>
      </c>
      <c r="H415" s="61">
        <f t="shared" si="36"/>
        <v>-0.56602009148953492</v>
      </c>
      <c r="I415" s="28" t="str">
        <f t="shared" si="39"/>
        <v>Normal</v>
      </c>
      <c r="J415" s="49">
        <f t="shared" si="40"/>
        <v>3</v>
      </c>
      <c r="K415" s="49" t="e">
        <f t="shared" si="41"/>
        <v>#N/A</v>
      </c>
    </row>
    <row r="416" spans="1:11">
      <c r="A416" s="74">
        <v>40562</v>
      </c>
      <c r="B416" s="75">
        <v>4</v>
      </c>
      <c r="C416" s="73">
        <v>2</v>
      </c>
      <c r="D416" s="72" cm="1">
        <f t="array" ref="D416">AVERAGE(_xlfn._xlws.FILTER(C:C,B:B=B416))</f>
        <v>2.15625</v>
      </c>
      <c r="E416" s="61" cm="1">
        <f t="array" ref="E416">_xlfn.STDEV.S(_xlfn._xlws.FILTER(C:C,B:B=B416))</f>
        <v>1.5263148747143209</v>
      </c>
      <c r="F416" s="61">
        <f t="shared" si="37"/>
        <v>-0.89637974942864185</v>
      </c>
      <c r="G416" s="61">
        <f t="shared" si="38"/>
        <v>5.2088797494286414</v>
      </c>
      <c r="H416" s="61">
        <f t="shared" si="36"/>
        <v>-0.102370751008533</v>
      </c>
      <c r="I416" s="28" t="str">
        <f t="shared" si="39"/>
        <v>Normal</v>
      </c>
      <c r="J416" s="49">
        <f t="shared" si="40"/>
        <v>2</v>
      </c>
      <c r="K416" s="49" t="e">
        <f t="shared" si="41"/>
        <v>#N/A</v>
      </c>
    </row>
    <row r="417" spans="1:11">
      <c r="A417" s="74">
        <v>40562</v>
      </c>
      <c r="B417" s="75">
        <v>5</v>
      </c>
      <c r="C417" s="73">
        <v>7</v>
      </c>
      <c r="D417" s="72" cm="1">
        <f t="array" ref="D417">AVERAGE(_xlfn._xlws.FILTER(C:C,B:B=B417))</f>
        <v>4.2051282051282053</v>
      </c>
      <c r="E417" s="61" cm="1">
        <f t="array" ref="E417">_xlfn.STDEV.S(_xlfn._xlws.FILTER(C:C,B:B=B417))</f>
        <v>2.5358429220352288</v>
      </c>
      <c r="F417" s="61">
        <f t="shared" si="37"/>
        <v>-0.86655763894225224</v>
      </c>
      <c r="G417" s="61">
        <f t="shared" si="38"/>
        <v>9.2768140491986628</v>
      </c>
      <c r="H417" s="61">
        <f t="shared" si="36"/>
        <v>1.1021470496400751</v>
      </c>
      <c r="I417" s="28" t="str">
        <f t="shared" si="39"/>
        <v>Normal</v>
      </c>
      <c r="J417" s="49">
        <f t="shared" si="40"/>
        <v>7</v>
      </c>
      <c r="K417" s="49" t="e">
        <f t="shared" si="41"/>
        <v>#N/A</v>
      </c>
    </row>
    <row r="418" spans="1:11">
      <c r="A418" s="74">
        <v>40562</v>
      </c>
      <c r="B418" s="75">
        <v>6</v>
      </c>
      <c r="C418" s="73">
        <v>32</v>
      </c>
      <c r="D418" s="72" cm="1">
        <f t="array" ref="D418">AVERAGE(_xlfn._xlws.FILTER(C:C,B:B=B418))</f>
        <v>19.571428571428573</v>
      </c>
      <c r="E418" s="61" cm="1">
        <f t="array" ref="E418">_xlfn.STDEV.S(_xlfn._xlws.FILTER(C:C,B:B=B418))</f>
        <v>14.202615453298934</v>
      </c>
      <c r="F418" s="61">
        <f t="shared" si="37"/>
        <v>-8.8338023351692954</v>
      </c>
      <c r="G418" s="61">
        <f t="shared" si="38"/>
        <v>47.976659478026441</v>
      </c>
      <c r="H418" s="61">
        <f t="shared" si="36"/>
        <v>0.87509032892139327</v>
      </c>
      <c r="I418" s="28" t="str">
        <f t="shared" si="39"/>
        <v>Normal</v>
      </c>
      <c r="J418" s="49">
        <f t="shared" si="40"/>
        <v>32</v>
      </c>
      <c r="K418" s="49" t="e">
        <f t="shared" si="41"/>
        <v>#N/A</v>
      </c>
    </row>
    <row r="419" spans="1:11">
      <c r="A419" s="74">
        <v>40562</v>
      </c>
      <c r="B419" s="75">
        <v>7</v>
      </c>
      <c r="C419" s="73">
        <v>90</v>
      </c>
      <c r="D419" s="72" cm="1">
        <f t="array" ref="D419">AVERAGE(_xlfn._xlws.FILTER(C:C,B:B=B419))</f>
        <v>54.395348837209305</v>
      </c>
      <c r="E419" s="61" cm="1">
        <f t="array" ref="E419">_xlfn.STDEV.S(_xlfn._xlws.FILTER(C:C,B:B=B419))</f>
        <v>39.112864486352777</v>
      </c>
      <c r="F419" s="61">
        <f t="shared" si="37"/>
        <v>-23.830380135496249</v>
      </c>
      <c r="G419" s="61">
        <f t="shared" si="38"/>
        <v>132.62107780991485</v>
      </c>
      <c r="H419" s="61">
        <f t="shared" si="36"/>
        <v>0.91030538495112867</v>
      </c>
      <c r="I419" s="28" t="str">
        <f t="shared" si="39"/>
        <v>Normal</v>
      </c>
      <c r="J419" s="49">
        <f t="shared" si="40"/>
        <v>90</v>
      </c>
      <c r="K419" s="49" t="e">
        <f t="shared" si="41"/>
        <v>#N/A</v>
      </c>
    </row>
    <row r="420" spans="1:11">
      <c r="A420" s="74">
        <v>40562</v>
      </c>
      <c r="B420" s="75">
        <v>8</v>
      </c>
      <c r="C420" s="73">
        <v>197</v>
      </c>
      <c r="D420" s="72" cm="1">
        <f t="array" ref="D420">AVERAGE(_xlfn._xlws.FILTER(C:C,B:B=B420))</f>
        <v>128.28571428571428</v>
      </c>
      <c r="E420" s="61" cm="1">
        <f t="array" ref="E420">_xlfn.STDEV.S(_xlfn._xlws.FILTER(C:C,B:B=B420))</f>
        <v>88.551565717048547</v>
      </c>
      <c r="F420" s="61">
        <f t="shared" si="37"/>
        <v>-48.817417148382816</v>
      </c>
      <c r="G420" s="61">
        <f t="shared" si="38"/>
        <v>305.38884571981134</v>
      </c>
      <c r="H420" s="61">
        <f t="shared" si="36"/>
        <v>0.77598047146733151</v>
      </c>
      <c r="I420" s="28" t="str">
        <f t="shared" si="39"/>
        <v>Normal</v>
      </c>
      <c r="J420" s="49">
        <f t="shared" si="40"/>
        <v>197</v>
      </c>
      <c r="K420" s="49" t="e">
        <f t="shared" si="41"/>
        <v>#N/A</v>
      </c>
    </row>
    <row r="421" spans="1:11">
      <c r="A421" s="74">
        <v>40562</v>
      </c>
      <c r="B421" s="75">
        <v>9</v>
      </c>
      <c r="C421" s="73">
        <v>109</v>
      </c>
      <c r="D421" s="72" cm="1">
        <f t="array" ref="D421">AVERAGE(_xlfn._xlws.FILTER(C:C,B:B=B421))</f>
        <v>87.428571428571431</v>
      </c>
      <c r="E421" s="61" cm="1">
        <f t="array" ref="E421">_xlfn.STDEV.S(_xlfn._xlws.FILTER(C:C,B:B=B421))</f>
        <v>45.93852884078624</v>
      </c>
      <c r="F421" s="61">
        <f t="shared" si="37"/>
        <v>-4.4484862530010503</v>
      </c>
      <c r="G421" s="61">
        <f t="shared" si="38"/>
        <v>179.30562911014391</v>
      </c>
      <c r="H421" s="61">
        <f t="shared" si="36"/>
        <v>0.46957160178530816</v>
      </c>
      <c r="I421" s="28" t="str">
        <f t="shared" si="39"/>
        <v>Normal</v>
      </c>
      <c r="J421" s="49">
        <f t="shared" si="40"/>
        <v>109</v>
      </c>
      <c r="K421" s="49" t="e">
        <f t="shared" si="41"/>
        <v>#N/A</v>
      </c>
    </row>
    <row r="422" spans="1:11">
      <c r="A422" s="74">
        <v>40562</v>
      </c>
      <c r="B422" s="75">
        <v>10</v>
      </c>
      <c r="C422" s="73">
        <v>47</v>
      </c>
      <c r="D422" s="72" cm="1">
        <f t="array" ref="D422">AVERAGE(_xlfn._xlws.FILTER(C:C,B:B=B422))</f>
        <v>53.642857142857146</v>
      </c>
      <c r="E422" s="61" cm="1">
        <f t="array" ref="E422">_xlfn.STDEV.S(_xlfn._xlws.FILTER(C:C,B:B=B422))</f>
        <v>15.395313554536934</v>
      </c>
      <c r="F422" s="61">
        <f t="shared" si="37"/>
        <v>22.852230033783279</v>
      </c>
      <c r="G422" s="61">
        <f t="shared" si="38"/>
        <v>84.43348425193102</v>
      </c>
      <c r="H422" s="61">
        <f t="shared" si="36"/>
        <v>-0.43148566733150584</v>
      </c>
      <c r="I422" s="28" t="str">
        <f t="shared" si="39"/>
        <v>Normal</v>
      </c>
      <c r="J422" s="49">
        <f t="shared" si="40"/>
        <v>47</v>
      </c>
      <c r="K422" s="49" t="e">
        <f t="shared" si="41"/>
        <v>#N/A</v>
      </c>
    </row>
    <row r="423" spans="1:11">
      <c r="A423" s="74">
        <v>40562</v>
      </c>
      <c r="B423" s="75">
        <v>11</v>
      </c>
      <c r="C423" s="73">
        <v>52</v>
      </c>
      <c r="D423" s="72" cm="1">
        <f t="array" ref="D423">AVERAGE(_xlfn._xlws.FILTER(C:C,B:B=B423))</f>
        <v>59.38095238095238</v>
      </c>
      <c r="E423" s="61" cm="1">
        <f t="array" ref="E423">_xlfn.STDEV.S(_xlfn._xlws.FILTER(C:C,B:B=B423))</f>
        <v>20.89573696860419</v>
      </c>
      <c r="F423" s="61">
        <f t="shared" si="37"/>
        <v>17.589478443743999</v>
      </c>
      <c r="G423" s="61">
        <f t="shared" si="38"/>
        <v>101.17242631816076</v>
      </c>
      <c r="H423" s="61">
        <f t="shared" si="36"/>
        <v>-0.35322766514730963</v>
      </c>
      <c r="I423" s="28" t="str">
        <f t="shared" si="39"/>
        <v>Normal</v>
      </c>
      <c r="J423" s="49">
        <f t="shared" si="40"/>
        <v>52</v>
      </c>
      <c r="K423" s="49" t="e">
        <f t="shared" si="41"/>
        <v>#N/A</v>
      </c>
    </row>
    <row r="424" spans="1:11">
      <c r="A424" s="74">
        <v>40562</v>
      </c>
      <c r="B424" s="75">
        <v>12</v>
      </c>
      <c r="C424" s="73">
        <v>70</v>
      </c>
      <c r="D424" s="72" cm="1">
        <f t="array" ref="D424">AVERAGE(_xlfn._xlws.FILTER(C:C,B:B=B424))</f>
        <v>76.348837209302332</v>
      </c>
      <c r="E424" s="61" cm="1">
        <f t="array" ref="E424">_xlfn.STDEV.S(_xlfn._xlws.FILTER(C:C,B:B=B424))</f>
        <v>29.034366927857054</v>
      </c>
      <c r="F424" s="61">
        <f t="shared" si="37"/>
        <v>18.280103353588224</v>
      </c>
      <c r="G424" s="61">
        <f t="shared" si="38"/>
        <v>134.41757106501643</v>
      </c>
      <c r="H424" s="61">
        <f t="shared" si="36"/>
        <v>-0.2186662869239602</v>
      </c>
      <c r="I424" s="28" t="str">
        <f t="shared" si="39"/>
        <v>Normal</v>
      </c>
      <c r="J424" s="49">
        <f t="shared" si="40"/>
        <v>70</v>
      </c>
      <c r="K424" s="49" t="e">
        <f t="shared" si="41"/>
        <v>#N/A</v>
      </c>
    </row>
    <row r="425" spans="1:11">
      <c r="A425" s="74">
        <v>40562</v>
      </c>
      <c r="B425" s="75">
        <v>13</v>
      </c>
      <c r="C425" s="73">
        <v>78</v>
      </c>
      <c r="D425" s="72" cm="1">
        <f t="array" ref="D425">AVERAGE(_xlfn._xlws.FILTER(C:C,B:B=B425))</f>
        <v>78.511627906976742</v>
      </c>
      <c r="E425" s="61" cm="1">
        <f t="array" ref="E425">_xlfn.STDEV.S(_xlfn._xlws.FILTER(C:C,B:B=B425))</f>
        <v>30.072430098825187</v>
      </c>
      <c r="F425" s="61">
        <f t="shared" si="37"/>
        <v>18.366767709326368</v>
      </c>
      <c r="G425" s="61">
        <f t="shared" si="38"/>
        <v>138.6564881046271</v>
      </c>
      <c r="H425" s="61">
        <f t="shared" si="36"/>
        <v>-1.7013188002945226E-2</v>
      </c>
      <c r="I425" s="28" t="str">
        <f t="shared" si="39"/>
        <v>Normal</v>
      </c>
      <c r="J425" s="49">
        <f t="shared" si="40"/>
        <v>78</v>
      </c>
      <c r="K425" s="49" t="e">
        <f t="shared" si="41"/>
        <v>#N/A</v>
      </c>
    </row>
    <row r="426" spans="1:11">
      <c r="A426" s="74">
        <v>40562</v>
      </c>
      <c r="B426" s="75">
        <v>14</v>
      </c>
      <c r="C426" s="73">
        <v>75</v>
      </c>
      <c r="D426" s="72" cm="1">
        <f t="array" ref="D426">AVERAGE(_xlfn._xlws.FILTER(C:C,B:B=B426))</f>
        <v>74.418604651162795</v>
      </c>
      <c r="E426" s="61" cm="1">
        <f t="array" ref="E426">_xlfn.STDEV.S(_xlfn._xlws.FILTER(C:C,B:B=B426))</f>
        <v>30.30576918056515</v>
      </c>
      <c r="F426" s="61">
        <f t="shared" si="37"/>
        <v>13.807066290032495</v>
      </c>
      <c r="G426" s="61">
        <f t="shared" si="38"/>
        <v>135.03014301229308</v>
      </c>
      <c r="H426" s="61">
        <f t="shared" si="36"/>
        <v>1.9184312576697417E-2</v>
      </c>
      <c r="I426" s="28" t="str">
        <f t="shared" si="39"/>
        <v>Normal</v>
      </c>
      <c r="J426" s="49">
        <f t="shared" si="40"/>
        <v>75</v>
      </c>
      <c r="K426" s="49" t="e">
        <f t="shared" si="41"/>
        <v>#N/A</v>
      </c>
    </row>
    <row r="427" spans="1:11">
      <c r="A427" s="74">
        <v>40562</v>
      </c>
      <c r="B427" s="75">
        <v>15</v>
      </c>
      <c r="C427" s="73">
        <v>82</v>
      </c>
      <c r="D427" s="72" cm="1">
        <f t="array" ref="D427">AVERAGE(_xlfn._xlws.FILTER(C:C,B:B=B427))</f>
        <v>77.95348837209302</v>
      </c>
      <c r="E427" s="61" cm="1">
        <f t="array" ref="E427">_xlfn.STDEV.S(_xlfn._xlws.FILTER(C:C,B:B=B427))</f>
        <v>34.481156681772681</v>
      </c>
      <c r="F427" s="61">
        <f t="shared" si="37"/>
        <v>8.9911750085476569</v>
      </c>
      <c r="G427" s="61">
        <f t="shared" si="38"/>
        <v>146.91580173563838</v>
      </c>
      <c r="H427" s="61">
        <f t="shared" si="36"/>
        <v>0.11735428904698068</v>
      </c>
      <c r="I427" s="28" t="str">
        <f t="shared" si="39"/>
        <v>Normal</v>
      </c>
      <c r="J427" s="49">
        <f t="shared" si="40"/>
        <v>82</v>
      </c>
      <c r="K427" s="49" t="e">
        <f t="shared" si="41"/>
        <v>#N/A</v>
      </c>
    </row>
    <row r="428" spans="1:11">
      <c r="A428" s="74">
        <v>40562</v>
      </c>
      <c r="B428" s="75">
        <v>16</v>
      </c>
      <c r="C428" s="73">
        <v>104</v>
      </c>
      <c r="D428" s="72" cm="1">
        <f t="array" ref="D428">AVERAGE(_xlfn._xlws.FILTER(C:C,B:B=B428))</f>
        <v>89.272727272727266</v>
      </c>
      <c r="E428" s="61" cm="1">
        <f t="array" ref="E428">_xlfn.STDEV.S(_xlfn._xlws.FILTER(C:C,B:B=B428))</f>
        <v>25.461657115880758</v>
      </c>
      <c r="F428" s="61">
        <f t="shared" si="37"/>
        <v>38.34941304096575</v>
      </c>
      <c r="G428" s="61">
        <f t="shared" si="38"/>
        <v>140.19604150448879</v>
      </c>
      <c r="H428" s="61">
        <f t="shared" si="36"/>
        <v>0.57840982856088918</v>
      </c>
      <c r="I428" s="28" t="str">
        <f t="shared" si="39"/>
        <v>Normal</v>
      </c>
      <c r="J428" s="49">
        <f t="shared" si="40"/>
        <v>104</v>
      </c>
      <c r="K428" s="49" t="e">
        <f t="shared" si="41"/>
        <v>#N/A</v>
      </c>
    </row>
    <row r="429" spans="1:11">
      <c r="A429" s="74">
        <v>40562</v>
      </c>
      <c r="B429" s="75">
        <v>17</v>
      </c>
      <c r="C429" s="73">
        <v>197</v>
      </c>
      <c r="D429" s="72" cm="1">
        <f t="array" ref="D429">AVERAGE(_xlfn._xlws.FILTER(C:C,B:B=B429))</f>
        <v>140.20454545454547</v>
      </c>
      <c r="E429" s="61" cm="1">
        <f t="array" ref="E429">_xlfn.STDEV.S(_xlfn._xlws.FILTER(C:C,B:B=B429))</f>
        <v>54.067391000084555</v>
      </c>
      <c r="F429" s="61">
        <f t="shared" si="37"/>
        <v>32.069763454376357</v>
      </c>
      <c r="G429" s="61">
        <f t="shared" si="38"/>
        <v>248.33932745471458</v>
      </c>
      <c r="H429" s="61">
        <f t="shared" si="36"/>
        <v>1.0504567262246056</v>
      </c>
      <c r="I429" s="28" t="str">
        <f t="shared" si="39"/>
        <v>Normal</v>
      </c>
      <c r="J429" s="49">
        <f t="shared" si="40"/>
        <v>197</v>
      </c>
      <c r="K429" s="49" t="e">
        <f t="shared" si="41"/>
        <v>#N/A</v>
      </c>
    </row>
    <row r="430" spans="1:11">
      <c r="A430" s="74">
        <v>40562</v>
      </c>
      <c r="B430" s="75">
        <v>18</v>
      </c>
      <c r="C430" s="73">
        <v>161</v>
      </c>
      <c r="D430" s="72" cm="1">
        <f t="array" ref="D430">AVERAGE(_xlfn._xlws.FILTER(C:C,B:B=B430))</f>
        <v>122.86046511627907</v>
      </c>
      <c r="E430" s="61" cm="1">
        <f t="array" ref="E430">_xlfn.STDEV.S(_xlfn._xlws.FILTER(C:C,B:B=B430))</f>
        <v>48.613432101949932</v>
      </c>
      <c r="F430" s="61">
        <f t="shared" si="37"/>
        <v>25.633600912379208</v>
      </c>
      <c r="G430" s="61">
        <f t="shared" si="38"/>
        <v>220.08732932017892</v>
      </c>
      <c r="H430" s="61">
        <f t="shared" si="36"/>
        <v>0.78454725853826546</v>
      </c>
      <c r="I430" s="28" t="str">
        <f t="shared" si="39"/>
        <v>Normal</v>
      </c>
      <c r="J430" s="49">
        <f t="shared" si="40"/>
        <v>161</v>
      </c>
      <c r="K430" s="49" t="e">
        <f t="shared" si="41"/>
        <v>#N/A</v>
      </c>
    </row>
    <row r="431" spans="1:11">
      <c r="A431" s="74">
        <v>40562</v>
      </c>
      <c r="B431" s="75">
        <v>19</v>
      </c>
      <c r="C431" s="73">
        <v>112</v>
      </c>
      <c r="D431" s="72" cm="1">
        <f t="array" ref="D431">AVERAGE(_xlfn._xlws.FILTER(C:C,B:B=B431))</f>
        <v>85.139534883720927</v>
      </c>
      <c r="E431" s="61" cm="1">
        <f t="array" ref="E431">_xlfn.STDEV.S(_xlfn._xlws.FILTER(C:C,B:B=B431))</f>
        <v>31.690904054294752</v>
      </c>
      <c r="F431" s="61">
        <f t="shared" si="37"/>
        <v>21.757726775131424</v>
      </c>
      <c r="G431" s="61">
        <f t="shared" si="38"/>
        <v>148.52134299231042</v>
      </c>
      <c r="H431" s="61">
        <f t="shared" si="36"/>
        <v>0.84757648662405205</v>
      </c>
      <c r="I431" s="28" t="str">
        <f t="shared" si="39"/>
        <v>Normal</v>
      </c>
      <c r="J431" s="49">
        <f t="shared" si="40"/>
        <v>112</v>
      </c>
      <c r="K431" s="49" t="e">
        <f t="shared" si="41"/>
        <v>#N/A</v>
      </c>
    </row>
    <row r="432" spans="1:11">
      <c r="A432" s="74">
        <v>40562</v>
      </c>
      <c r="B432" s="75">
        <v>20</v>
      </c>
      <c r="C432" s="73">
        <v>76</v>
      </c>
      <c r="D432" s="72" cm="1">
        <f t="array" ref="D432">AVERAGE(_xlfn._xlws.FILTER(C:C,B:B=B432))</f>
        <v>61.767441860465119</v>
      </c>
      <c r="E432" s="61" cm="1">
        <f t="array" ref="E432">_xlfn.STDEV.S(_xlfn._xlws.FILTER(C:C,B:B=B432))</f>
        <v>24.632380169685593</v>
      </c>
      <c r="F432" s="61">
        <f t="shared" si="37"/>
        <v>12.502681521093933</v>
      </c>
      <c r="G432" s="61">
        <f t="shared" si="38"/>
        <v>111.03220219983631</v>
      </c>
      <c r="H432" s="61">
        <f t="shared" si="36"/>
        <v>0.5777987365204158</v>
      </c>
      <c r="I432" s="28" t="str">
        <f t="shared" si="39"/>
        <v>Normal</v>
      </c>
      <c r="J432" s="49">
        <f t="shared" si="40"/>
        <v>76</v>
      </c>
      <c r="K432" s="49" t="e">
        <f t="shared" si="41"/>
        <v>#N/A</v>
      </c>
    </row>
    <row r="433" spans="1:11">
      <c r="A433" s="74">
        <v>40562</v>
      </c>
      <c r="B433" s="75">
        <v>21</v>
      </c>
      <c r="C433" s="73">
        <v>59</v>
      </c>
      <c r="D433" s="72" cm="1">
        <f t="array" ref="D433">AVERAGE(_xlfn._xlws.FILTER(C:C,B:B=B433))</f>
        <v>46.418604651162788</v>
      </c>
      <c r="E433" s="61" cm="1">
        <f t="array" ref="E433">_xlfn.STDEV.S(_xlfn._xlws.FILTER(C:C,B:B=B433))</f>
        <v>14.656759464719496</v>
      </c>
      <c r="F433" s="61">
        <f t="shared" si="37"/>
        <v>17.105085721723796</v>
      </c>
      <c r="G433" s="61">
        <f t="shared" si="38"/>
        <v>75.73212358060178</v>
      </c>
      <c r="H433" s="61">
        <f t="shared" si="36"/>
        <v>0.85840225318032104</v>
      </c>
      <c r="I433" s="28" t="str">
        <f t="shared" si="39"/>
        <v>Normal</v>
      </c>
      <c r="J433" s="49">
        <f t="shared" si="40"/>
        <v>59</v>
      </c>
      <c r="K433" s="49" t="e">
        <f t="shared" si="41"/>
        <v>#N/A</v>
      </c>
    </row>
    <row r="434" spans="1:11">
      <c r="A434" s="74">
        <v>40562</v>
      </c>
      <c r="B434" s="75">
        <v>22</v>
      </c>
      <c r="C434" s="73">
        <v>59</v>
      </c>
      <c r="D434" s="72" cm="1">
        <f t="array" ref="D434">AVERAGE(_xlfn._xlws.FILTER(C:C,B:B=B434))</f>
        <v>35.069767441860463</v>
      </c>
      <c r="E434" s="61" cm="1">
        <f t="array" ref="E434">_xlfn.STDEV.S(_xlfn._xlws.FILTER(C:C,B:B=B434))</f>
        <v>11.95506537162667</v>
      </c>
      <c r="F434" s="61">
        <f t="shared" si="37"/>
        <v>11.159636698607123</v>
      </c>
      <c r="G434" s="61">
        <f t="shared" si="38"/>
        <v>58.979898185113804</v>
      </c>
      <c r="H434" s="61">
        <f t="shared" si="36"/>
        <v>2.0016814475087608</v>
      </c>
      <c r="I434" s="28" t="str">
        <f t="shared" si="39"/>
        <v>High Anomaly</v>
      </c>
      <c r="J434" s="49" t="e">
        <f t="shared" si="40"/>
        <v>#N/A</v>
      </c>
      <c r="K434" s="49">
        <f t="shared" si="41"/>
        <v>59</v>
      </c>
    </row>
    <row r="435" spans="1:11">
      <c r="A435" s="74">
        <v>40562</v>
      </c>
      <c r="B435" s="75">
        <v>23</v>
      </c>
      <c r="C435" s="73">
        <v>28</v>
      </c>
      <c r="D435" s="72" cm="1">
        <f t="array" ref="D435">AVERAGE(_xlfn._xlws.FILTER(C:C,B:B=B435))</f>
        <v>25.186046511627907</v>
      </c>
      <c r="E435" s="61" cm="1">
        <f t="array" ref="E435">_xlfn.STDEV.S(_xlfn._xlws.FILTER(C:C,B:B=B435))</f>
        <v>11.751911321656188</v>
      </c>
      <c r="F435" s="61">
        <f t="shared" si="37"/>
        <v>1.6822238683155319</v>
      </c>
      <c r="G435" s="61">
        <f t="shared" si="38"/>
        <v>48.689869154940283</v>
      </c>
      <c r="H435" s="61">
        <f t="shared" si="36"/>
        <v>0.23944645354722813</v>
      </c>
      <c r="I435" s="28" t="str">
        <f t="shared" si="39"/>
        <v>Normal</v>
      </c>
      <c r="J435" s="49">
        <f t="shared" si="40"/>
        <v>28</v>
      </c>
      <c r="K435" s="49" t="e">
        <f t="shared" si="41"/>
        <v>#N/A</v>
      </c>
    </row>
    <row r="436" spans="1:11">
      <c r="A436" s="74">
        <v>40563</v>
      </c>
      <c r="B436" s="75">
        <v>0</v>
      </c>
      <c r="C436" s="73">
        <v>13</v>
      </c>
      <c r="D436" s="72" cm="1">
        <f t="array" ref="D436">AVERAGE(_xlfn._xlws.FILTER(C:C,B:B=B436))</f>
        <v>16.348837209302324</v>
      </c>
      <c r="E436" s="61" cm="1">
        <f t="array" ref="E436">_xlfn.STDEV.S(_xlfn._xlws.FILTER(C:C,B:B=B436))</f>
        <v>10.44232167427621</v>
      </c>
      <c r="F436" s="61">
        <f t="shared" si="37"/>
        <v>-4.535806139250095</v>
      </c>
      <c r="G436" s="61">
        <f t="shared" si="38"/>
        <v>37.233480557854747</v>
      </c>
      <c r="H436" s="61">
        <f t="shared" si="36"/>
        <v>-0.32069852986351743</v>
      </c>
      <c r="I436" s="28" t="str">
        <f t="shared" si="39"/>
        <v>Normal</v>
      </c>
      <c r="J436" s="49">
        <f t="shared" si="40"/>
        <v>13</v>
      </c>
      <c r="K436" s="49" t="e">
        <f t="shared" si="41"/>
        <v>#N/A</v>
      </c>
    </row>
    <row r="437" spans="1:11">
      <c r="A437" s="74">
        <v>40563</v>
      </c>
      <c r="B437" s="75">
        <v>1</v>
      </c>
      <c r="C437" s="73">
        <v>5</v>
      </c>
      <c r="D437" s="72" cm="1">
        <f t="array" ref="D437">AVERAGE(_xlfn._xlws.FILTER(C:C,B:B=B437))</f>
        <v>10.697674418604651</v>
      </c>
      <c r="E437" s="61" cm="1">
        <f t="array" ref="E437">_xlfn.STDEV.S(_xlfn._xlws.FILTER(C:C,B:B=B437))</f>
        <v>10.060613641515801</v>
      </c>
      <c r="F437" s="61">
        <f t="shared" si="37"/>
        <v>-9.4235528644269504</v>
      </c>
      <c r="G437" s="61">
        <f t="shared" si="38"/>
        <v>30.81890170163625</v>
      </c>
      <c r="H437" s="61">
        <f t="shared" si="36"/>
        <v>-0.56633468112648844</v>
      </c>
      <c r="I437" s="28" t="str">
        <f t="shared" si="39"/>
        <v>Normal</v>
      </c>
      <c r="J437" s="49">
        <f t="shared" si="40"/>
        <v>5</v>
      </c>
      <c r="K437" s="49" t="e">
        <f t="shared" si="41"/>
        <v>#N/A</v>
      </c>
    </row>
    <row r="438" spans="1:11">
      <c r="A438" s="74">
        <v>40563</v>
      </c>
      <c r="B438" s="75">
        <v>2</v>
      </c>
      <c r="C438" s="73">
        <v>2</v>
      </c>
      <c r="D438" s="72" cm="1">
        <f t="array" ref="D438">AVERAGE(_xlfn._xlws.FILTER(C:C,B:B=B438))</f>
        <v>7.1707317073170733</v>
      </c>
      <c r="E438" s="61" cm="1">
        <f t="array" ref="E438">_xlfn.STDEV.S(_xlfn._xlws.FILTER(C:C,B:B=B438))</f>
        <v>7.3685223723090854</v>
      </c>
      <c r="F438" s="61">
        <f t="shared" si="37"/>
        <v>-7.5663130373010974</v>
      </c>
      <c r="G438" s="61">
        <f t="shared" si="38"/>
        <v>21.907776451935245</v>
      </c>
      <c r="H438" s="61">
        <f t="shared" si="36"/>
        <v>-0.70173251108644097</v>
      </c>
      <c r="I438" s="28" t="str">
        <f t="shared" si="39"/>
        <v>Normal</v>
      </c>
      <c r="J438" s="49">
        <f t="shared" si="40"/>
        <v>2</v>
      </c>
      <c r="K438" s="49" t="e">
        <f t="shared" si="41"/>
        <v>#N/A</v>
      </c>
    </row>
    <row r="439" spans="1:11">
      <c r="A439" s="74">
        <v>40563</v>
      </c>
      <c r="B439" s="75">
        <v>3</v>
      </c>
      <c r="C439" s="73">
        <v>1</v>
      </c>
      <c r="D439" s="72" cm="1">
        <f t="array" ref="D439">AVERAGE(_xlfn._xlws.FILTER(C:C,B:B=B439))</f>
        <v>4.870967741935484</v>
      </c>
      <c r="E439" s="61" cm="1">
        <f t="array" ref="E439">_xlfn.STDEV.S(_xlfn._xlws.FILTER(C:C,B:B=B439))</f>
        <v>4.4702120418303126</v>
      </c>
      <c r="F439" s="61">
        <f t="shared" si="37"/>
        <v>-4.0694563417251413</v>
      </c>
      <c r="G439" s="61">
        <f t="shared" si="38"/>
        <v>13.811391825596109</v>
      </c>
      <c r="H439" s="61">
        <f t="shared" si="36"/>
        <v>-0.86594723152115394</v>
      </c>
      <c r="I439" s="28" t="str">
        <f t="shared" si="39"/>
        <v>Normal</v>
      </c>
      <c r="J439" s="49">
        <f t="shared" si="40"/>
        <v>1</v>
      </c>
      <c r="K439" s="49" t="e">
        <f t="shared" si="41"/>
        <v>#N/A</v>
      </c>
    </row>
    <row r="440" spans="1:11">
      <c r="A440" s="74">
        <v>40563</v>
      </c>
      <c r="B440" s="75">
        <v>4</v>
      </c>
      <c r="C440" s="73">
        <v>1</v>
      </c>
      <c r="D440" s="72" cm="1">
        <f t="array" ref="D440">AVERAGE(_xlfn._xlws.FILTER(C:C,B:B=B440))</f>
        <v>2.15625</v>
      </c>
      <c r="E440" s="61" cm="1">
        <f t="array" ref="E440">_xlfn.STDEV.S(_xlfn._xlws.FILTER(C:C,B:B=B440))</f>
        <v>1.5263148747143209</v>
      </c>
      <c r="F440" s="61">
        <f t="shared" si="37"/>
        <v>-0.89637974942864185</v>
      </c>
      <c r="G440" s="61">
        <f t="shared" si="38"/>
        <v>5.2088797494286414</v>
      </c>
      <c r="H440" s="61">
        <f t="shared" si="36"/>
        <v>-0.75754355746314428</v>
      </c>
      <c r="I440" s="28" t="str">
        <f t="shared" si="39"/>
        <v>Normal</v>
      </c>
      <c r="J440" s="49">
        <f t="shared" si="40"/>
        <v>1</v>
      </c>
      <c r="K440" s="49" t="e">
        <f t="shared" si="41"/>
        <v>#N/A</v>
      </c>
    </row>
    <row r="441" spans="1:11">
      <c r="A441" s="74">
        <v>40563</v>
      </c>
      <c r="B441" s="75">
        <v>5</v>
      </c>
      <c r="C441" s="73">
        <v>6</v>
      </c>
      <c r="D441" s="72" cm="1">
        <f t="array" ref="D441">AVERAGE(_xlfn._xlws.FILTER(C:C,B:B=B441))</f>
        <v>4.2051282051282053</v>
      </c>
      <c r="E441" s="61" cm="1">
        <f t="array" ref="E441">_xlfn.STDEV.S(_xlfn._xlws.FILTER(C:C,B:B=B441))</f>
        <v>2.5358429220352288</v>
      </c>
      <c r="F441" s="61">
        <f t="shared" si="37"/>
        <v>-0.86655763894225224</v>
      </c>
      <c r="G441" s="61">
        <f t="shared" si="38"/>
        <v>9.2768140491986628</v>
      </c>
      <c r="H441" s="61">
        <f t="shared" si="36"/>
        <v>0.70780085756702082</v>
      </c>
      <c r="I441" s="28" t="str">
        <f t="shared" si="39"/>
        <v>Normal</v>
      </c>
      <c r="J441" s="49">
        <f t="shared" si="40"/>
        <v>6</v>
      </c>
      <c r="K441" s="49" t="e">
        <f t="shared" si="41"/>
        <v>#N/A</v>
      </c>
    </row>
    <row r="442" spans="1:11">
      <c r="A442" s="74">
        <v>40563</v>
      </c>
      <c r="B442" s="75">
        <v>6</v>
      </c>
      <c r="C442" s="73">
        <v>35</v>
      </c>
      <c r="D442" s="72" cm="1">
        <f t="array" ref="D442">AVERAGE(_xlfn._xlws.FILTER(C:C,B:B=B442))</f>
        <v>19.571428571428573</v>
      </c>
      <c r="E442" s="61" cm="1">
        <f t="array" ref="E442">_xlfn.STDEV.S(_xlfn._xlws.FILTER(C:C,B:B=B442))</f>
        <v>14.202615453298934</v>
      </c>
      <c r="F442" s="61">
        <f t="shared" si="37"/>
        <v>-8.8338023351692954</v>
      </c>
      <c r="G442" s="61">
        <f t="shared" si="38"/>
        <v>47.976659478026441</v>
      </c>
      <c r="H442" s="61">
        <f t="shared" si="36"/>
        <v>1.0863190290058675</v>
      </c>
      <c r="I442" s="28" t="str">
        <f t="shared" si="39"/>
        <v>Normal</v>
      </c>
      <c r="J442" s="49">
        <f t="shared" si="40"/>
        <v>35</v>
      </c>
      <c r="K442" s="49" t="e">
        <f t="shared" si="41"/>
        <v>#N/A</v>
      </c>
    </row>
    <row r="443" spans="1:11">
      <c r="A443" s="74">
        <v>40563</v>
      </c>
      <c r="B443" s="75">
        <v>7</v>
      </c>
      <c r="C443" s="73">
        <v>101</v>
      </c>
      <c r="D443" s="72" cm="1">
        <f t="array" ref="D443">AVERAGE(_xlfn._xlws.FILTER(C:C,B:B=B443))</f>
        <v>54.395348837209305</v>
      </c>
      <c r="E443" s="61" cm="1">
        <f t="array" ref="E443">_xlfn.STDEV.S(_xlfn._xlws.FILTER(C:C,B:B=B443))</f>
        <v>39.112864486352777</v>
      </c>
      <c r="F443" s="61">
        <f t="shared" si="37"/>
        <v>-23.830380135496249</v>
      </c>
      <c r="G443" s="61">
        <f t="shared" si="38"/>
        <v>132.62107780991485</v>
      </c>
      <c r="H443" s="61">
        <f t="shared" si="36"/>
        <v>1.1915427769053311</v>
      </c>
      <c r="I443" s="28" t="str">
        <f t="shared" si="39"/>
        <v>Normal</v>
      </c>
      <c r="J443" s="49">
        <f t="shared" si="40"/>
        <v>101</v>
      </c>
      <c r="K443" s="49" t="e">
        <f t="shared" si="41"/>
        <v>#N/A</v>
      </c>
    </row>
    <row r="444" spans="1:11">
      <c r="A444" s="74">
        <v>40563</v>
      </c>
      <c r="B444" s="75">
        <v>8</v>
      </c>
      <c r="C444" s="73">
        <v>249</v>
      </c>
      <c r="D444" s="72" cm="1">
        <f t="array" ref="D444">AVERAGE(_xlfn._xlws.FILTER(C:C,B:B=B444))</f>
        <v>128.28571428571428</v>
      </c>
      <c r="E444" s="61" cm="1">
        <f t="array" ref="E444">_xlfn.STDEV.S(_xlfn._xlws.FILTER(C:C,B:B=B444))</f>
        <v>88.551565717048547</v>
      </c>
      <c r="F444" s="61">
        <f t="shared" si="37"/>
        <v>-48.817417148382816</v>
      </c>
      <c r="G444" s="61">
        <f t="shared" si="38"/>
        <v>305.38884571981134</v>
      </c>
      <c r="H444" s="61">
        <f t="shared" si="36"/>
        <v>1.3632089363615283</v>
      </c>
      <c r="I444" s="28" t="str">
        <f t="shared" si="39"/>
        <v>Normal</v>
      </c>
      <c r="J444" s="49">
        <f t="shared" si="40"/>
        <v>249</v>
      </c>
      <c r="K444" s="49" t="e">
        <f t="shared" si="41"/>
        <v>#N/A</v>
      </c>
    </row>
    <row r="445" spans="1:11">
      <c r="A445" s="74">
        <v>40563</v>
      </c>
      <c r="B445" s="75">
        <v>9</v>
      </c>
      <c r="C445" s="73">
        <v>143</v>
      </c>
      <c r="D445" s="72" cm="1">
        <f t="array" ref="D445">AVERAGE(_xlfn._xlws.FILTER(C:C,B:B=B445))</f>
        <v>87.428571428571431</v>
      </c>
      <c r="E445" s="61" cm="1">
        <f t="array" ref="E445">_xlfn.STDEV.S(_xlfn._xlws.FILTER(C:C,B:B=B445))</f>
        <v>45.93852884078624</v>
      </c>
      <c r="F445" s="61">
        <f t="shared" si="37"/>
        <v>-4.4484862530010503</v>
      </c>
      <c r="G445" s="61">
        <f t="shared" si="38"/>
        <v>179.30562911014391</v>
      </c>
      <c r="H445" s="61">
        <f t="shared" si="36"/>
        <v>1.2096910800959264</v>
      </c>
      <c r="I445" s="28" t="str">
        <f t="shared" si="39"/>
        <v>Normal</v>
      </c>
      <c r="J445" s="49">
        <f t="shared" si="40"/>
        <v>143</v>
      </c>
      <c r="K445" s="49" t="e">
        <f t="shared" si="41"/>
        <v>#N/A</v>
      </c>
    </row>
    <row r="446" spans="1:11">
      <c r="A446" s="74">
        <v>40563</v>
      </c>
      <c r="B446" s="75">
        <v>10</v>
      </c>
      <c r="C446" s="73">
        <v>57</v>
      </c>
      <c r="D446" s="72" cm="1">
        <f t="array" ref="D446">AVERAGE(_xlfn._xlws.FILTER(C:C,B:B=B446))</f>
        <v>53.642857142857146</v>
      </c>
      <c r="E446" s="61" cm="1">
        <f t="array" ref="E446">_xlfn.STDEV.S(_xlfn._xlws.FILTER(C:C,B:B=B446))</f>
        <v>15.395313554536934</v>
      </c>
      <c r="F446" s="61">
        <f t="shared" si="37"/>
        <v>22.852230033783279</v>
      </c>
      <c r="G446" s="61">
        <f t="shared" si="38"/>
        <v>84.43348425193102</v>
      </c>
      <c r="H446" s="61">
        <f t="shared" si="36"/>
        <v>0.2180626490815134</v>
      </c>
      <c r="I446" s="28" t="str">
        <f t="shared" si="39"/>
        <v>Normal</v>
      </c>
      <c r="J446" s="49">
        <f t="shared" si="40"/>
        <v>57</v>
      </c>
      <c r="K446" s="49" t="e">
        <f t="shared" si="41"/>
        <v>#N/A</v>
      </c>
    </row>
    <row r="447" spans="1:11">
      <c r="A447" s="74">
        <v>40563</v>
      </c>
      <c r="B447" s="75">
        <v>11</v>
      </c>
      <c r="C447" s="73">
        <v>68</v>
      </c>
      <c r="D447" s="72" cm="1">
        <f t="array" ref="D447">AVERAGE(_xlfn._xlws.FILTER(C:C,B:B=B447))</f>
        <v>59.38095238095238</v>
      </c>
      <c r="E447" s="61" cm="1">
        <f t="array" ref="E447">_xlfn.STDEV.S(_xlfn._xlws.FILTER(C:C,B:B=B447))</f>
        <v>20.89573696860419</v>
      </c>
      <c r="F447" s="61">
        <f t="shared" si="37"/>
        <v>17.589478443743999</v>
      </c>
      <c r="G447" s="61">
        <f t="shared" si="38"/>
        <v>101.17242631816076</v>
      </c>
      <c r="H447" s="61">
        <f t="shared" si="36"/>
        <v>0.41247875736556816</v>
      </c>
      <c r="I447" s="28" t="str">
        <f t="shared" si="39"/>
        <v>Normal</v>
      </c>
      <c r="J447" s="49">
        <f t="shared" si="40"/>
        <v>68</v>
      </c>
      <c r="K447" s="49" t="e">
        <f t="shared" si="41"/>
        <v>#N/A</v>
      </c>
    </row>
    <row r="448" spans="1:11">
      <c r="A448" s="74">
        <v>40563</v>
      </c>
      <c r="B448" s="75">
        <v>12</v>
      </c>
      <c r="C448" s="73">
        <v>84</v>
      </c>
      <c r="D448" s="72" cm="1">
        <f t="array" ref="D448">AVERAGE(_xlfn._xlws.FILTER(C:C,B:B=B448))</f>
        <v>76.348837209302332</v>
      </c>
      <c r="E448" s="61" cm="1">
        <f t="array" ref="E448">_xlfn.STDEV.S(_xlfn._xlws.FILTER(C:C,B:B=B448))</f>
        <v>29.034366927857054</v>
      </c>
      <c r="F448" s="61">
        <f t="shared" si="37"/>
        <v>18.280103353588224</v>
      </c>
      <c r="G448" s="61">
        <f t="shared" si="38"/>
        <v>134.41757106501643</v>
      </c>
      <c r="H448" s="61">
        <f t="shared" si="36"/>
        <v>0.26352090988272081</v>
      </c>
      <c r="I448" s="28" t="str">
        <f t="shared" si="39"/>
        <v>Normal</v>
      </c>
      <c r="J448" s="49">
        <f t="shared" si="40"/>
        <v>84</v>
      </c>
      <c r="K448" s="49" t="e">
        <f t="shared" si="41"/>
        <v>#N/A</v>
      </c>
    </row>
    <row r="449" spans="1:11">
      <c r="A449" s="74">
        <v>40563</v>
      </c>
      <c r="B449" s="75">
        <v>13</v>
      </c>
      <c r="C449" s="73">
        <v>98</v>
      </c>
      <c r="D449" s="72" cm="1">
        <f t="array" ref="D449">AVERAGE(_xlfn._xlws.FILTER(C:C,B:B=B449))</f>
        <v>78.511627906976742</v>
      </c>
      <c r="E449" s="61" cm="1">
        <f t="array" ref="E449">_xlfn.STDEV.S(_xlfn._xlws.FILTER(C:C,B:B=B449))</f>
        <v>30.072430098825187</v>
      </c>
      <c r="F449" s="61">
        <f t="shared" si="37"/>
        <v>18.366767709326368</v>
      </c>
      <c r="G449" s="61">
        <f t="shared" si="38"/>
        <v>138.6564881046271</v>
      </c>
      <c r="H449" s="61">
        <f t="shared" si="36"/>
        <v>0.64804779756673514</v>
      </c>
      <c r="I449" s="28" t="str">
        <f t="shared" si="39"/>
        <v>Normal</v>
      </c>
      <c r="J449" s="49">
        <f t="shared" si="40"/>
        <v>98</v>
      </c>
      <c r="K449" s="49" t="e">
        <f t="shared" si="41"/>
        <v>#N/A</v>
      </c>
    </row>
    <row r="450" spans="1:11">
      <c r="A450" s="74">
        <v>40563</v>
      </c>
      <c r="B450" s="75">
        <v>14</v>
      </c>
      <c r="C450" s="73">
        <v>81</v>
      </c>
      <c r="D450" s="72" cm="1">
        <f t="array" ref="D450">AVERAGE(_xlfn._xlws.FILTER(C:C,B:B=B450))</f>
        <v>74.418604651162795</v>
      </c>
      <c r="E450" s="61" cm="1">
        <f t="array" ref="E450">_xlfn.STDEV.S(_xlfn._xlws.FILTER(C:C,B:B=B450))</f>
        <v>30.30576918056515</v>
      </c>
      <c r="F450" s="61">
        <f t="shared" si="37"/>
        <v>13.807066290032495</v>
      </c>
      <c r="G450" s="61">
        <f t="shared" si="38"/>
        <v>135.03014301229308</v>
      </c>
      <c r="H450" s="61">
        <f t="shared" si="36"/>
        <v>0.21716641836821624</v>
      </c>
      <c r="I450" s="28" t="str">
        <f t="shared" si="39"/>
        <v>Normal</v>
      </c>
      <c r="J450" s="49">
        <f t="shared" si="40"/>
        <v>81</v>
      </c>
      <c r="K450" s="49" t="e">
        <f t="shared" si="41"/>
        <v>#N/A</v>
      </c>
    </row>
    <row r="451" spans="1:11">
      <c r="A451" s="74">
        <v>40563</v>
      </c>
      <c r="B451" s="75">
        <v>15</v>
      </c>
      <c r="C451" s="73">
        <v>70</v>
      </c>
      <c r="D451" s="72" cm="1">
        <f t="array" ref="D451">AVERAGE(_xlfn._xlws.FILTER(C:C,B:B=B451))</f>
        <v>77.95348837209302</v>
      </c>
      <c r="E451" s="61" cm="1">
        <f t="array" ref="E451">_xlfn.STDEV.S(_xlfn._xlws.FILTER(C:C,B:B=B451))</f>
        <v>34.481156681772681</v>
      </c>
      <c r="F451" s="61">
        <f t="shared" si="37"/>
        <v>8.9911750085476569</v>
      </c>
      <c r="G451" s="61">
        <f t="shared" si="38"/>
        <v>146.91580173563838</v>
      </c>
      <c r="H451" s="61">
        <f t="shared" si="36"/>
        <v>-0.23066187847165137</v>
      </c>
      <c r="I451" s="28" t="str">
        <f t="shared" si="39"/>
        <v>Normal</v>
      </c>
      <c r="J451" s="49">
        <f t="shared" si="40"/>
        <v>70</v>
      </c>
      <c r="K451" s="49" t="e">
        <f t="shared" si="41"/>
        <v>#N/A</v>
      </c>
    </row>
    <row r="452" spans="1:11">
      <c r="A452" s="74">
        <v>40563</v>
      </c>
      <c r="B452" s="75">
        <v>16</v>
      </c>
      <c r="C452" s="73">
        <v>91</v>
      </c>
      <c r="D452" s="72" cm="1">
        <f t="array" ref="D452">AVERAGE(_xlfn._xlws.FILTER(C:C,B:B=B452))</f>
        <v>89.272727272727266</v>
      </c>
      <c r="E452" s="61" cm="1">
        <f t="array" ref="E452">_xlfn.STDEV.S(_xlfn._xlws.FILTER(C:C,B:B=B452))</f>
        <v>25.461657115880758</v>
      </c>
      <c r="F452" s="61">
        <f t="shared" si="37"/>
        <v>38.34941304096575</v>
      </c>
      <c r="G452" s="61">
        <f t="shared" si="38"/>
        <v>140.19604150448879</v>
      </c>
      <c r="H452" s="61">
        <f t="shared" si="36"/>
        <v>6.7838189769487231E-2</v>
      </c>
      <c r="I452" s="28" t="str">
        <f t="shared" si="39"/>
        <v>Normal</v>
      </c>
      <c r="J452" s="49">
        <f t="shared" si="40"/>
        <v>91</v>
      </c>
      <c r="K452" s="49" t="e">
        <f t="shared" si="41"/>
        <v>#N/A</v>
      </c>
    </row>
    <row r="453" spans="1:11">
      <c r="A453" s="74">
        <v>40563</v>
      </c>
      <c r="B453" s="75">
        <v>17</v>
      </c>
      <c r="C453" s="73">
        <v>215</v>
      </c>
      <c r="D453" s="72" cm="1">
        <f t="array" ref="D453">AVERAGE(_xlfn._xlws.FILTER(C:C,B:B=B453))</f>
        <v>140.20454545454547</v>
      </c>
      <c r="E453" s="61" cm="1">
        <f t="array" ref="E453">_xlfn.STDEV.S(_xlfn._xlws.FILTER(C:C,B:B=B453))</f>
        <v>54.067391000084555</v>
      </c>
      <c r="F453" s="61">
        <f t="shared" si="37"/>
        <v>32.069763454376357</v>
      </c>
      <c r="G453" s="61">
        <f t="shared" si="38"/>
        <v>248.33932745471458</v>
      </c>
      <c r="H453" s="61">
        <f t="shared" ref="H453:H516" si="42">(C453-D453)/E453</f>
        <v>1.3833745842357654</v>
      </c>
      <c r="I453" s="28" t="str">
        <f t="shared" si="39"/>
        <v>Normal</v>
      </c>
      <c r="J453" s="49">
        <f t="shared" si="40"/>
        <v>215</v>
      </c>
      <c r="K453" s="49" t="e">
        <f t="shared" si="41"/>
        <v>#N/A</v>
      </c>
    </row>
    <row r="454" spans="1:11">
      <c r="A454" s="74">
        <v>40563</v>
      </c>
      <c r="B454" s="75">
        <v>18</v>
      </c>
      <c r="C454" s="73">
        <v>185</v>
      </c>
      <c r="D454" s="72" cm="1">
        <f t="array" ref="D454">AVERAGE(_xlfn._xlws.FILTER(C:C,B:B=B454))</f>
        <v>122.86046511627907</v>
      </c>
      <c r="E454" s="61" cm="1">
        <f t="array" ref="E454">_xlfn.STDEV.S(_xlfn._xlws.FILTER(C:C,B:B=B454))</f>
        <v>48.613432101949932</v>
      </c>
      <c r="F454" s="61">
        <f t="shared" ref="F454:F517" si="43">D454-(2*E454)</f>
        <v>25.633600912379208</v>
      </c>
      <c r="G454" s="61">
        <f t="shared" ref="G454:G517" si="44">D454+(2*E454)</f>
        <v>220.08732932017892</v>
      </c>
      <c r="H454" s="61">
        <f t="shared" si="42"/>
        <v>1.2782379724477106</v>
      </c>
      <c r="I454" s="28" t="str">
        <f t="shared" ref="I454:I517" si="45">IF(H454&gt;=2,"High Anomaly",IF(H454&lt;=-2,"Low Anomaly","Normal"))</f>
        <v>Normal</v>
      </c>
      <c r="J454" s="49">
        <f t="shared" ref="J454:J517" si="46">IF(I454="Normal",C454,NA())</f>
        <v>185</v>
      </c>
      <c r="K454" s="49" t="e">
        <f t="shared" ref="K454:K517" si="47">IF(I454&lt;&gt;"Normal",C454,NA())</f>
        <v>#N/A</v>
      </c>
    </row>
    <row r="455" spans="1:11">
      <c r="A455" s="74">
        <v>40563</v>
      </c>
      <c r="B455" s="75">
        <v>19</v>
      </c>
      <c r="C455" s="73">
        <v>152</v>
      </c>
      <c r="D455" s="72" cm="1">
        <f t="array" ref="D455">AVERAGE(_xlfn._xlws.FILTER(C:C,B:B=B455))</f>
        <v>85.139534883720927</v>
      </c>
      <c r="E455" s="61" cm="1">
        <f t="array" ref="E455">_xlfn.STDEV.S(_xlfn._xlws.FILTER(C:C,B:B=B455))</f>
        <v>31.690904054294752</v>
      </c>
      <c r="F455" s="61">
        <f t="shared" si="43"/>
        <v>21.757726775131424</v>
      </c>
      <c r="G455" s="61">
        <f t="shared" si="44"/>
        <v>148.52134299231042</v>
      </c>
      <c r="H455" s="61">
        <f t="shared" si="42"/>
        <v>2.1097683108607357</v>
      </c>
      <c r="I455" s="28" t="str">
        <f t="shared" si="45"/>
        <v>High Anomaly</v>
      </c>
      <c r="J455" s="49" t="e">
        <f t="shared" si="46"/>
        <v>#N/A</v>
      </c>
      <c r="K455" s="49">
        <f t="shared" si="47"/>
        <v>152</v>
      </c>
    </row>
    <row r="456" spans="1:11">
      <c r="A456" s="74">
        <v>40563</v>
      </c>
      <c r="B456" s="75">
        <v>20</v>
      </c>
      <c r="C456" s="73">
        <v>126</v>
      </c>
      <c r="D456" s="72" cm="1">
        <f t="array" ref="D456">AVERAGE(_xlfn._xlws.FILTER(C:C,B:B=B456))</f>
        <v>61.767441860465119</v>
      </c>
      <c r="E456" s="61" cm="1">
        <f t="array" ref="E456">_xlfn.STDEV.S(_xlfn._xlws.FILTER(C:C,B:B=B456))</f>
        <v>24.632380169685593</v>
      </c>
      <c r="F456" s="61">
        <f t="shared" si="43"/>
        <v>12.502681521093933</v>
      </c>
      <c r="G456" s="61">
        <f t="shared" si="44"/>
        <v>111.03220219983631</v>
      </c>
      <c r="H456" s="61">
        <f t="shared" si="42"/>
        <v>2.6076472390022691</v>
      </c>
      <c r="I456" s="28" t="str">
        <f t="shared" si="45"/>
        <v>High Anomaly</v>
      </c>
      <c r="J456" s="49" t="e">
        <f t="shared" si="46"/>
        <v>#N/A</v>
      </c>
      <c r="K456" s="49">
        <f t="shared" si="47"/>
        <v>126</v>
      </c>
    </row>
    <row r="457" spans="1:11">
      <c r="A457" s="74">
        <v>40563</v>
      </c>
      <c r="B457" s="75">
        <v>21</v>
      </c>
      <c r="C457" s="73">
        <v>57</v>
      </c>
      <c r="D457" s="72" cm="1">
        <f t="array" ref="D457">AVERAGE(_xlfn._xlws.FILTER(C:C,B:B=B457))</f>
        <v>46.418604651162788</v>
      </c>
      <c r="E457" s="61" cm="1">
        <f t="array" ref="E457">_xlfn.STDEV.S(_xlfn._xlws.FILTER(C:C,B:B=B457))</f>
        <v>14.656759464719496</v>
      </c>
      <c r="F457" s="61">
        <f t="shared" si="43"/>
        <v>17.105085721723796</v>
      </c>
      <c r="G457" s="61">
        <f t="shared" si="44"/>
        <v>75.73212358060178</v>
      </c>
      <c r="H457" s="61">
        <f t="shared" si="42"/>
        <v>0.72194644213871739</v>
      </c>
      <c r="I457" s="28" t="str">
        <f t="shared" si="45"/>
        <v>Normal</v>
      </c>
      <c r="J457" s="49">
        <f t="shared" si="46"/>
        <v>57</v>
      </c>
      <c r="K457" s="49" t="e">
        <f t="shared" si="47"/>
        <v>#N/A</v>
      </c>
    </row>
    <row r="458" spans="1:11">
      <c r="A458" s="74">
        <v>40563</v>
      </c>
      <c r="B458" s="75">
        <v>22</v>
      </c>
      <c r="C458" s="73">
        <v>56</v>
      </c>
      <c r="D458" s="72" cm="1">
        <f t="array" ref="D458">AVERAGE(_xlfn._xlws.FILTER(C:C,B:B=B458))</f>
        <v>35.069767441860463</v>
      </c>
      <c r="E458" s="61" cm="1">
        <f t="array" ref="E458">_xlfn.STDEV.S(_xlfn._xlws.FILTER(C:C,B:B=B458))</f>
        <v>11.95506537162667</v>
      </c>
      <c r="F458" s="61">
        <f t="shared" si="43"/>
        <v>11.159636698607123</v>
      </c>
      <c r="G458" s="61">
        <f t="shared" si="44"/>
        <v>58.979898185113804</v>
      </c>
      <c r="H458" s="61">
        <f t="shared" si="42"/>
        <v>1.7507417908239893</v>
      </c>
      <c r="I458" s="28" t="str">
        <f t="shared" si="45"/>
        <v>Normal</v>
      </c>
      <c r="J458" s="49">
        <f t="shared" si="46"/>
        <v>56</v>
      </c>
      <c r="K458" s="49" t="e">
        <f t="shared" si="47"/>
        <v>#N/A</v>
      </c>
    </row>
    <row r="459" spans="1:11">
      <c r="A459" s="74">
        <v>40563</v>
      </c>
      <c r="B459" s="75">
        <v>23</v>
      </c>
      <c r="C459" s="73">
        <v>31</v>
      </c>
      <c r="D459" s="72" cm="1">
        <f t="array" ref="D459">AVERAGE(_xlfn._xlws.FILTER(C:C,B:B=B459))</f>
        <v>25.186046511627907</v>
      </c>
      <c r="E459" s="61" cm="1">
        <f t="array" ref="E459">_xlfn.STDEV.S(_xlfn._xlws.FILTER(C:C,B:B=B459))</f>
        <v>11.751911321656188</v>
      </c>
      <c r="F459" s="61">
        <f t="shared" si="43"/>
        <v>1.6822238683155319</v>
      </c>
      <c r="G459" s="61">
        <f t="shared" si="44"/>
        <v>48.689869154940283</v>
      </c>
      <c r="H459" s="61">
        <f t="shared" si="42"/>
        <v>0.49472407757691766</v>
      </c>
      <c r="I459" s="28" t="str">
        <f t="shared" si="45"/>
        <v>Normal</v>
      </c>
      <c r="J459" s="49">
        <f t="shared" si="46"/>
        <v>31</v>
      </c>
      <c r="K459" s="49" t="e">
        <f t="shared" si="47"/>
        <v>#N/A</v>
      </c>
    </row>
    <row r="460" spans="1:11">
      <c r="A460" s="74">
        <v>40564</v>
      </c>
      <c r="B460" s="75">
        <v>0</v>
      </c>
      <c r="C460" s="73">
        <v>21</v>
      </c>
      <c r="D460" s="72" cm="1">
        <f t="array" ref="D460">AVERAGE(_xlfn._xlws.FILTER(C:C,B:B=B460))</f>
        <v>16.348837209302324</v>
      </c>
      <c r="E460" s="61" cm="1">
        <f t="array" ref="E460">_xlfn.STDEV.S(_xlfn._xlws.FILTER(C:C,B:B=B460))</f>
        <v>10.44232167427621</v>
      </c>
      <c r="F460" s="61">
        <f t="shared" si="43"/>
        <v>-4.535806139250095</v>
      </c>
      <c r="G460" s="61">
        <f t="shared" si="44"/>
        <v>37.233480557854747</v>
      </c>
      <c r="H460" s="61">
        <f t="shared" si="42"/>
        <v>0.44541462481044114</v>
      </c>
      <c r="I460" s="28" t="str">
        <f t="shared" si="45"/>
        <v>Normal</v>
      </c>
      <c r="J460" s="49">
        <f t="shared" si="46"/>
        <v>21</v>
      </c>
      <c r="K460" s="49" t="e">
        <f t="shared" si="47"/>
        <v>#N/A</v>
      </c>
    </row>
    <row r="461" spans="1:11">
      <c r="A461" s="74">
        <v>40564</v>
      </c>
      <c r="B461" s="75">
        <v>1</v>
      </c>
      <c r="C461" s="73">
        <v>6</v>
      </c>
      <c r="D461" s="72" cm="1">
        <f t="array" ref="D461">AVERAGE(_xlfn._xlws.FILTER(C:C,B:B=B461))</f>
        <v>10.697674418604651</v>
      </c>
      <c r="E461" s="61" cm="1">
        <f t="array" ref="E461">_xlfn.STDEV.S(_xlfn._xlws.FILTER(C:C,B:B=B461))</f>
        <v>10.060613641515801</v>
      </c>
      <c r="F461" s="61">
        <f t="shared" si="43"/>
        <v>-9.4235528644269504</v>
      </c>
      <c r="G461" s="61">
        <f t="shared" si="44"/>
        <v>30.81890170163625</v>
      </c>
      <c r="H461" s="61">
        <f t="shared" si="42"/>
        <v>-0.4669371656634721</v>
      </c>
      <c r="I461" s="28" t="str">
        <f t="shared" si="45"/>
        <v>Normal</v>
      </c>
      <c r="J461" s="49">
        <f t="shared" si="46"/>
        <v>6</v>
      </c>
      <c r="K461" s="49" t="e">
        <f t="shared" si="47"/>
        <v>#N/A</v>
      </c>
    </row>
    <row r="462" spans="1:11">
      <c r="A462" s="74">
        <v>40564</v>
      </c>
      <c r="B462" s="75">
        <v>2</v>
      </c>
      <c r="C462" s="73">
        <v>2</v>
      </c>
      <c r="D462" s="72" cm="1">
        <f t="array" ref="D462">AVERAGE(_xlfn._xlws.FILTER(C:C,B:B=B462))</f>
        <v>7.1707317073170733</v>
      </c>
      <c r="E462" s="61" cm="1">
        <f t="array" ref="E462">_xlfn.STDEV.S(_xlfn._xlws.FILTER(C:C,B:B=B462))</f>
        <v>7.3685223723090854</v>
      </c>
      <c r="F462" s="61">
        <f t="shared" si="43"/>
        <v>-7.5663130373010974</v>
      </c>
      <c r="G462" s="61">
        <f t="shared" si="44"/>
        <v>21.907776451935245</v>
      </c>
      <c r="H462" s="61">
        <f t="shared" si="42"/>
        <v>-0.70173251108644097</v>
      </c>
      <c r="I462" s="28" t="str">
        <f t="shared" si="45"/>
        <v>Normal</v>
      </c>
      <c r="J462" s="49">
        <f t="shared" si="46"/>
        <v>2</v>
      </c>
      <c r="K462" s="49" t="e">
        <f t="shared" si="47"/>
        <v>#N/A</v>
      </c>
    </row>
    <row r="463" spans="1:11">
      <c r="A463" s="74">
        <v>40564</v>
      </c>
      <c r="B463" s="75">
        <v>3</v>
      </c>
      <c r="C463" s="73">
        <v>1</v>
      </c>
      <c r="D463" s="72" cm="1">
        <f t="array" ref="D463">AVERAGE(_xlfn._xlws.FILTER(C:C,B:B=B463))</f>
        <v>4.870967741935484</v>
      </c>
      <c r="E463" s="61" cm="1">
        <f t="array" ref="E463">_xlfn.STDEV.S(_xlfn._xlws.FILTER(C:C,B:B=B463))</f>
        <v>4.4702120418303126</v>
      </c>
      <c r="F463" s="61">
        <f t="shared" si="43"/>
        <v>-4.0694563417251413</v>
      </c>
      <c r="G463" s="61">
        <f t="shared" si="44"/>
        <v>13.811391825596109</v>
      </c>
      <c r="H463" s="61">
        <f t="shared" si="42"/>
        <v>-0.86594723152115394</v>
      </c>
      <c r="I463" s="28" t="str">
        <f t="shared" si="45"/>
        <v>Normal</v>
      </c>
      <c r="J463" s="49">
        <f t="shared" si="46"/>
        <v>1</v>
      </c>
      <c r="K463" s="49" t="e">
        <f t="shared" si="47"/>
        <v>#N/A</v>
      </c>
    </row>
    <row r="464" spans="1:11">
      <c r="A464" s="74">
        <v>40564</v>
      </c>
      <c r="B464" s="75">
        <v>4</v>
      </c>
      <c r="C464" s="73">
        <v>1</v>
      </c>
      <c r="D464" s="72" cm="1">
        <f t="array" ref="D464">AVERAGE(_xlfn._xlws.FILTER(C:C,B:B=B464))</f>
        <v>2.15625</v>
      </c>
      <c r="E464" s="61" cm="1">
        <f t="array" ref="E464">_xlfn.STDEV.S(_xlfn._xlws.FILTER(C:C,B:B=B464))</f>
        <v>1.5263148747143209</v>
      </c>
      <c r="F464" s="61">
        <f t="shared" si="43"/>
        <v>-0.89637974942864185</v>
      </c>
      <c r="G464" s="61">
        <f t="shared" si="44"/>
        <v>5.2088797494286414</v>
      </c>
      <c r="H464" s="61">
        <f t="shared" si="42"/>
        <v>-0.75754355746314428</v>
      </c>
      <c r="I464" s="28" t="str">
        <f t="shared" si="45"/>
        <v>Normal</v>
      </c>
      <c r="J464" s="49">
        <f t="shared" si="46"/>
        <v>1</v>
      </c>
      <c r="K464" s="49" t="e">
        <f t="shared" si="47"/>
        <v>#N/A</v>
      </c>
    </row>
    <row r="465" spans="1:11">
      <c r="A465" s="74">
        <v>40564</v>
      </c>
      <c r="B465" s="75">
        <v>5</v>
      </c>
      <c r="C465" s="73">
        <v>5</v>
      </c>
      <c r="D465" s="72" cm="1">
        <f t="array" ref="D465">AVERAGE(_xlfn._xlws.FILTER(C:C,B:B=B465))</f>
        <v>4.2051282051282053</v>
      </c>
      <c r="E465" s="61" cm="1">
        <f t="array" ref="E465">_xlfn.STDEV.S(_xlfn._xlws.FILTER(C:C,B:B=B465))</f>
        <v>2.5358429220352288</v>
      </c>
      <c r="F465" s="61">
        <f t="shared" si="43"/>
        <v>-0.86655763894225224</v>
      </c>
      <c r="G465" s="61">
        <f t="shared" si="44"/>
        <v>9.2768140491986628</v>
      </c>
      <c r="H465" s="61">
        <f t="shared" si="42"/>
        <v>0.31345466549396633</v>
      </c>
      <c r="I465" s="28" t="str">
        <f t="shared" si="45"/>
        <v>Normal</v>
      </c>
      <c r="J465" s="49">
        <f t="shared" si="46"/>
        <v>5</v>
      </c>
      <c r="K465" s="49" t="e">
        <f t="shared" si="47"/>
        <v>#N/A</v>
      </c>
    </row>
    <row r="466" spans="1:11">
      <c r="A466" s="74">
        <v>40564</v>
      </c>
      <c r="B466" s="75">
        <v>6</v>
      </c>
      <c r="C466" s="73">
        <v>27</v>
      </c>
      <c r="D466" s="72" cm="1">
        <f t="array" ref="D466">AVERAGE(_xlfn._xlws.FILTER(C:C,B:B=B466))</f>
        <v>19.571428571428573</v>
      </c>
      <c r="E466" s="61" cm="1">
        <f t="array" ref="E466">_xlfn.STDEV.S(_xlfn._xlws.FILTER(C:C,B:B=B466))</f>
        <v>14.202615453298934</v>
      </c>
      <c r="F466" s="61">
        <f t="shared" si="43"/>
        <v>-8.8338023351692954</v>
      </c>
      <c r="G466" s="61">
        <f t="shared" si="44"/>
        <v>47.976659478026441</v>
      </c>
      <c r="H466" s="61">
        <f t="shared" si="42"/>
        <v>0.52304249544726944</v>
      </c>
      <c r="I466" s="28" t="str">
        <f t="shared" si="45"/>
        <v>Normal</v>
      </c>
      <c r="J466" s="49">
        <f t="shared" si="46"/>
        <v>27</v>
      </c>
      <c r="K466" s="49" t="e">
        <f t="shared" si="47"/>
        <v>#N/A</v>
      </c>
    </row>
    <row r="467" spans="1:11">
      <c r="A467" s="74">
        <v>40564</v>
      </c>
      <c r="B467" s="75">
        <v>7</v>
      </c>
      <c r="C467" s="73">
        <v>68</v>
      </c>
      <c r="D467" s="72" cm="1">
        <f t="array" ref="D467">AVERAGE(_xlfn._xlws.FILTER(C:C,B:B=B467))</f>
        <v>54.395348837209305</v>
      </c>
      <c r="E467" s="61" cm="1">
        <f t="array" ref="E467">_xlfn.STDEV.S(_xlfn._xlws.FILTER(C:C,B:B=B467))</f>
        <v>39.112864486352777</v>
      </c>
      <c r="F467" s="61">
        <f t="shared" si="43"/>
        <v>-23.830380135496249</v>
      </c>
      <c r="G467" s="61">
        <f t="shared" si="44"/>
        <v>132.62107780991485</v>
      </c>
      <c r="H467" s="61">
        <f t="shared" si="42"/>
        <v>0.34783060104272384</v>
      </c>
      <c r="I467" s="28" t="str">
        <f t="shared" si="45"/>
        <v>Normal</v>
      </c>
      <c r="J467" s="49">
        <f t="shared" si="46"/>
        <v>68</v>
      </c>
      <c r="K467" s="49" t="e">
        <f t="shared" si="47"/>
        <v>#N/A</v>
      </c>
    </row>
    <row r="468" spans="1:11">
      <c r="A468" s="74">
        <v>40564</v>
      </c>
      <c r="B468" s="75">
        <v>8</v>
      </c>
      <c r="C468" s="73">
        <v>217</v>
      </c>
      <c r="D468" s="72" cm="1">
        <f t="array" ref="D468">AVERAGE(_xlfn._xlws.FILTER(C:C,B:B=B468))</f>
        <v>128.28571428571428</v>
      </c>
      <c r="E468" s="61" cm="1">
        <f t="array" ref="E468">_xlfn.STDEV.S(_xlfn._xlws.FILTER(C:C,B:B=B468))</f>
        <v>88.551565717048547</v>
      </c>
      <c r="F468" s="61">
        <f t="shared" si="43"/>
        <v>-48.817417148382816</v>
      </c>
      <c r="G468" s="61">
        <f t="shared" si="44"/>
        <v>305.38884571981134</v>
      </c>
      <c r="H468" s="61">
        <f t="shared" si="42"/>
        <v>1.0018375733497149</v>
      </c>
      <c r="I468" s="28" t="str">
        <f t="shared" si="45"/>
        <v>Normal</v>
      </c>
      <c r="J468" s="49">
        <f t="shared" si="46"/>
        <v>217</v>
      </c>
      <c r="K468" s="49" t="e">
        <f t="shared" si="47"/>
        <v>#N/A</v>
      </c>
    </row>
    <row r="469" spans="1:11">
      <c r="A469" s="74">
        <v>40564</v>
      </c>
      <c r="B469" s="75">
        <v>9</v>
      </c>
      <c r="C469" s="73">
        <v>166</v>
      </c>
      <c r="D469" s="72" cm="1">
        <f t="array" ref="D469">AVERAGE(_xlfn._xlws.FILTER(C:C,B:B=B469))</f>
        <v>87.428571428571431</v>
      </c>
      <c r="E469" s="61" cm="1">
        <f t="array" ref="E469">_xlfn.STDEV.S(_xlfn._xlws.FILTER(C:C,B:B=B469))</f>
        <v>45.93852884078624</v>
      </c>
      <c r="F469" s="61">
        <f t="shared" si="43"/>
        <v>-4.4484862530010503</v>
      </c>
      <c r="G469" s="61">
        <f t="shared" si="44"/>
        <v>179.30562911014391</v>
      </c>
      <c r="H469" s="61">
        <f t="shared" si="42"/>
        <v>1.7103601389531091</v>
      </c>
      <c r="I469" s="28" t="str">
        <f t="shared" si="45"/>
        <v>Normal</v>
      </c>
      <c r="J469" s="49">
        <f t="shared" si="46"/>
        <v>166</v>
      </c>
      <c r="K469" s="49" t="e">
        <f t="shared" si="47"/>
        <v>#N/A</v>
      </c>
    </row>
    <row r="470" spans="1:11">
      <c r="A470" s="74">
        <v>40564</v>
      </c>
      <c r="B470" s="75">
        <v>10</v>
      </c>
      <c r="C470" s="73">
        <v>63</v>
      </c>
      <c r="D470" s="72" cm="1">
        <f t="array" ref="D470">AVERAGE(_xlfn._xlws.FILTER(C:C,B:B=B470))</f>
        <v>53.642857142857146</v>
      </c>
      <c r="E470" s="61" cm="1">
        <f t="array" ref="E470">_xlfn.STDEV.S(_xlfn._xlws.FILTER(C:C,B:B=B470))</f>
        <v>15.395313554536934</v>
      </c>
      <c r="F470" s="61">
        <f t="shared" si="43"/>
        <v>22.852230033783279</v>
      </c>
      <c r="G470" s="61">
        <f t="shared" si="44"/>
        <v>84.43348425193102</v>
      </c>
      <c r="H470" s="61">
        <f t="shared" si="42"/>
        <v>0.60779163892932497</v>
      </c>
      <c r="I470" s="28" t="str">
        <f t="shared" si="45"/>
        <v>Normal</v>
      </c>
      <c r="J470" s="49">
        <f t="shared" si="46"/>
        <v>63</v>
      </c>
      <c r="K470" s="49" t="e">
        <f t="shared" si="47"/>
        <v>#N/A</v>
      </c>
    </row>
    <row r="471" spans="1:11">
      <c r="A471" s="74">
        <v>40564</v>
      </c>
      <c r="B471" s="75">
        <v>11</v>
      </c>
      <c r="C471" s="73">
        <v>59</v>
      </c>
      <c r="D471" s="72" cm="1">
        <f t="array" ref="D471">AVERAGE(_xlfn._xlws.FILTER(C:C,B:B=B471))</f>
        <v>59.38095238095238</v>
      </c>
      <c r="E471" s="61" cm="1">
        <f t="array" ref="E471">_xlfn.STDEV.S(_xlfn._xlws.FILTER(C:C,B:B=B471))</f>
        <v>20.89573696860419</v>
      </c>
      <c r="F471" s="61">
        <f t="shared" si="43"/>
        <v>17.589478443743999</v>
      </c>
      <c r="G471" s="61">
        <f t="shared" si="44"/>
        <v>101.17242631816076</v>
      </c>
      <c r="H471" s="61">
        <f t="shared" si="42"/>
        <v>-1.8231105297925598E-2</v>
      </c>
      <c r="I471" s="28" t="str">
        <f t="shared" si="45"/>
        <v>Normal</v>
      </c>
      <c r="J471" s="49">
        <f t="shared" si="46"/>
        <v>59</v>
      </c>
      <c r="K471" s="49" t="e">
        <f t="shared" si="47"/>
        <v>#N/A</v>
      </c>
    </row>
    <row r="472" spans="1:11">
      <c r="A472" s="74">
        <v>40564</v>
      </c>
      <c r="B472" s="75">
        <v>12</v>
      </c>
      <c r="C472" s="73">
        <v>78</v>
      </c>
      <c r="D472" s="72" cm="1">
        <f t="array" ref="D472">AVERAGE(_xlfn._xlws.FILTER(C:C,B:B=B472))</f>
        <v>76.348837209302332</v>
      </c>
      <c r="E472" s="61" cm="1">
        <f t="array" ref="E472">_xlfn.STDEV.S(_xlfn._xlws.FILTER(C:C,B:B=B472))</f>
        <v>29.034366927857054</v>
      </c>
      <c r="F472" s="61">
        <f t="shared" si="43"/>
        <v>18.280103353588224</v>
      </c>
      <c r="G472" s="61">
        <f t="shared" si="44"/>
        <v>134.41757106501643</v>
      </c>
      <c r="H472" s="61">
        <f t="shared" si="42"/>
        <v>5.6869254108428954E-2</v>
      </c>
      <c r="I472" s="28" t="str">
        <f t="shared" si="45"/>
        <v>Normal</v>
      </c>
      <c r="J472" s="49">
        <f t="shared" si="46"/>
        <v>78</v>
      </c>
      <c r="K472" s="49" t="e">
        <f t="shared" si="47"/>
        <v>#N/A</v>
      </c>
    </row>
    <row r="473" spans="1:11">
      <c r="A473" s="74">
        <v>40564</v>
      </c>
      <c r="B473" s="75">
        <v>13</v>
      </c>
      <c r="C473" s="73">
        <v>73</v>
      </c>
      <c r="D473" s="72" cm="1">
        <f t="array" ref="D473">AVERAGE(_xlfn._xlws.FILTER(C:C,B:B=B473))</f>
        <v>78.511627906976742</v>
      </c>
      <c r="E473" s="61" cm="1">
        <f t="array" ref="E473">_xlfn.STDEV.S(_xlfn._xlws.FILTER(C:C,B:B=B473))</f>
        <v>30.072430098825187</v>
      </c>
      <c r="F473" s="61">
        <f t="shared" si="43"/>
        <v>18.366767709326368</v>
      </c>
      <c r="G473" s="61">
        <f t="shared" si="44"/>
        <v>138.6564881046271</v>
      </c>
      <c r="H473" s="61">
        <f t="shared" si="42"/>
        <v>-0.18327843439536531</v>
      </c>
      <c r="I473" s="28" t="str">
        <f t="shared" si="45"/>
        <v>Normal</v>
      </c>
      <c r="J473" s="49">
        <f t="shared" si="46"/>
        <v>73</v>
      </c>
      <c r="K473" s="49" t="e">
        <f t="shared" si="47"/>
        <v>#N/A</v>
      </c>
    </row>
    <row r="474" spans="1:11">
      <c r="A474" s="74">
        <v>40564</v>
      </c>
      <c r="B474" s="75">
        <v>14</v>
      </c>
      <c r="C474" s="73">
        <v>62</v>
      </c>
      <c r="D474" s="72" cm="1">
        <f t="array" ref="D474">AVERAGE(_xlfn._xlws.FILTER(C:C,B:B=B474))</f>
        <v>74.418604651162795</v>
      </c>
      <c r="E474" s="61" cm="1">
        <f t="array" ref="E474">_xlfn.STDEV.S(_xlfn._xlws.FILTER(C:C,B:B=B474))</f>
        <v>30.30576918056515</v>
      </c>
      <c r="F474" s="61">
        <f t="shared" si="43"/>
        <v>13.807066290032495</v>
      </c>
      <c r="G474" s="61">
        <f t="shared" si="44"/>
        <v>135.03014301229308</v>
      </c>
      <c r="H474" s="61">
        <f t="shared" si="42"/>
        <v>-0.40977691663825999</v>
      </c>
      <c r="I474" s="28" t="str">
        <f t="shared" si="45"/>
        <v>Normal</v>
      </c>
      <c r="J474" s="49">
        <f t="shared" si="46"/>
        <v>62</v>
      </c>
      <c r="K474" s="49" t="e">
        <f t="shared" si="47"/>
        <v>#N/A</v>
      </c>
    </row>
    <row r="475" spans="1:11">
      <c r="A475" s="74">
        <v>40564</v>
      </c>
      <c r="B475" s="75">
        <v>15</v>
      </c>
      <c r="C475" s="73">
        <v>65</v>
      </c>
      <c r="D475" s="72" cm="1">
        <f t="array" ref="D475">AVERAGE(_xlfn._xlws.FILTER(C:C,B:B=B475))</f>
        <v>77.95348837209302</v>
      </c>
      <c r="E475" s="61" cm="1">
        <f t="array" ref="E475">_xlfn.STDEV.S(_xlfn._xlws.FILTER(C:C,B:B=B475))</f>
        <v>34.481156681772681</v>
      </c>
      <c r="F475" s="61">
        <f t="shared" si="43"/>
        <v>8.9911750085476569</v>
      </c>
      <c r="G475" s="61">
        <f t="shared" si="44"/>
        <v>146.91580173563838</v>
      </c>
      <c r="H475" s="61">
        <f t="shared" si="42"/>
        <v>-0.37566861493774806</v>
      </c>
      <c r="I475" s="28" t="str">
        <f t="shared" si="45"/>
        <v>Normal</v>
      </c>
      <c r="J475" s="49">
        <f t="shared" si="46"/>
        <v>65</v>
      </c>
      <c r="K475" s="49" t="e">
        <f t="shared" si="47"/>
        <v>#N/A</v>
      </c>
    </row>
    <row r="476" spans="1:11">
      <c r="A476" s="74">
        <v>40564</v>
      </c>
      <c r="B476" s="75">
        <v>16</v>
      </c>
      <c r="C476" s="73">
        <v>97</v>
      </c>
      <c r="D476" s="72" cm="1">
        <f t="array" ref="D476">AVERAGE(_xlfn._xlws.FILTER(C:C,B:B=B476))</f>
        <v>89.272727272727266</v>
      </c>
      <c r="E476" s="61" cm="1">
        <f t="array" ref="E476">_xlfn.STDEV.S(_xlfn._xlws.FILTER(C:C,B:B=B476))</f>
        <v>25.461657115880758</v>
      </c>
      <c r="F476" s="61">
        <f t="shared" si="43"/>
        <v>38.34941304096575</v>
      </c>
      <c r="G476" s="61">
        <f t="shared" si="44"/>
        <v>140.19604150448879</v>
      </c>
      <c r="H476" s="61">
        <f t="shared" si="42"/>
        <v>0.303486638442442</v>
      </c>
      <c r="I476" s="28" t="str">
        <f t="shared" si="45"/>
        <v>Normal</v>
      </c>
      <c r="J476" s="49">
        <f t="shared" si="46"/>
        <v>97</v>
      </c>
      <c r="K476" s="49" t="e">
        <f t="shared" si="47"/>
        <v>#N/A</v>
      </c>
    </row>
    <row r="477" spans="1:11">
      <c r="A477" s="74">
        <v>40564</v>
      </c>
      <c r="B477" s="75">
        <v>17</v>
      </c>
      <c r="C477" s="73">
        <v>161</v>
      </c>
      <c r="D477" s="72" cm="1">
        <f t="array" ref="D477">AVERAGE(_xlfn._xlws.FILTER(C:C,B:B=B477))</f>
        <v>140.20454545454547</v>
      </c>
      <c r="E477" s="61" cm="1">
        <f t="array" ref="E477">_xlfn.STDEV.S(_xlfn._xlws.FILTER(C:C,B:B=B477))</f>
        <v>54.067391000084555</v>
      </c>
      <c r="F477" s="61">
        <f t="shared" si="43"/>
        <v>32.069763454376357</v>
      </c>
      <c r="G477" s="61">
        <f t="shared" si="44"/>
        <v>248.33932745471458</v>
      </c>
      <c r="H477" s="61">
        <f t="shared" si="42"/>
        <v>0.38462101020228645</v>
      </c>
      <c r="I477" s="28" t="str">
        <f t="shared" si="45"/>
        <v>Normal</v>
      </c>
      <c r="J477" s="49">
        <f t="shared" si="46"/>
        <v>161</v>
      </c>
      <c r="K477" s="49" t="e">
        <f t="shared" si="47"/>
        <v>#N/A</v>
      </c>
    </row>
    <row r="478" spans="1:11">
      <c r="A478" s="74">
        <v>40564</v>
      </c>
      <c r="B478" s="75">
        <v>18</v>
      </c>
      <c r="C478" s="73">
        <v>120</v>
      </c>
      <c r="D478" s="72" cm="1">
        <f t="array" ref="D478">AVERAGE(_xlfn._xlws.FILTER(C:C,B:B=B478))</f>
        <v>122.86046511627907</v>
      </c>
      <c r="E478" s="61" cm="1">
        <f t="array" ref="E478">_xlfn.STDEV.S(_xlfn._xlws.FILTER(C:C,B:B=B478))</f>
        <v>48.613432101949932</v>
      </c>
      <c r="F478" s="61">
        <f t="shared" si="43"/>
        <v>25.633600912379208</v>
      </c>
      <c r="G478" s="61">
        <f t="shared" si="44"/>
        <v>220.08732932017892</v>
      </c>
      <c r="H478" s="61">
        <f t="shared" si="42"/>
        <v>-5.8841044390369981E-2</v>
      </c>
      <c r="I478" s="28" t="str">
        <f t="shared" si="45"/>
        <v>Normal</v>
      </c>
      <c r="J478" s="49">
        <f t="shared" si="46"/>
        <v>120</v>
      </c>
      <c r="K478" s="49" t="e">
        <f t="shared" si="47"/>
        <v>#N/A</v>
      </c>
    </row>
    <row r="479" spans="1:11">
      <c r="A479" s="74">
        <v>40564</v>
      </c>
      <c r="B479" s="75">
        <v>19</v>
      </c>
      <c r="C479" s="73">
        <v>96</v>
      </c>
      <c r="D479" s="72" cm="1">
        <f t="array" ref="D479">AVERAGE(_xlfn._xlws.FILTER(C:C,B:B=B479))</f>
        <v>85.139534883720927</v>
      </c>
      <c r="E479" s="61" cm="1">
        <f t="array" ref="E479">_xlfn.STDEV.S(_xlfn._xlws.FILTER(C:C,B:B=B479))</f>
        <v>31.690904054294752</v>
      </c>
      <c r="F479" s="61">
        <f t="shared" si="43"/>
        <v>21.757726775131424</v>
      </c>
      <c r="G479" s="61">
        <f t="shared" si="44"/>
        <v>148.52134299231042</v>
      </c>
      <c r="H479" s="61">
        <f t="shared" si="42"/>
        <v>0.34269975692937871</v>
      </c>
      <c r="I479" s="28" t="str">
        <f t="shared" si="45"/>
        <v>Normal</v>
      </c>
      <c r="J479" s="49">
        <f t="shared" si="46"/>
        <v>96</v>
      </c>
      <c r="K479" s="49" t="e">
        <f t="shared" si="47"/>
        <v>#N/A</v>
      </c>
    </row>
    <row r="480" spans="1:11">
      <c r="A480" s="74">
        <v>40564</v>
      </c>
      <c r="B480" s="75">
        <v>20</v>
      </c>
      <c r="C480" s="73">
        <v>53</v>
      </c>
      <c r="D480" s="72" cm="1">
        <f t="array" ref="D480">AVERAGE(_xlfn._xlws.FILTER(C:C,B:B=B480))</f>
        <v>61.767441860465119</v>
      </c>
      <c r="E480" s="61" cm="1">
        <f t="array" ref="E480">_xlfn.STDEV.S(_xlfn._xlws.FILTER(C:C,B:B=B480))</f>
        <v>24.632380169685593</v>
      </c>
      <c r="F480" s="61">
        <f t="shared" si="43"/>
        <v>12.502681521093933</v>
      </c>
      <c r="G480" s="61">
        <f t="shared" si="44"/>
        <v>111.03220219983631</v>
      </c>
      <c r="H480" s="61">
        <f t="shared" si="42"/>
        <v>-0.3559315746212367</v>
      </c>
      <c r="I480" s="28" t="str">
        <f t="shared" si="45"/>
        <v>Normal</v>
      </c>
      <c r="J480" s="49">
        <f t="shared" si="46"/>
        <v>53</v>
      </c>
      <c r="K480" s="49" t="e">
        <f t="shared" si="47"/>
        <v>#N/A</v>
      </c>
    </row>
    <row r="481" spans="1:11">
      <c r="A481" s="74">
        <v>40564</v>
      </c>
      <c r="B481" s="75">
        <v>21</v>
      </c>
      <c r="C481" s="73">
        <v>41</v>
      </c>
      <c r="D481" s="72" cm="1">
        <f t="array" ref="D481">AVERAGE(_xlfn._xlws.FILTER(C:C,B:B=B481))</f>
        <v>46.418604651162788</v>
      </c>
      <c r="E481" s="61" cm="1">
        <f t="array" ref="E481">_xlfn.STDEV.S(_xlfn._xlws.FILTER(C:C,B:B=B481))</f>
        <v>14.656759464719496</v>
      </c>
      <c r="F481" s="61">
        <f t="shared" si="43"/>
        <v>17.105085721723796</v>
      </c>
      <c r="G481" s="61">
        <f t="shared" si="44"/>
        <v>75.73212358060178</v>
      </c>
      <c r="H481" s="61">
        <f t="shared" si="42"/>
        <v>-0.36970004619411212</v>
      </c>
      <c r="I481" s="28" t="str">
        <f t="shared" si="45"/>
        <v>Normal</v>
      </c>
      <c r="J481" s="49">
        <f t="shared" si="46"/>
        <v>41</v>
      </c>
      <c r="K481" s="49" t="e">
        <f t="shared" si="47"/>
        <v>#N/A</v>
      </c>
    </row>
    <row r="482" spans="1:11">
      <c r="A482" s="74">
        <v>40564</v>
      </c>
      <c r="B482" s="75">
        <v>22</v>
      </c>
      <c r="C482" s="73">
        <v>34</v>
      </c>
      <c r="D482" s="72" cm="1">
        <f t="array" ref="D482">AVERAGE(_xlfn._xlws.FILTER(C:C,B:B=B482))</f>
        <v>35.069767441860463</v>
      </c>
      <c r="E482" s="61" cm="1">
        <f t="array" ref="E482">_xlfn.STDEV.S(_xlfn._xlws.FILTER(C:C,B:B=B482))</f>
        <v>11.95506537162667</v>
      </c>
      <c r="F482" s="61">
        <f t="shared" si="43"/>
        <v>11.159636698607123</v>
      </c>
      <c r="G482" s="61">
        <f t="shared" si="44"/>
        <v>58.979898185113804</v>
      </c>
      <c r="H482" s="61">
        <f t="shared" si="42"/>
        <v>-8.948235819767042E-2</v>
      </c>
      <c r="I482" s="28" t="str">
        <f t="shared" si="45"/>
        <v>Normal</v>
      </c>
      <c r="J482" s="49">
        <f t="shared" si="46"/>
        <v>34</v>
      </c>
      <c r="K482" s="49" t="e">
        <f t="shared" si="47"/>
        <v>#N/A</v>
      </c>
    </row>
    <row r="483" spans="1:11">
      <c r="A483" s="74">
        <v>40564</v>
      </c>
      <c r="B483" s="75">
        <v>23</v>
      </c>
      <c r="C483" s="73">
        <v>27</v>
      </c>
      <c r="D483" s="72" cm="1">
        <f t="array" ref="D483">AVERAGE(_xlfn._xlws.FILTER(C:C,B:B=B483))</f>
        <v>25.186046511627907</v>
      </c>
      <c r="E483" s="61" cm="1">
        <f t="array" ref="E483">_xlfn.STDEV.S(_xlfn._xlws.FILTER(C:C,B:B=B483))</f>
        <v>11.751911321656188</v>
      </c>
      <c r="F483" s="61">
        <f t="shared" si="43"/>
        <v>1.6822238683155319</v>
      </c>
      <c r="G483" s="61">
        <f t="shared" si="44"/>
        <v>48.689869154940283</v>
      </c>
      <c r="H483" s="61">
        <f t="shared" si="42"/>
        <v>0.1543539122039983</v>
      </c>
      <c r="I483" s="28" t="str">
        <f t="shared" si="45"/>
        <v>Normal</v>
      </c>
      <c r="J483" s="49">
        <f t="shared" si="46"/>
        <v>27</v>
      </c>
      <c r="K483" s="49" t="e">
        <f t="shared" si="47"/>
        <v>#N/A</v>
      </c>
    </row>
    <row r="484" spans="1:11">
      <c r="A484" s="74">
        <v>40565</v>
      </c>
      <c r="B484" s="75">
        <v>0</v>
      </c>
      <c r="C484" s="73">
        <v>13</v>
      </c>
      <c r="D484" s="72" cm="1">
        <f t="array" ref="D484">AVERAGE(_xlfn._xlws.FILTER(C:C,B:B=B484))</f>
        <v>16.348837209302324</v>
      </c>
      <c r="E484" s="61" cm="1">
        <f t="array" ref="E484">_xlfn.STDEV.S(_xlfn._xlws.FILTER(C:C,B:B=B484))</f>
        <v>10.44232167427621</v>
      </c>
      <c r="F484" s="61">
        <f t="shared" si="43"/>
        <v>-4.535806139250095</v>
      </c>
      <c r="G484" s="61">
        <f t="shared" si="44"/>
        <v>37.233480557854747</v>
      </c>
      <c r="H484" s="61">
        <f t="shared" si="42"/>
        <v>-0.32069852986351743</v>
      </c>
      <c r="I484" s="28" t="str">
        <f t="shared" si="45"/>
        <v>Normal</v>
      </c>
      <c r="J484" s="49">
        <f t="shared" si="46"/>
        <v>13</v>
      </c>
      <c r="K484" s="49" t="e">
        <f t="shared" si="47"/>
        <v>#N/A</v>
      </c>
    </row>
    <row r="485" spans="1:11">
      <c r="A485" s="74">
        <v>40565</v>
      </c>
      <c r="B485" s="75">
        <v>1</v>
      </c>
      <c r="C485" s="73">
        <v>12</v>
      </c>
      <c r="D485" s="72" cm="1">
        <f t="array" ref="D485">AVERAGE(_xlfn._xlws.FILTER(C:C,B:B=B485))</f>
        <v>10.697674418604651</v>
      </c>
      <c r="E485" s="61" cm="1">
        <f t="array" ref="E485">_xlfn.STDEV.S(_xlfn._xlws.FILTER(C:C,B:B=B485))</f>
        <v>10.060613641515801</v>
      </c>
      <c r="F485" s="61">
        <f t="shared" si="43"/>
        <v>-9.4235528644269504</v>
      </c>
      <c r="G485" s="61">
        <f t="shared" si="44"/>
        <v>30.81890170163625</v>
      </c>
      <c r="H485" s="61">
        <f t="shared" si="42"/>
        <v>0.12944792711462599</v>
      </c>
      <c r="I485" s="28" t="str">
        <f t="shared" si="45"/>
        <v>Normal</v>
      </c>
      <c r="J485" s="49">
        <f t="shared" si="46"/>
        <v>12</v>
      </c>
      <c r="K485" s="49" t="e">
        <f t="shared" si="47"/>
        <v>#N/A</v>
      </c>
    </row>
    <row r="486" spans="1:11">
      <c r="A486" s="74">
        <v>40565</v>
      </c>
      <c r="B486" s="75">
        <v>2</v>
      </c>
      <c r="C486" s="73">
        <v>11</v>
      </c>
      <c r="D486" s="72" cm="1">
        <f t="array" ref="D486">AVERAGE(_xlfn._xlws.FILTER(C:C,B:B=B486))</f>
        <v>7.1707317073170733</v>
      </c>
      <c r="E486" s="61" cm="1">
        <f t="array" ref="E486">_xlfn.STDEV.S(_xlfn._xlws.FILTER(C:C,B:B=B486))</f>
        <v>7.3685223723090854</v>
      </c>
      <c r="F486" s="61">
        <f t="shared" si="43"/>
        <v>-7.5663130373010974</v>
      </c>
      <c r="G486" s="61">
        <f t="shared" si="44"/>
        <v>21.907776451935245</v>
      </c>
      <c r="H486" s="61">
        <f t="shared" si="42"/>
        <v>0.51967926528571329</v>
      </c>
      <c r="I486" s="28" t="str">
        <f t="shared" si="45"/>
        <v>Normal</v>
      </c>
      <c r="J486" s="49">
        <f t="shared" si="46"/>
        <v>11</v>
      </c>
      <c r="K486" s="49" t="e">
        <f t="shared" si="47"/>
        <v>#N/A</v>
      </c>
    </row>
    <row r="487" spans="1:11">
      <c r="A487" s="74">
        <v>40565</v>
      </c>
      <c r="B487" s="75">
        <v>3</v>
      </c>
      <c r="C487" s="73">
        <v>7</v>
      </c>
      <c r="D487" s="72" cm="1">
        <f t="array" ref="D487">AVERAGE(_xlfn._xlws.FILTER(C:C,B:B=B487))</f>
        <v>4.870967741935484</v>
      </c>
      <c r="E487" s="61" cm="1">
        <f t="array" ref="E487">_xlfn.STDEV.S(_xlfn._xlws.FILTER(C:C,B:B=B487))</f>
        <v>4.4702120418303126</v>
      </c>
      <c r="F487" s="61">
        <f t="shared" si="43"/>
        <v>-4.0694563417251413</v>
      </c>
      <c r="G487" s="61">
        <f t="shared" si="44"/>
        <v>13.811391825596109</v>
      </c>
      <c r="H487" s="61">
        <f t="shared" si="42"/>
        <v>0.47627097733663465</v>
      </c>
      <c r="I487" s="28" t="str">
        <f t="shared" si="45"/>
        <v>Normal</v>
      </c>
      <c r="J487" s="49">
        <f t="shared" si="46"/>
        <v>7</v>
      </c>
      <c r="K487" s="49" t="e">
        <f t="shared" si="47"/>
        <v>#N/A</v>
      </c>
    </row>
    <row r="488" spans="1:11">
      <c r="A488" s="74">
        <v>40565</v>
      </c>
      <c r="B488" s="75">
        <v>4</v>
      </c>
      <c r="C488" s="73">
        <v>3</v>
      </c>
      <c r="D488" s="72" cm="1">
        <f t="array" ref="D488">AVERAGE(_xlfn._xlws.FILTER(C:C,B:B=B488))</f>
        <v>2.15625</v>
      </c>
      <c r="E488" s="61" cm="1">
        <f t="array" ref="E488">_xlfn.STDEV.S(_xlfn._xlws.FILTER(C:C,B:B=B488))</f>
        <v>1.5263148747143209</v>
      </c>
      <c r="F488" s="61">
        <f t="shared" si="43"/>
        <v>-0.89637974942864185</v>
      </c>
      <c r="G488" s="61">
        <f t="shared" si="44"/>
        <v>5.2088797494286414</v>
      </c>
      <c r="H488" s="61">
        <f t="shared" si="42"/>
        <v>0.55280205544607819</v>
      </c>
      <c r="I488" s="28" t="str">
        <f t="shared" si="45"/>
        <v>Normal</v>
      </c>
      <c r="J488" s="49">
        <f t="shared" si="46"/>
        <v>3</v>
      </c>
      <c r="K488" s="49" t="e">
        <f t="shared" si="47"/>
        <v>#N/A</v>
      </c>
    </row>
    <row r="489" spans="1:11">
      <c r="A489" s="74">
        <v>40565</v>
      </c>
      <c r="B489" s="75">
        <v>6</v>
      </c>
      <c r="C489" s="73">
        <v>2</v>
      </c>
      <c r="D489" s="72" cm="1">
        <f t="array" ref="D489">AVERAGE(_xlfn._xlws.FILTER(C:C,B:B=B489))</f>
        <v>19.571428571428573</v>
      </c>
      <c r="E489" s="61" cm="1">
        <f t="array" ref="E489">_xlfn.STDEV.S(_xlfn._xlws.FILTER(C:C,B:B=B489))</f>
        <v>14.202615453298934</v>
      </c>
      <c r="F489" s="61">
        <f t="shared" si="43"/>
        <v>-8.8338023351692954</v>
      </c>
      <c r="G489" s="61">
        <f t="shared" si="44"/>
        <v>47.976659478026441</v>
      </c>
      <c r="H489" s="61">
        <f t="shared" si="42"/>
        <v>-1.2371966719233494</v>
      </c>
      <c r="I489" s="28" t="str">
        <f t="shared" si="45"/>
        <v>Normal</v>
      </c>
      <c r="J489" s="49">
        <f t="shared" si="46"/>
        <v>2</v>
      </c>
      <c r="K489" s="49" t="e">
        <f t="shared" si="47"/>
        <v>#N/A</v>
      </c>
    </row>
    <row r="490" spans="1:11">
      <c r="A490" s="74">
        <v>40565</v>
      </c>
      <c r="B490" s="75">
        <v>7</v>
      </c>
      <c r="C490" s="73">
        <v>8</v>
      </c>
      <c r="D490" s="72" cm="1">
        <f t="array" ref="D490">AVERAGE(_xlfn._xlws.FILTER(C:C,B:B=B490))</f>
        <v>54.395348837209305</v>
      </c>
      <c r="E490" s="61" cm="1">
        <f t="array" ref="E490">_xlfn.STDEV.S(_xlfn._xlws.FILTER(C:C,B:B=B490))</f>
        <v>39.112864486352777</v>
      </c>
      <c r="F490" s="61">
        <f t="shared" si="43"/>
        <v>-23.830380135496249</v>
      </c>
      <c r="G490" s="61">
        <f t="shared" si="44"/>
        <v>132.62107780991485</v>
      </c>
      <c r="H490" s="61">
        <f t="shared" si="42"/>
        <v>-1.1861915368892892</v>
      </c>
      <c r="I490" s="28" t="str">
        <f t="shared" si="45"/>
        <v>Normal</v>
      </c>
      <c r="J490" s="49">
        <f t="shared" si="46"/>
        <v>8</v>
      </c>
      <c r="K490" s="49" t="e">
        <f t="shared" si="47"/>
        <v>#N/A</v>
      </c>
    </row>
    <row r="491" spans="1:11">
      <c r="A491" s="74">
        <v>40565</v>
      </c>
      <c r="B491" s="75">
        <v>8</v>
      </c>
      <c r="C491" s="73">
        <v>27</v>
      </c>
      <c r="D491" s="72" cm="1">
        <f t="array" ref="D491">AVERAGE(_xlfn._xlws.FILTER(C:C,B:B=B491))</f>
        <v>128.28571428571428</v>
      </c>
      <c r="E491" s="61" cm="1">
        <f t="array" ref="E491">_xlfn.STDEV.S(_xlfn._xlws.FILTER(C:C,B:B=B491))</f>
        <v>88.551565717048547</v>
      </c>
      <c r="F491" s="61">
        <f t="shared" si="43"/>
        <v>-48.817417148382816</v>
      </c>
      <c r="G491" s="61">
        <f t="shared" si="44"/>
        <v>305.38884571981134</v>
      </c>
      <c r="H491" s="61">
        <f t="shared" si="42"/>
        <v>-1.1438048945329271</v>
      </c>
      <c r="I491" s="28" t="str">
        <f t="shared" si="45"/>
        <v>Normal</v>
      </c>
      <c r="J491" s="49">
        <f t="shared" si="46"/>
        <v>27</v>
      </c>
      <c r="K491" s="49" t="e">
        <f t="shared" si="47"/>
        <v>#N/A</v>
      </c>
    </row>
    <row r="492" spans="1:11">
      <c r="A492" s="74">
        <v>40565</v>
      </c>
      <c r="B492" s="75">
        <v>9</v>
      </c>
      <c r="C492" s="73">
        <v>40</v>
      </c>
      <c r="D492" s="72" cm="1">
        <f t="array" ref="D492">AVERAGE(_xlfn._xlws.FILTER(C:C,B:B=B492))</f>
        <v>87.428571428571431</v>
      </c>
      <c r="E492" s="61" cm="1">
        <f t="array" ref="E492">_xlfn.STDEV.S(_xlfn._xlws.FILTER(C:C,B:B=B492))</f>
        <v>45.93852884078624</v>
      </c>
      <c r="F492" s="61">
        <f t="shared" si="43"/>
        <v>-4.4484862530010503</v>
      </c>
      <c r="G492" s="61">
        <f t="shared" si="44"/>
        <v>179.30562911014391</v>
      </c>
      <c r="H492" s="61">
        <f t="shared" si="42"/>
        <v>-1.0324355747862406</v>
      </c>
      <c r="I492" s="28" t="str">
        <f t="shared" si="45"/>
        <v>Normal</v>
      </c>
      <c r="J492" s="49">
        <f t="shared" si="46"/>
        <v>40</v>
      </c>
      <c r="K492" s="49" t="e">
        <f t="shared" si="47"/>
        <v>#N/A</v>
      </c>
    </row>
    <row r="493" spans="1:11">
      <c r="A493" s="74">
        <v>40565</v>
      </c>
      <c r="B493" s="75">
        <v>10</v>
      </c>
      <c r="C493" s="73">
        <v>53</v>
      </c>
      <c r="D493" s="72" cm="1">
        <f t="array" ref="D493">AVERAGE(_xlfn._xlws.FILTER(C:C,B:B=B493))</f>
        <v>53.642857142857146</v>
      </c>
      <c r="E493" s="61" cm="1">
        <f t="array" ref="E493">_xlfn.STDEV.S(_xlfn._xlws.FILTER(C:C,B:B=B493))</f>
        <v>15.395313554536934</v>
      </c>
      <c r="F493" s="61">
        <f t="shared" si="43"/>
        <v>22.852230033783279</v>
      </c>
      <c r="G493" s="61">
        <f t="shared" si="44"/>
        <v>84.43348425193102</v>
      </c>
      <c r="H493" s="61">
        <f t="shared" si="42"/>
        <v>-4.1756677483694292E-2</v>
      </c>
      <c r="I493" s="28" t="str">
        <f t="shared" si="45"/>
        <v>Normal</v>
      </c>
      <c r="J493" s="49">
        <f t="shared" si="46"/>
        <v>53</v>
      </c>
      <c r="K493" s="49" t="e">
        <f t="shared" si="47"/>
        <v>#N/A</v>
      </c>
    </row>
    <row r="494" spans="1:11">
      <c r="A494" s="74">
        <v>40565</v>
      </c>
      <c r="B494" s="75">
        <v>11</v>
      </c>
      <c r="C494" s="73">
        <v>63</v>
      </c>
      <c r="D494" s="72" cm="1">
        <f t="array" ref="D494">AVERAGE(_xlfn._xlws.FILTER(C:C,B:B=B494))</f>
        <v>59.38095238095238</v>
      </c>
      <c r="E494" s="61" cm="1">
        <f t="array" ref="E494">_xlfn.STDEV.S(_xlfn._xlws.FILTER(C:C,B:B=B494))</f>
        <v>20.89573696860419</v>
      </c>
      <c r="F494" s="61">
        <f t="shared" si="43"/>
        <v>17.589478443743999</v>
      </c>
      <c r="G494" s="61">
        <f t="shared" si="44"/>
        <v>101.17242631816076</v>
      </c>
      <c r="H494" s="61">
        <f t="shared" si="42"/>
        <v>0.17319550033029385</v>
      </c>
      <c r="I494" s="28" t="str">
        <f t="shared" si="45"/>
        <v>Normal</v>
      </c>
      <c r="J494" s="49">
        <f t="shared" si="46"/>
        <v>63</v>
      </c>
      <c r="K494" s="49" t="e">
        <f t="shared" si="47"/>
        <v>#N/A</v>
      </c>
    </row>
    <row r="495" spans="1:11">
      <c r="A495" s="74">
        <v>40565</v>
      </c>
      <c r="B495" s="75">
        <v>12</v>
      </c>
      <c r="C495" s="73">
        <v>70</v>
      </c>
      <c r="D495" s="72" cm="1">
        <f t="array" ref="D495">AVERAGE(_xlfn._xlws.FILTER(C:C,B:B=B495))</f>
        <v>76.348837209302332</v>
      </c>
      <c r="E495" s="61" cm="1">
        <f t="array" ref="E495">_xlfn.STDEV.S(_xlfn._xlws.FILTER(C:C,B:B=B495))</f>
        <v>29.034366927857054</v>
      </c>
      <c r="F495" s="61">
        <f t="shared" si="43"/>
        <v>18.280103353588224</v>
      </c>
      <c r="G495" s="61">
        <f t="shared" si="44"/>
        <v>134.41757106501643</v>
      </c>
      <c r="H495" s="61">
        <f t="shared" si="42"/>
        <v>-0.2186662869239602</v>
      </c>
      <c r="I495" s="28" t="str">
        <f t="shared" si="45"/>
        <v>Normal</v>
      </c>
      <c r="J495" s="49">
        <f t="shared" si="46"/>
        <v>70</v>
      </c>
      <c r="K495" s="49" t="e">
        <f t="shared" si="47"/>
        <v>#N/A</v>
      </c>
    </row>
    <row r="496" spans="1:11">
      <c r="A496" s="74">
        <v>40565</v>
      </c>
      <c r="B496" s="75">
        <v>13</v>
      </c>
      <c r="C496" s="73">
        <v>84</v>
      </c>
      <c r="D496" s="72" cm="1">
        <f t="array" ref="D496">AVERAGE(_xlfn._xlws.FILTER(C:C,B:B=B496))</f>
        <v>78.511627906976742</v>
      </c>
      <c r="E496" s="61" cm="1">
        <f t="array" ref="E496">_xlfn.STDEV.S(_xlfn._xlws.FILTER(C:C,B:B=B496))</f>
        <v>30.072430098825187</v>
      </c>
      <c r="F496" s="61">
        <f t="shared" si="43"/>
        <v>18.366767709326368</v>
      </c>
      <c r="G496" s="61">
        <f t="shared" si="44"/>
        <v>138.6564881046271</v>
      </c>
      <c r="H496" s="61">
        <f t="shared" si="42"/>
        <v>0.18250510766795888</v>
      </c>
      <c r="I496" s="28" t="str">
        <f t="shared" si="45"/>
        <v>Normal</v>
      </c>
      <c r="J496" s="49">
        <f t="shared" si="46"/>
        <v>84</v>
      </c>
      <c r="K496" s="49" t="e">
        <f t="shared" si="47"/>
        <v>#N/A</v>
      </c>
    </row>
    <row r="497" spans="1:11">
      <c r="A497" s="74">
        <v>40565</v>
      </c>
      <c r="B497" s="75">
        <v>14</v>
      </c>
      <c r="C497" s="73">
        <v>75</v>
      </c>
      <c r="D497" s="72" cm="1">
        <f t="array" ref="D497">AVERAGE(_xlfn._xlws.FILTER(C:C,B:B=B497))</f>
        <v>74.418604651162795</v>
      </c>
      <c r="E497" s="61" cm="1">
        <f t="array" ref="E497">_xlfn.STDEV.S(_xlfn._xlws.FILTER(C:C,B:B=B497))</f>
        <v>30.30576918056515</v>
      </c>
      <c r="F497" s="61">
        <f t="shared" si="43"/>
        <v>13.807066290032495</v>
      </c>
      <c r="G497" s="61">
        <f t="shared" si="44"/>
        <v>135.03014301229308</v>
      </c>
      <c r="H497" s="61">
        <f t="shared" si="42"/>
        <v>1.9184312576697417E-2</v>
      </c>
      <c r="I497" s="28" t="str">
        <f t="shared" si="45"/>
        <v>Normal</v>
      </c>
      <c r="J497" s="49">
        <f t="shared" si="46"/>
        <v>75</v>
      </c>
      <c r="K497" s="49" t="e">
        <f t="shared" si="47"/>
        <v>#N/A</v>
      </c>
    </row>
    <row r="498" spans="1:11">
      <c r="A498" s="74">
        <v>40565</v>
      </c>
      <c r="B498" s="75">
        <v>15</v>
      </c>
      <c r="C498" s="73">
        <v>103</v>
      </c>
      <c r="D498" s="72" cm="1">
        <f t="array" ref="D498">AVERAGE(_xlfn._xlws.FILTER(C:C,B:B=B498))</f>
        <v>77.95348837209302</v>
      </c>
      <c r="E498" s="61" cm="1">
        <f t="array" ref="E498">_xlfn.STDEV.S(_xlfn._xlws.FILTER(C:C,B:B=B498))</f>
        <v>34.481156681772681</v>
      </c>
      <c r="F498" s="61">
        <f t="shared" si="43"/>
        <v>8.9911750085476569</v>
      </c>
      <c r="G498" s="61">
        <f t="shared" si="44"/>
        <v>146.91580173563838</v>
      </c>
      <c r="H498" s="61">
        <f t="shared" si="42"/>
        <v>0.72638258220458674</v>
      </c>
      <c r="I498" s="28" t="str">
        <f t="shared" si="45"/>
        <v>Normal</v>
      </c>
      <c r="J498" s="49">
        <f t="shared" si="46"/>
        <v>103</v>
      </c>
      <c r="K498" s="49" t="e">
        <f t="shared" si="47"/>
        <v>#N/A</v>
      </c>
    </row>
    <row r="499" spans="1:11">
      <c r="A499" s="74">
        <v>40565</v>
      </c>
      <c r="B499" s="75">
        <v>16</v>
      </c>
      <c r="C499" s="73">
        <v>83</v>
      </c>
      <c r="D499" s="72" cm="1">
        <f t="array" ref="D499">AVERAGE(_xlfn._xlws.FILTER(C:C,B:B=B499))</f>
        <v>89.272727272727266</v>
      </c>
      <c r="E499" s="61" cm="1">
        <f t="array" ref="E499">_xlfn.STDEV.S(_xlfn._xlws.FILTER(C:C,B:B=B499))</f>
        <v>25.461657115880758</v>
      </c>
      <c r="F499" s="61">
        <f t="shared" si="43"/>
        <v>38.34941304096575</v>
      </c>
      <c r="G499" s="61">
        <f t="shared" si="44"/>
        <v>140.19604150448879</v>
      </c>
      <c r="H499" s="61">
        <f t="shared" si="42"/>
        <v>-0.24635974179445244</v>
      </c>
      <c r="I499" s="28" t="str">
        <f t="shared" si="45"/>
        <v>Normal</v>
      </c>
      <c r="J499" s="49">
        <f t="shared" si="46"/>
        <v>83</v>
      </c>
      <c r="K499" s="49" t="e">
        <f t="shared" si="47"/>
        <v>#N/A</v>
      </c>
    </row>
    <row r="500" spans="1:11">
      <c r="A500" s="74">
        <v>40565</v>
      </c>
      <c r="B500" s="75">
        <v>17</v>
      </c>
      <c r="C500" s="73">
        <v>67</v>
      </c>
      <c r="D500" s="72" cm="1">
        <f t="array" ref="D500">AVERAGE(_xlfn._xlws.FILTER(C:C,B:B=B500))</f>
        <v>140.20454545454547</v>
      </c>
      <c r="E500" s="61" cm="1">
        <f t="array" ref="E500">_xlfn.STDEV.S(_xlfn._xlws.FILTER(C:C,B:B=B500))</f>
        <v>54.067391000084555</v>
      </c>
      <c r="F500" s="61">
        <f t="shared" si="43"/>
        <v>32.069763454376357</v>
      </c>
      <c r="G500" s="61">
        <f t="shared" si="44"/>
        <v>248.33932745471458</v>
      </c>
      <c r="H500" s="61">
        <f t="shared" si="42"/>
        <v>-1.3539500260782138</v>
      </c>
      <c r="I500" s="28" t="str">
        <f t="shared" si="45"/>
        <v>Normal</v>
      </c>
      <c r="J500" s="49">
        <f t="shared" si="46"/>
        <v>67</v>
      </c>
      <c r="K500" s="49" t="e">
        <f t="shared" si="47"/>
        <v>#N/A</v>
      </c>
    </row>
    <row r="501" spans="1:11">
      <c r="A501" s="74">
        <v>40565</v>
      </c>
      <c r="B501" s="75">
        <v>18</v>
      </c>
      <c r="C501" s="73">
        <v>54</v>
      </c>
      <c r="D501" s="72" cm="1">
        <f t="array" ref="D501">AVERAGE(_xlfn._xlws.FILTER(C:C,B:B=B501))</f>
        <v>122.86046511627907</v>
      </c>
      <c r="E501" s="61" cm="1">
        <f t="array" ref="E501">_xlfn.STDEV.S(_xlfn._xlws.FILTER(C:C,B:B=B501))</f>
        <v>48.613432101949932</v>
      </c>
      <c r="F501" s="61">
        <f t="shared" si="43"/>
        <v>25.633600912379208</v>
      </c>
      <c r="G501" s="61">
        <f t="shared" si="44"/>
        <v>220.08732932017892</v>
      </c>
      <c r="H501" s="61">
        <f t="shared" si="42"/>
        <v>-1.4164905076413441</v>
      </c>
      <c r="I501" s="28" t="str">
        <f t="shared" si="45"/>
        <v>Normal</v>
      </c>
      <c r="J501" s="49">
        <f t="shared" si="46"/>
        <v>54</v>
      </c>
      <c r="K501" s="49" t="e">
        <f t="shared" si="47"/>
        <v>#N/A</v>
      </c>
    </row>
    <row r="502" spans="1:11">
      <c r="A502" s="74">
        <v>40565</v>
      </c>
      <c r="B502" s="75">
        <v>19</v>
      </c>
      <c r="C502" s="73">
        <v>59</v>
      </c>
      <c r="D502" s="72" cm="1">
        <f t="array" ref="D502">AVERAGE(_xlfn._xlws.FILTER(C:C,B:B=B502))</f>
        <v>85.139534883720927</v>
      </c>
      <c r="E502" s="61" cm="1">
        <f t="array" ref="E502">_xlfn.STDEV.S(_xlfn._xlws.FILTER(C:C,B:B=B502))</f>
        <v>31.690904054294752</v>
      </c>
      <c r="F502" s="61">
        <f t="shared" si="43"/>
        <v>21.757726775131424</v>
      </c>
      <c r="G502" s="61">
        <f t="shared" si="44"/>
        <v>148.52134299231042</v>
      </c>
      <c r="H502" s="61">
        <f t="shared" si="42"/>
        <v>-0.82482768048955346</v>
      </c>
      <c r="I502" s="28" t="str">
        <f t="shared" si="45"/>
        <v>Normal</v>
      </c>
      <c r="J502" s="49">
        <f t="shared" si="46"/>
        <v>59</v>
      </c>
      <c r="K502" s="49" t="e">
        <f t="shared" si="47"/>
        <v>#N/A</v>
      </c>
    </row>
    <row r="503" spans="1:11">
      <c r="A503" s="74">
        <v>40565</v>
      </c>
      <c r="B503" s="75">
        <v>20</v>
      </c>
      <c r="C503" s="73">
        <v>45</v>
      </c>
      <c r="D503" s="72" cm="1">
        <f t="array" ref="D503">AVERAGE(_xlfn._xlws.FILTER(C:C,B:B=B503))</f>
        <v>61.767441860465119</v>
      </c>
      <c r="E503" s="61" cm="1">
        <f t="array" ref="E503">_xlfn.STDEV.S(_xlfn._xlws.FILTER(C:C,B:B=B503))</f>
        <v>24.632380169685593</v>
      </c>
      <c r="F503" s="61">
        <f t="shared" si="43"/>
        <v>12.502681521093933</v>
      </c>
      <c r="G503" s="61">
        <f t="shared" si="44"/>
        <v>111.03220219983631</v>
      </c>
      <c r="H503" s="61">
        <f t="shared" si="42"/>
        <v>-0.68070733501833325</v>
      </c>
      <c r="I503" s="28" t="str">
        <f t="shared" si="45"/>
        <v>Normal</v>
      </c>
      <c r="J503" s="49">
        <f t="shared" si="46"/>
        <v>45</v>
      </c>
      <c r="K503" s="49" t="e">
        <f t="shared" si="47"/>
        <v>#N/A</v>
      </c>
    </row>
    <row r="504" spans="1:11">
      <c r="A504" s="74">
        <v>40565</v>
      </c>
      <c r="B504" s="75">
        <v>21</v>
      </c>
      <c r="C504" s="73">
        <v>39</v>
      </c>
      <c r="D504" s="72" cm="1">
        <f t="array" ref="D504">AVERAGE(_xlfn._xlws.FILTER(C:C,B:B=B504))</f>
        <v>46.418604651162788</v>
      </c>
      <c r="E504" s="61" cm="1">
        <f t="array" ref="E504">_xlfn.STDEV.S(_xlfn._xlws.FILTER(C:C,B:B=B504))</f>
        <v>14.656759464719496</v>
      </c>
      <c r="F504" s="61">
        <f t="shared" si="43"/>
        <v>17.105085721723796</v>
      </c>
      <c r="G504" s="61">
        <f t="shared" si="44"/>
        <v>75.73212358060178</v>
      </c>
      <c r="H504" s="61">
        <f t="shared" si="42"/>
        <v>-0.50615585723571588</v>
      </c>
      <c r="I504" s="28" t="str">
        <f t="shared" si="45"/>
        <v>Normal</v>
      </c>
      <c r="J504" s="49">
        <f t="shared" si="46"/>
        <v>39</v>
      </c>
      <c r="K504" s="49" t="e">
        <f t="shared" si="47"/>
        <v>#N/A</v>
      </c>
    </row>
    <row r="505" spans="1:11">
      <c r="A505" s="74">
        <v>40565</v>
      </c>
      <c r="B505" s="75">
        <v>22</v>
      </c>
      <c r="C505" s="73">
        <v>30</v>
      </c>
      <c r="D505" s="72" cm="1">
        <f t="array" ref="D505">AVERAGE(_xlfn._xlws.FILTER(C:C,B:B=B505))</f>
        <v>35.069767441860463</v>
      </c>
      <c r="E505" s="61" cm="1">
        <f t="array" ref="E505">_xlfn.STDEV.S(_xlfn._xlws.FILTER(C:C,B:B=B505))</f>
        <v>11.95506537162667</v>
      </c>
      <c r="F505" s="61">
        <f t="shared" si="43"/>
        <v>11.159636698607123</v>
      </c>
      <c r="G505" s="61">
        <f t="shared" si="44"/>
        <v>58.979898185113804</v>
      </c>
      <c r="H505" s="61">
        <f t="shared" si="42"/>
        <v>-0.42406856711069946</v>
      </c>
      <c r="I505" s="28" t="str">
        <f t="shared" si="45"/>
        <v>Normal</v>
      </c>
      <c r="J505" s="49">
        <f t="shared" si="46"/>
        <v>30</v>
      </c>
      <c r="K505" s="49" t="e">
        <f t="shared" si="47"/>
        <v>#N/A</v>
      </c>
    </row>
    <row r="506" spans="1:11">
      <c r="A506" s="74">
        <v>40565</v>
      </c>
      <c r="B506" s="75">
        <v>23</v>
      </c>
      <c r="C506" s="73">
        <v>33</v>
      </c>
      <c r="D506" s="72" cm="1">
        <f t="array" ref="D506">AVERAGE(_xlfn._xlws.FILTER(C:C,B:B=B506))</f>
        <v>25.186046511627907</v>
      </c>
      <c r="E506" s="61" cm="1">
        <f t="array" ref="E506">_xlfn.STDEV.S(_xlfn._xlws.FILTER(C:C,B:B=B506))</f>
        <v>11.751911321656188</v>
      </c>
      <c r="F506" s="61">
        <f t="shared" si="43"/>
        <v>1.6822238683155319</v>
      </c>
      <c r="G506" s="61">
        <f t="shared" si="44"/>
        <v>48.689869154940283</v>
      </c>
      <c r="H506" s="61">
        <f t="shared" si="42"/>
        <v>0.66490916026337732</v>
      </c>
      <c r="I506" s="28" t="str">
        <f t="shared" si="45"/>
        <v>Normal</v>
      </c>
      <c r="J506" s="49">
        <f t="shared" si="46"/>
        <v>33</v>
      </c>
      <c r="K506" s="49" t="e">
        <f t="shared" si="47"/>
        <v>#N/A</v>
      </c>
    </row>
    <row r="507" spans="1:11">
      <c r="A507" s="74">
        <v>40566</v>
      </c>
      <c r="B507" s="75">
        <v>0</v>
      </c>
      <c r="C507" s="73">
        <v>22</v>
      </c>
      <c r="D507" s="72" cm="1">
        <f t="array" ref="D507">AVERAGE(_xlfn._xlws.FILTER(C:C,B:B=B507))</f>
        <v>16.348837209302324</v>
      </c>
      <c r="E507" s="61" cm="1">
        <f t="array" ref="E507">_xlfn.STDEV.S(_xlfn._xlws.FILTER(C:C,B:B=B507))</f>
        <v>10.44232167427621</v>
      </c>
      <c r="F507" s="61">
        <f t="shared" si="43"/>
        <v>-4.535806139250095</v>
      </c>
      <c r="G507" s="61">
        <f t="shared" si="44"/>
        <v>37.233480557854747</v>
      </c>
      <c r="H507" s="61">
        <f t="shared" si="42"/>
        <v>0.54117876914468599</v>
      </c>
      <c r="I507" s="28" t="str">
        <f t="shared" si="45"/>
        <v>Normal</v>
      </c>
      <c r="J507" s="49">
        <f t="shared" si="46"/>
        <v>22</v>
      </c>
      <c r="K507" s="49" t="e">
        <f t="shared" si="47"/>
        <v>#N/A</v>
      </c>
    </row>
    <row r="508" spans="1:11">
      <c r="A508" s="74">
        <v>40566</v>
      </c>
      <c r="B508" s="75">
        <v>1</v>
      </c>
      <c r="C508" s="73">
        <v>13</v>
      </c>
      <c r="D508" s="72" cm="1">
        <f t="array" ref="D508">AVERAGE(_xlfn._xlws.FILTER(C:C,B:B=B508))</f>
        <v>10.697674418604651</v>
      </c>
      <c r="E508" s="61" cm="1">
        <f t="array" ref="E508">_xlfn.STDEV.S(_xlfn._xlws.FILTER(C:C,B:B=B508))</f>
        <v>10.060613641515801</v>
      </c>
      <c r="F508" s="61">
        <f t="shared" si="43"/>
        <v>-9.4235528644269504</v>
      </c>
      <c r="G508" s="61">
        <f t="shared" si="44"/>
        <v>30.81890170163625</v>
      </c>
      <c r="H508" s="61">
        <f t="shared" si="42"/>
        <v>0.22884544257764233</v>
      </c>
      <c r="I508" s="28" t="str">
        <f t="shared" si="45"/>
        <v>Normal</v>
      </c>
      <c r="J508" s="49">
        <f t="shared" si="46"/>
        <v>13</v>
      </c>
      <c r="K508" s="49" t="e">
        <f t="shared" si="47"/>
        <v>#N/A</v>
      </c>
    </row>
    <row r="509" spans="1:11">
      <c r="A509" s="74">
        <v>40566</v>
      </c>
      <c r="B509" s="75">
        <v>2</v>
      </c>
      <c r="C509" s="73">
        <v>18</v>
      </c>
      <c r="D509" s="72" cm="1">
        <f t="array" ref="D509">AVERAGE(_xlfn._xlws.FILTER(C:C,B:B=B509))</f>
        <v>7.1707317073170733</v>
      </c>
      <c r="E509" s="61" cm="1">
        <f t="array" ref="E509">_xlfn.STDEV.S(_xlfn._xlws.FILTER(C:C,B:B=B509))</f>
        <v>7.3685223723090854</v>
      </c>
      <c r="F509" s="61">
        <f t="shared" si="43"/>
        <v>-7.5663130373010974</v>
      </c>
      <c r="G509" s="61">
        <f t="shared" si="44"/>
        <v>21.907776451935245</v>
      </c>
      <c r="H509" s="61">
        <f t="shared" si="42"/>
        <v>1.4696662024640554</v>
      </c>
      <c r="I509" s="28" t="str">
        <f t="shared" si="45"/>
        <v>Normal</v>
      </c>
      <c r="J509" s="49">
        <f t="shared" si="46"/>
        <v>18</v>
      </c>
      <c r="K509" s="49" t="e">
        <f t="shared" si="47"/>
        <v>#N/A</v>
      </c>
    </row>
    <row r="510" spans="1:11">
      <c r="A510" s="74">
        <v>40566</v>
      </c>
      <c r="B510" s="75">
        <v>3</v>
      </c>
      <c r="C510" s="73">
        <v>5</v>
      </c>
      <c r="D510" s="72" cm="1">
        <f t="array" ref="D510">AVERAGE(_xlfn._xlws.FILTER(C:C,B:B=B510))</f>
        <v>4.870967741935484</v>
      </c>
      <c r="E510" s="61" cm="1">
        <f t="array" ref="E510">_xlfn.STDEV.S(_xlfn._xlws.FILTER(C:C,B:B=B510))</f>
        <v>4.4702120418303126</v>
      </c>
      <c r="F510" s="61">
        <f t="shared" si="43"/>
        <v>-4.0694563417251413</v>
      </c>
      <c r="G510" s="61">
        <f t="shared" si="44"/>
        <v>13.811391825596109</v>
      </c>
      <c r="H510" s="61">
        <f t="shared" si="42"/>
        <v>2.8864907717371772E-2</v>
      </c>
      <c r="I510" s="28" t="str">
        <f t="shared" si="45"/>
        <v>Normal</v>
      </c>
      <c r="J510" s="49">
        <f t="shared" si="46"/>
        <v>5</v>
      </c>
      <c r="K510" s="49" t="e">
        <f t="shared" si="47"/>
        <v>#N/A</v>
      </c>
    </row>
    <row r="511" spans="1:11">
      <c r="A511" s="74">
        <v>40566</v>
      </c>
      <c r="B511" s="75">
        <v>5</v>
      </c>
      <c r="C511" s="73">
        <v>3</v>
      </c>
      <c r="D511" s="72" cm="1">
        <f t="array" ref="D511">AVERAGE(_xlfn._xlws.FILTER(C:C,B:B=B511))</f>
        <v>4.2051282051282053</v>
      </c>
      <c r="E511" s="61" cm="1">
        <f t="array" ref="E511">_xlfn.STDEV.S(_xlfn._xlws.FILTER(C:C,B:B=B511))</f>
        <v>2.5358429220352288</v>
      </c>
      <c r="F511" s="61">
        <f t="shared" si="43"/>
        <v>-0.86655763894225224</v>
      </c>
      <c r="G511" s="61">
        <f t="shared" si="44"/>
        <v>9.2768140491986628</v>
      </c>
      <c r="H511" s="61">
        <f t="shared" si="42"/>
        <v>-0.47523771865214265</v>
      </c>
      <c r="I511" s="28" t="str">
        <f t="shared" si="45"/>
        <v>Normal</v>
      </c>
      <c r="J511" s="49">
        <f t="shared" si="46"/>
        <v>3</v>
      </c>
      <c r="K511" s="49" t="e">
        <f t="shared" si="47"/>
        <v>#N/A</v>
      </c>
    </row>
    <row r="512" spans="1:11">
      <c r="A512" s="74">
        <v>40566</v>
      </c>
      <c r="B512" s="75">
        <v>6</v>
      </c>
      <c r="C512" s="73">
        <v>1</v>
      </c>
      <c r="D512" s="72" cm="1">
        <f t="array" ref="D512">AVERAGE(_xlfn._xlws.FILTER(C:C,B:B=B512))</f>
        <v>19.571428571428573</v>
      </c>
      <c r="E512" s="61" cm="1">
        <f t="array" ref="E512">_xlfn.STDEV.S(_xlfn._xlws.FILTER(C:C,B:B=B512))</f>
        <v>14.202615453298934</v>
      </c>
      <c r="F512" s="61">
        <f t="shared" si="43"/>
        <v>-8.8338023351692954</v>
      </c>
      <c r="G512" s="61">
        <f t="shared" si="44"/>
        <v>47.976659478026441</v>
      </c>
      <c r="H512" s="61">
        <f t="shared" si="42"/>
        <v>-1.3076062386181742</v>
      </c>
      <c r="I512" s="28" t="str">
        <f t="shared" si="45"/>
        <v>Normal</v>
      </c>
      <c r="J512" s="49">
        <f t="shared" si="46"/>
        <v>1</v>
      </c>
      <c r="K512" s="49" t="e">
        <f t="shared" si="47"/>
        <v>#N/A</v>
      </c>
    </row>
    <row r="513" spans="1:11">
      <c r="A513" s="74">
        <v>40566</v>
      </c>
      <c r="B513" s="75">
        <v>7</v>
      </c>
      <c r="C513" s="73">
        <v>2</v>
      </c>
      <c r="D513" s="72" cm="1">
        <f t="array" ref="D513">AVERAGE(_xlfn._xlws.FILTER(C:C,B:B=B513))</f>
        <v>54.395348837209305</v>
      </c>
      <c r="E513" s="61" cm="1">
        <f t="array" ref="E513">_xlfn.STDEV.S(_xlfn._xlws.FILTER(C:C,B:B=B513))</f>
        <v>39.112864486352777</v>
      </c>
      <c r="F513" s="61">
        <f t="shared" si="43"/>
        <v>-23.830380135496249</v>
      </c>
      <c r="G513" s="61">
        <f t="shared" si="44"/>
        <v>132.62107780991485</v>
      </c>
      <c r="H513" s="61">
        <f t="shared" si="42"/>
        <v>-1.3395937506824906</v>
      </c>
      <c r="I513" s="28" t="str">
        <f t="shared" si="45"/>
        <v>Normal</v>
      </c>
      <c r="J513" s="49">
        <f t="shared" si="46"/>
        <v>2</v>
      </c>
      <c r="K513" s="49" t="e">
        <f t="shared" si="47"/>
        <v>#N/A</v>
      </c>
    </row>
    <row r="514" spans="1:11">
      <c r="A514" s="74">
        <v>40566</v>
      </c>
      <c r="B514" s="75">
        <v>8</v>
      </c>
      <c r="C514" s="73">
        <v>19</v>
      </c>
      <c r="D514" s="72" cm="1">
        <f t="array" ref="D514">AVERAGE(_xlfn._xlws.FILTER(C:C,B:B=B514))</f>
        <v>128.28571428571428</v>
      </c>
      <c r="E514" s="61" cm="1">
        <f t="array" ref="E514">_xlfn.STDEV.S(_xlfn._xlws.FILTER(C:C,B:B=B514))</f>
        <v>88.551565717048547</v>
      </c>
      <c r="F514" s="61">
        <f t="shared" si="43"/>
        <v>-48.817417148382816</v>
      </c>
      <c r="G514" s="61">
        <f t="shared" si="44"/>
        <v>305.38884571981134</v>
      </c>
      <c r="H514" s="61">
        <f t="shared" si="42"/>
        <v>-1.2341477352858805</v>
      </c>
      <c r="I514" s="28" t="str">
        <f t="shared" si="45"/>
        <v>Normal</v>
      </c>
      <c r="J514" s="49">
        <f t="shared" si="46"/>
        <v>19</v>
      </c>
      <c r="K514" s="49" t="e">
        <f t="shared" si="47"/>
        <v>#N/A</v>
      </c>
    </row>
    <row r="515" spans="1:11">
      <c r="A515" s="74">
        <v>40566</v>
      </c>
      <c r="B515" s="75">
        <v>9</v>
      </c>
      <c r="C515" s="73">
        <v>28</v>
      </c>
      <c r="D515" s="72" cm="1">
        <f t="array" ref="D515">AVERAGE(_xlfn._xlws.FILTER(C:C,B:B=B515))</f>
        <v>87.428571428571431</v>
      </c>
      <c r="E515" s="61" cm="1">
        <f t="array" ref="E515">_xlfn.STDEV.S(_xlfn._xlws.FILTER(C:C,B:B=B515))</f>
        <v>45.93852884078624</v>
      </c>
      <c r="F515" s="61">
        <f t="shared" si="43"/>
        <v>-4.4484862530010503</v>
      </c>
      <c r="G515" s="61">
        <f t="shared" si="44"/>
        <v>179.30562911014391</v>
      </c>
      <c r="H515" s="61">
        <f t="shared" si="42"/>
        <v>-1.293654214189988</v>
      </c>
      <c r="I515" s="28" t="str">
        <f t="shared" si="45"/>
        <v>Normal</v>
      </c>
      <c r="J515" s="49">
        <f t="shared" si="46"/>
        <v>28</v>
      </c>
      <c r="K515" s="49" t="e">
        <f t="shared" si="47"/>
        <v>#N/A</v>
      </c>
    </row>
    <row r="516" spans="1:11">
      <c r="A516" s="74">
        <v>40566</v>
      </c>
      <c r="B516" s="75">
        <v>10</v>
      </c>
      <c r="C516" s="73">
        <v>58</v>
      </c>
      <c r="D516" s="72" cm="1">
        <f t="array" ref="D516">AVERAGE(_xlfn._xlws.FILTER(C:C,B:B=B516))</f>
        <v>53.642857142857146</v>
      </c>
      <c r="E516" s="61" cm="1">
        <f t="array" ref="E516">_xlfn.STDEV.S(_xlfn._xlws.FILTER(C:C,B:B=B516))</f>
        <v>15.395313554536934</v>
      </c>
      <c r="F516" s="61">
        <f t="shared" si="43"/>
        <v>22.852230033783279</v>
      </c>
      <c r="G516" s="61">
        <f t="shared" si="44"/>
        <v>84.43348425193102</v>
      </c>
      <c r="H516" s="61">
        <f t="shared" si="42"/>
        <v>0.28301748072281535</v>
      </c>
      <c r="I516" s="28" t="str">
        <f t="shared" si="45"/>
        <v>Normal</v>
      </c>
      <c r="J516" s="49">
        <f t="shared" si="46"/>
        <v>58</v>
      </c>
      <c r="K516" s="49" t="e">
        <f t="shared" si="47"/>
        <v>#N/A</v>
      </c>
    </row>
    <row r="517" spans="1:11">
      <c r="A517" s="74">
        <v>40566</v>
      </c>
      <c r="B517" s="75">
        <v>11</v>
      </c>
      <c r="C517" s="73">
        <v>99</v>
      </c>
      <c r="D517" s="72" cm="1">
        <f t="array" ref="D517">AVERAGE(_xlfn._xlws.FILTER(C:C,B:B=B517))</f>
        <v>59.38095238095238</v>
      </c>
      <c r="E517" s="61" cm="1">
        <f t="array" ref="E517">_xlfn.STDEV.S(_xlfn._xlws.FILTER(C:C,B:B=B517))</f>
        <v>20.89573696860419</v>
      </c>
      <c r="F517" s="61">
        <f t="shared" si="43"/>
        <v>17.589478443743999</v>
      </c>
      <c r="G517" s="61">
        <f t="shared" si="44"/>
        <v>101.17242631816076</v>
      </c>
      <c r="H517" s="61">
        <f t="shared" ref="H517:H580" si="48">(C517-D517)/E517</f>
        <v>1.8960349509842689</v>
      </c>
      <c r="I517" s="28" t="str">
        <f t="shared" si="45"/>
        <v>Normal</v>
      </c>
      <c r="J517" s="49">
        <f t="shared" si="46"/>
        <v>99</v>
      </c>
      <c r="K517" s="49" t="e">
        <f t="shared" si="47"/>
        <v>#N/A</v>
      </c>
    </row>
    <row r="518" spans="1:11">
      <c r="A518" s="74">
        <v>40566</v>
      </c>
      <c r="B518" s="75">
        <v>12</v>
      </c>
      <c r="C518" s="73">
        <v>116</v>
      </c>
      <c r="D518" s="72" cm="1">
        <f t="array" ref="D518">AVERAGE(_xlfn._xlws.FILTER(C:C,B:B=B518))</f>
        <v>76.348837209302332</v>
      </c>
      <c r="E518" s="61" cm="1">
        <f t="array" ref="E518">_xlfn.STDEV.S(_xlfn._xlws.FILTER(C:C,B:B=B518))</f>
        <v>29.034366927857054</v>
      </c>
      <c r="F518" s="61">
        <f t="shared" ref="F518:F581" si="49">D518-(2*E518)</f>
        <v>18.280103353588224</v>
      </c>
      <c r="G518" s="61">
        <f t="shared" ref="G518:G581" si="50">D518+(2*E518)</f>
        <v>134.41757106501643</v>
      </c>
      <c r="H518" s="61">
        <f t="shared" si="48"/>
        <v>1.3656630740122775</v>
      </c>
      <c r="I518" s="28" t="str">
        <f t="shared" ref="I518:I581" si="51">IF(H518&gt;=2,"High Anomaly",IF(H518&lt;=-2,"Low Anomaly","Normal"))</f>
        <v>Normal</v>
      </c>
      <c r="J518" s="49">
        <f t="shared" ref="J518:J581" si="52">IF(I518="Normal",C518,NA())</f>
        <v>116</v>
      </c>
      <c r="K518" s="49" t="e">
        <f t="shared" ref="K518:K581" si="53">IF(I518&lt;&gt;"Normal",C518,NA())</f>
        <v>#N/A</v>
      </c>
    </row>
    <row r="519" spans="1:11">
      <c r="A519" s="74">
        <v>40566</v>
      </c>
      <c r="B519" s="75">
        <v>13</v>
      </c>
      <c r="C519" s="73">
        <v>87</v>
      </c>
      <c r="D519" s="72" cm="1">
        <f t="array" ref="D519">AVERAGE(_xlfn._xlws.FILTER(C:C,B:B=B519))</f>
        <v>78.511627906976742</v>
      </c>
      <c r="E519" s="61" cm="1">
        <f t="array" ref="E519">_xlfn.STDEV.S(_xlfn._xlws.FILTER(C:C,B:B=B519))</f>
        <v>30.072430098825187</v>
      </c>
      <c r="F519" s="61">
        <f t="shared" si="49"/>
        <v>18.366767709326368</v>
      </c>
      <c r="G519" s="61">
        <f t="shared" si="50"/>
        <v>138.6564881046271</v>
      </c>
      <c r="H519" s="61">
        <f t="shared" si="48"/>
        <v>0.28226425550341094</v>
      </c>
      <c r="I519" s="28" t="str">
        <f t="shared" si="51"/>
        <v>Normal</v>
      </c>
      <c r="J519" s="49">
        <f t="shared" si="52"/>
        <v>87</v>
      </c>
      <c r="K519" s="49" t="e">
        <f t="shared" si="53"/>
        <v>#N/A</v>
      </c>
    </row>
    <row r="520" spans="1:11">
      <c r="A520" s="74">
        <v>40566</v>
      </c>
      <c r="B520" s="75">
        <v>14</v>
      </c>
      <c r="C520" s="73">
        <v>110</v>
      </c>
      <c r="D520" s="72" cm="1">
        <f t="array" ref="D520">AVERAGE(_xlfn._xlws.FILTER(C:C,B:B=B520))</f>
        <v>74.418604651162795</v>
      </c>
      <c r="E520" s="61" cm="1">
        <f t="array" ref="E520">_xlfn.STDEV.S(_xlfn._xlws.FILTER(C:C,B:B=B520))</f>
        <v>30.30576918056515</v>
      </c>
      <c r="F520" s="61">
        <f t="shared" si="49"/>
        <v>13.807066290032495</v>
      </c>
      <c r="G520" s="61">
        <f t="shared" si="50"/>
        <v>135.03014301229308</v>
      </c>
      <c r="H520" s="61">
        <f t="shared" si="48"/>
        <v>1.1740799296938904</v>
      </c>
      <c r="I520" s="28" t="str">
        <f t="shared" si="51"/>
        <v>Normal</v>
      </c>
      <c r="J520" s="49">
        <f t="shared" si="52"/>
        <v>110</v>
      </c>
      <c r="K520" s="49" t="e">
        <f t="shared" si="53"/>
        <v>#N/A</v>
      </c>
    </row>
    <row r="521" spans="1:11">
      <c r="A521" s="74">
        <v>40566</v>
      </c>
      <c r="B521" s="75">
        <v>15</v>
      </c>
      <c r="C521" s="73">
        <v>77</v>
      </c>
      <c r="D521" s="72" cm="1">
        <f t="array" ref="D521">AVERAGE(_xlfn._xlws.FILTER(C:C,B:B=B521))</f>
        <v>77.95348837209302</v>
      </c>
      <c r="E521" s="61" cm="1">
        <f t="array" ref="E521">_xlfn.STDEV.S(_xlfn._xlws.FILTER(C:C,B:B=B521))</f>
        <v>34.481156681772681</v>
      </c>
      <c r="F521" s="61">
        <f t="shared" si="49"/>
        <v>8.9911750085476569</v>
      </c>
      <c r="G521" s="61">
        <f t="shared" si="50"/>
        <v>146.91580173563838</v>
      </c>
      <c r="H521" s="61">
        <f t="shared" si="48"/>
        <v>-2.7652447419116006E-2</v>
      </c>
      <c r="I521" s="28" t="str">
        <f t="shared" si="51"/>
        <v>Normal</v>
      </c>
      <c r="J521" s="49">
        <f t="shared" si="52"/>
        <v>77</v>
      </c>
      <c r="K521" s="49" t="e">
        <f t="shared" si="53"/>
        <v>#N/A</v>
      </c>
    </row>
    <row r="522" spans="1:11">
      <c r="A522" s="74">
        <v>40566</v>
      </c>
      <c r="B522" s="75">
        <v>16</v>
      </c>
      <c r="C522" s="73">
        <v>65</v>
      </c>
      <c r="D522" s="72" cm="1">
        <f t="array" ref="D522">AVERAGE(_xlfn._xlws.FILTER(C:C,B:B=B522))</f>
        <v>89.272727272727266</v>
      </c>
      <c r="E522" s="61" cm="1">
        <f t="array" ref="E522">_xlfn.STDEV.S(_xlfn._xlws.FILTER(C:C,B:B=B522))</f>
        <v>25.461657115880758</v>
      </c>
      <c r="F522" s="61">
        <f t="shared" si="49"/>
        <v>38.34941304096575</v>
      </c>
      <c r="G522" s="61">
        <f t="shared" si="50"/>
        <v>140.19604150448879</v>
      </c>
      <c r="H522" s="61">
        <f t="shared" si="48"/>
        <v>-0.95330508781331669</v>
      </c>
      <c r="I522" s="28" t="str">
        <f t="shared" si="51"/>
        <v>Normal</v>
      </c>
      <c r="J522" s="49">
        <f t="shared" si="52"/>
        <v>65</v>
      </c>
      <c r="K522" s="49" t="e">
        <f t="shared" si="53"/>
        <v>#N/A</v>
      </c>
    </row>
    <row r="523" spans="1:11">
      <c r="A523" s="74">
        <v>40566</v>
      </c>
      <c r="B523" s="75">
        <v>17</v>
      </c>
      <c r="C523" s="73">
        <v>55</v>
      </c>
      <c r="D523" s="72" cm="1">
        <f t="array" ref="D523">AVERAGE(_xlfn._xlws.FILTER(C:C,B:B=B523))</f>
        <v>140.20454545454547</v>
      </c>
      <c r="E523" s="61" cm="1">
        <f t="array" ref="E523">_xlfn.STDEV.S(_xlfn._xlws.FILTER(C:C,B:B=B523))</f>
        <v>54.067391000084555</v>
      </c>
      <c r="F523" s="61">
        <f t="shared" si="49"/>
        <v>32.069763454376357</v>
      </c>
      <c r="G523" s="61">
        <f t="shared" si="50"/>
        <v>248.33932745471458</v>
      </c>
      <c r="H523" s="61">
        <f t="shared" si="48"/>
        <v>-1.5758952647523203</v>
      </c>
      <c r="I523" s="28" t="str">
        <f t="shared" si="51"/>
        <v>Normal</v>
      </c>
      <c r="J523" s="49">
        <f t="shared" si="52"/>
        <v>55</v>
      </c>
      <c r="K523" s="49" t="e">
        <f t="shared" si="53"/>
        <v>#N/A</v>
      </c>
    </row>
    <row r="524" spans="1:11">
      <c r="A524" s="74">
        <v>40566</v>
      </c>
      <c r="B524" s="75">
        <v>18</v>
      </c>
      <c r="C524" s="73">
        <v>49</v>
      </c>
      <c r="D524" s="72" cm="1">
        <f t="array" ref="D524">AVERAGE(_xlfn._xlws.FILTER(C:C,B:B=B524))</f>
        <v>122.86046511627907</v>
      </c>
      <c r="E524" s="61" cm="1">
        <f t="array" ref="E524">_xlfn.STDEV.S(_xlfn._xlws.FILTER(C:C,B:B=B524))</f>
        <v>48.613432101949932</v>
      </c>
      <c r="F524" s="61">
        <f t="shared" si="49"/>
        <v>25.633600912379208</v>
      </c>
      <c r="G524" s="61">
        <f t="shared" si="50"/>
        <v>220.08732932017892</v>
      </c>
      <c r="H524" s="61">
        <f t="shared" si="48"/>
        <v>-1.5193427397058119</v>
      </c>
      <c r="I524" s="28" t="str">
        <f t="shared" si="51"/>
        <v>Normal</v>
      </c>
      <c r="J524" s="49">
        <f t="shared" si="52"/>
        <v>49</v>
      </c>
      <c r="K524" s="49" t="e">
        <f t="shared" si="53"/>
        <v>#N/A</v>
      </c>
    </row>
    <row r="525" spans="1:11">
      <c r="A525" s="74">
        <v>40566</v>
      </c>
      <c r="B525" s="75">
        <v>19</v>
      </c>
      <c r="C525" s="73">
        <v>50</v>
      </c>
      <c r="D525" s="72" cm="1">
        <f t="array" ref="D525">AVERAGE(_xlfn._xlws.FILTER(C:C,B:B=B525))</f>
        <v>85.139534883720927</v>
      </c>
      <c r="E525" s="61" cm="1">
        <f t="array" ref="E525">_xlfn.STDEV.S(_xlfn._xlws.FILTER(C:C,B:B=B525))</f>
        <v>31.690904054294752</v>
      </c>
      <c r="F525" s="61">
        <f t="shared" si="49"/>
        <v>21.757726775131424</v>
      </c>
      <c r="G525" s="61">
        <f t="shared" si="50"/>
        <v>148.52134299231042</v>
      </c>
      <c r="H525" s="61">
        <f t="shared" si="48"/>
        <v>-1.1088208409428073</v>
      </c>
      <c r="I525" s="28" t="str">
        <f t="shared" si="51"/>
        <v>Normal</v>
      </c>
      <c r="J525" s="49">
        <f t="shared" si="52"/>
        <v>50</v>
      </c>
      <c r="K525" s="49" t="e">
        <f t="shared" si="53"/>
        <v>#N/A</v>
      </c>
    </row>
    <row r="526" spans="1:11">
      <c r="A526" s="74">
        <v>40566</v>
      </c>
      <c r="B526" s="75">
        <v>20</v>
      </c>
      <c r="C526" s="73">
        <v>35</v>
      </c>
      <c r="D526" s="72" cm="1">
        <f t="array" ref="D526">AVERAGE(_xlfn._xlws.FILTER(C:C,B:B=B526))</f>
        <v>61.767441860465119</v>
      </c>
      <c r="E526" s="61" cm="1">
        <f t="array" ref="E526">_xlfn.STDEV.S(_xlfn._xlws.FILTER(C:C,B:B=B526))</f>
        <v>24.632380169685593</v>
      </c>
      <c r="F526" s="61">
        <f t="shared" si="49"/>
        <v>12.502681521093933</v>
      </c>
      <c r="G526" s="61">
        <f t="shared" si="50"/>
        <v>111.03220219983631</v>
      </c>
      <c r="H526" s="61">
        <f t="shared" si="48"/>
        <v>-1.086677035514704</v>
      </c>
      <c r="I526" s="28" t="str">
        <f t="shared" si="51"/>
        <v>Normal</v>
      </c>
      <c r="J526" s="49">
        <f t="shared" si="52"/>
        <v>35</v>
      </c>
      <c r="K526" s="49" t="e">
        <f t="shared" si="53"/>
        <v>#N/A</v>
      </c>
    </row>
    <row r="527" spans="1:11">
      <c r="A527" s="74">
        <v>40566</v>
      </c>
      <c r="B527" s="75">
        <v>21</v>
      </c>
      <c r="C527" s="73">
        <v>25</v>
      </c>
      <c r="D527" s="72" cm="1">
        <f t="array" ref="D527">AVERAGE(_xlfn._xlws.FILTER(C:C,B:B=B527))</f>
        <v>46.418604651162788</v>
      </c>
      <c r="E527" s="61" cm="1">
        <f t="array" ref="E527">_xlfn.STDEV.S(_xlfn._xlws.FILTER(C:C,B:B=B527))</f>
        <v>14.656759464719496</v>
      </c>
      <c r="F527" s="61">
        <f t="shared" si="49"/>
        <v>17.105085721723796</v>
      </c>
      <c r="G527" s="61">
        <f t="shared" si="50"/>
        <v>75.73212358060178</v>
      </c>
      <c r="H527" s="61">
        <f t="shared" si="48"/>
        <v>-1.4613465345269416</v>
      </c>
      <c r="I527" s="28" t="str">
        <f t="shared" si="51"/>
        <v>Normal</v>
      </c>
      <c r="J527" s="49">
        <f t="shared" si="52"/>
        <v>25</v>
      </c>
      <c r="K527" s="49" t="e">
        <f t="shared" si="53"/>
        <v>#N/A</v>
      </c>
    </row>
    <row r="528" spans="1:11">
      <c r="A528" s="74">
        <v>40566</v>
      </c>
      <c r="B528" s="75">
        <v>22</v>
      </c>
      <c r="C528" s="73">
        <v>28</v>
      </c>
      <c r="D528" s="72" cm="1">
        <f t="array" ref="D528">AVERAGE(_xlfn._xlws.FILTER(C:C,B:B=B528))</f>
        <v>35.069767441860463</v>
      </c>
      <c r="E528" s="61" cm="1">
        <f t="array" ref="E528">_xlfn.STDEV.S(_xlfn._xlws.FILTER(C:C,B:B=B528))</f>
        <v>11.95506537162667</v>
      </c>
      <c r="F528" s="61">
        <f t="shared" si="49"/>
        <v>11.159636698607123</v>
      </c>
      <c r="G528" s="61">
        <f t="shared" si="50"/>
        <v>58.979898185113804</v>
      </c>
      <c r="H528" s="61">
        <f t="shared" si="48"/>
        <v>-0.59136167156721398</v>
      </c>
      <c r="I528" s="28" t="str">
        <f t="shared" si="51"/>
        <v>Normal</v>
      </c>
      <c r="J528" s="49">
        <f t="shared" si="52"/>
        <v>28</v>
      </c>
      <c r="K528" s="49" t="e">
        <f t="shared" si="53"/>
        <v>#N/A</v>
      </c>
    </row>
    <row r="529" spans="1:11">
      <c r="A529" s="74">
        <v>40566</v>
      </c>
      <c r="B529" s="75">
        <v>23</v>
      </c>
      <c r="C529" s="73">
        <v>21</v>
      </c>
      <c r="D529" s="72" cm="1">
        <f t="array" ref="D529">AVERAGE(_xlfn._xlws.FILTER(C:C,B:B=B529))</f>
        <v>25.186046511627907</v>
      </c>
      <c r="E529" s="61" cm="1">
        <f t="array" ref="E529">_xlfn.STDEV.S(_xlfn._xlws.FILTER(C:C,B:B=B529))</f>
        <v>11.751911321656188</v>
      </c>
      <c r="F529" s="61">
        <f t="shared" si="49"/>
        <v>1.6822238683155319</v>
      </c>
      <c r="G529" s="61">
        <f t="shared" si="50"/>
        <v>48.689869154940283</v>
      </c>
      <c r="H529" s="61">
        <f t="shared" si="48"/>
        <v>-0.35620133585538077</v>
      </c>
      <c r="I529" s="28" t="str">
        <f t="shared" si="51"/>
        <v>Normal</v>
      </c>
      <c r="J529" s="49">
        <f t="shared" si="52"/>
        <v>21</v>
      </c>
      <c r="K529" s="49" t="e">
        <f t="shared" si="53"/>
        <v>#N/A</v>
      </c>
    </row>
    <row r="530" spans="1:11">
      <c r="A530" s="74">
        <v>40567</v>
      </c>
      <c r="B530" s="75">
        <v>0</v>
      </c>
      <c r="C530" s="73">
        <v>7</v>
      </c>
      <c r="D530" s="72" cm="1">
        <f t="array" ref="D530">AVERAGE(_xlfn._xlws.FILTER(C:C,B:B=B530))</f>
        <v>16.348837209302324</v>
      </c>
      <c r="E530" s="61" cm="1">
        <f t="array" ref="E530">_xlfn.STDEV.S(_xlfn._xlws.FILTER(C:C,B:B=B530))</f>
        <v>10.44232167427621</v>
      </c>
      <c r="F530" s="61">
        <f t="shared" si="49"/>
        <v>-4.535806139250095</v>
      </c>
      <c r="G530" s="61">
        <f t="shared" si="50"/>
        <v>37.233480557854747</v>
      </c>
      <c r="H530" s="61">
        <f t="shared" si="48"/>
        <v>-0.89528339586898642</v>
      </c>
      <c r="I530" s="28" t="str">
        <f t="shared" si="51"/>
        <v>Normal</v>
      </c>
      <c r="J530" s="49">
        <f t="shared" si="52"/>
        <v>7</v>
      </c>
      <c r="K530" s="49" t="e">
        <f t="shared" si="53"/>
        <v>#N/A</v>
      </c>
    </row>
    <row r="531" spans="1:11">
      <c r="A531" s="74">
        <v>40567</v>
      </c>
      <c r="B531" s="75">
        <v>1</v>
      </c>
      <c r="C531" s="73">
        <v>1</v>
      </c>
      <c r="D531" s="72" cm="1">
        <f t="array" ref="D531">AVERAGE(_xlfn._xlws.FILTER(C:C,B:B=B531))</f>
        <v>10.697674418604651</v>
      </c>
      <c r="E531" s="61" cm="1">
        <f t="array" ref="E531">_xlfn.STDEV.S(_xlfn._xlws.FILTER(C:C,B:B=B531))</f>
        <v>10.060613641515801</v>
      </c>
      <c r="F531" s="61">
        <f t="shared" si="49"/>
        <v>-9.4235528644269504</v>
      </c>
      <c r="G531" s="61">
        <f t="shared" si="50"/>
        <v>30.81890170163625</v>
      </c>
      <c r="H531" s="61">
        <f t="shared" si="48"/>
        <v>-0.96392474297855379</v>
      </c>
      <c r="I531" s="28" t="str">
        <f t="shared" si="51"/>
        <v>Normal</v>
      </c>
      <c r="J531" s="49">
        <f t="shared" si="52"/>
        <v>1</v>
      </c>
      <c r="K531" s="49" t="e">
        <f t="shared" si="53"/>
        <v>#N/A</v>
      </c>
    </row>
    <row r="532" spans="1:11">
      <c r="A532" s="74">
        <v>40567</v>
      </c>
      <c r="B532" s="75">
        <v>3</v>
      </c>
      <c r="C532" s="73">
        <v>1</v>
      </c>
      <c r="D532" s="72" cm="1">
        <f t="array" ref="D532">AVERAGE(_xlfn._xlws.FILTER(C:C,B:B=B532))</f>
        <v>4.870967741935484</v>
      </c>
      <c r="E532" s="61" cm="1">
        <f t="array" ref="E532">_xlfn.STDEV.S(_xlfn._xlws.FILTER(C:C,B:B=B532))</f>
        <v>4.4702120418303126</v>
      </c>
      <c r="F532" s="61">
        <f t="shared" si="49"/>
        <v>-4.0694563417251413</v>
      </c>
      <c r="G532" s="61">
        <f t="shared" si="50"/>
        <v>13.811391825596109</v>
      </c>
      <c r="H532" s="61">
        <f t="shared" si="48"/>
        <v>-0.86594723152115394</v>
      </c>
      <c r="I532" s="28" t="str">
        <f t="shared" si="51"/>
        <v>Normal</v>
      </c>
      <c r="J532" s="49">
        <f t="shared" si="52"/>
        <v>1</v>
      </c>
      <c r="K532" s="49" t="e">
        <f t="shared" si="53"/>
        <v>#N/A</v>
      </c>
    </row>
    <row r="533" spans="1:11">
      <c r="A533" s="74">
        <v>40567</v>
      </c>
      <c r="B533" s="75">
        <v>4</v>
      </c>
      <c r="C533" s="73">
        <v>1</v>
      </c>
      <c r="D533" s="72" cm="1">
        <f t="array" ref="D533">AVERAGE(_xlfn._xlws.FILTER(C:C,B:B=B533))</f>
        <v>2.15625</v>
      </c>
      <c r="E533" s="61" cm="1">
        <f t="array" ref="E533">_xlfn.STDEV.S(_xlfn._xlws.FILTER(C:C,B:B=B533))</f>
        <v>1.5263148747143209</v>
      </c>
      <c r="F533" s="61">
        <f t="shared" si="49"/>
        <v>-0.89637974942864185</v>
      </c>
      <c r="G533" s="61">
        <f t="shared" si="50"/>
        <v>5.2088797494286414</v>
      </c>
      <c r="H533" s="61">
        <f t="shared" si="48"/>
        <v>-0.75754355746314428</v>
      </c>
      <c r="I533" s="28" t="str">
        <f t="shared" si="51"/>
        <v>Normal</v>
      </c>
      <c r="J533" s="49">
        <f t="shared" si="52"/>
        <v>1</v>
      </c>
      <c r="K533" s="49" t="e">
        <f t="shared" si="53"/>
        <v>#N/A</v>
      </c>
    </row>
    <row r="534" spans="1:11">
      <c r="A534" s="74">
        <v>40567</v>
      </c>
      <c r="B534" s="75">
        <v>5</v>
      </c>
      <c r="C534" s="73">
        <v>5</v>
      </c>
      <c r="D534" s="72" cm="1">
        <f t="array" ref="D534">AVERAGE(_xlfn._xlws.FILTER(C:C,B:B=B534))</f>
        <v>4.2051282051282053</v>
      </c>
      <c r="E534" s="61" cm="1">
        <f t="array" ref="E534">_xlfn.STDEV.S(_xlfn._xlws.FILTER(C:C,B:B=B534))</f>
        <v>2.5358429220352288</v>
      </c>
      <c r="F534" s="61">
        <f t="shared" si="49"/>
        <v>-0.86655763894225224</v>
      </c>
      <c r="G534" s="61">
        <f t="shared" si="50"/>
        <v>9.2768140491986628</v>
      </c>
      <c r="H534" s="61">
        <f t="shared" si="48"/>
        <v>0.31345466549396633</v>
      </c>
      <c r="I534" s="28" t="str">
        <f t="shared" si="51"/>
        <v>Normal</v>
      </c>
      <c r="J534" s="49">
        <f t="shared" si="52"/>
        <v>5</v>
      </c>
      <c r="K534" s="49" t="e">
        <f t="shared" si="53"/>
        <v>#N/A</v>
      </c>
    </row>
    <row r="535" spans="1:11">
      <c r="A535" s="74">
        <v>40567</v>
      </c>
      <c r="B535" s="75">
        <v>6</v>
      </c>
      <c r="C535" s="73">
        <v>15</v>
      </c>
      <c r="D535" s="72" cm="1">
        <f t="array" ref="D535">AVERAGE(_xlfn._xlws.FILTER(C:C,B:B=B535))</f>
        <v>19.571428571428573</v>
      </c>
      <c r="E535" s="61" cm="1">
        <f t="array" ref="E535">_xlfn.STDEV.S(_xlfn._xlws.FILTER(C:C,B:B=B535))</f>
        <v>14.202615453298934</v>
      </c>
      <c r="F535" s="61">
        <f t="shared" si="49"/>
        <v>-8.8338023351692954</v>
      </c>
      <c r="G535" s="61">
        <f t="shared" si="50"/>
        <v>47.976659478026441</v>
      </c>
      <c r="H535" s="61">
        <f t="shared" si="48"/>
        <v>-0.32187230489062757</v>
      </c>
      <c r="I535" s="28" t="str">
        <f t="shared" si="51"/>
        <v>Normal</v>
      </c>
      <c r="J535" s="49">
        <f t="shared" si="52"/>
        <v>15</v>
      </c>
      <c r="K535" s="49" t="e">
        <f t="shared" si="53"/>
        <v>#N/A</v>
      </c>
    </row>
    <row r="536" spans="1:11">
      <c r="A536" s="74">
        <v>40567</v>
      </c>
      <c r="B536" s="75">
        <v>7</v>
      </c>
      <c r="C536" s="73">
        <v>84</v>
      </c>
      <c r="D536" s="72" cm="1">
        <f t="array" ref="D536">AVERAGE(_xlfn._xlws.FILTER(C:C,B:B=B536))</f>
        <v>54.395348837209305</v>
      </c>
      <c r="E536" s="61" cm="1">
        <f t="array" ref="E536">_xlfn.STDEV.S(_xlfn._xlws.FILTER(C:C,B:B=B536))</f>
        <v>39.112864486352777</v>
      </c>
      <c r="F536" s="61">
        <f t="shared" si="49"/>
        <v>-23.830380135496249</v>
      </c>
      <c r="G536" s="61">
        <f t="shared" si="50"/>
        <v>132.62107780991485</v>
      </c>
      <c r="H536" s="61">
        <f t="shared" si="48"/>
        <v>0.75690317115792738</v>
      </c>
      <c r="I536" s="28" t="str">
        <f t="shared" si="51"/>
        <v>Normal</v>
      </c>
      <c r="J536" s="49">
        <f t="shared" si="52"/>
        <v>84</v>
      </c>
      <c r="K536" s="49" t="e">
        <f t="shared" si="53"/>
        <v>#N/A</v>
      </c>
    </row>
    <row r="537" spans="1:11">
      <c r="A537" s="74">
        <v>40567</v>
      </c>
      <c r="B537" s="75">
        <v>8</v>
      </c>
      <c r="C537" s="73">
        <v>177</v>
      </c>
      <c r="D537" s="72" cm="1">
        <f t="array" ref="D537">AVERAGE(_xlfn._xlws.FILTER(C:C,B:B=B537))</f>
        <v>128.28571428571428</v>
      </c>
      <c r="E537" s="61" cm="1">
        <f t="array" ref="E537">_xlfn.STDEV.S(_xlfn._xlws.FILTER(C:C,B:B=B537))</f>
        <v>88.551565717048547</v>
      </c>
      <c r="F537" s="61">
        <f t="shared" si="49"/>
        <v>-48.817417148382816</v>
      </c>
      <c r="G537" s="61">
        <f t="shared" si="50"/>
        <v>305.38884571981134</v>
      </c>
      <c r="H537" s="61">
        <f t="shared" si="48"/>
        <v>0.55012336958494812</v>
      </c>
      <c r="I537" s="28" t="str">
        <f t="shared" si="51"/>
        <v>Normal</v>
      </c>
      <c r="J537" s="49">
        <f t="shared" si="52"/>
        <v>177</v>
      </c>
      <c r="K537" s="49" t="e">
        <f t="shared" si="53"/>
        <v>#N/A</v>
      </c>
    </row>
    <row r="538" spans="1:11">
      <c r="A538" s="74">
        <v>40567</v>
      </c>
      <c r="B538" s="75">
        <v>9</v>
      </c>
      <c r="C538" s="73">
        <v>102</v>
      </c>
      <c r="D538" s="72" cm="1">
        <f t="array" ref="D538">AVERAGE(_xlfn._xlws.FILTER(C:C,B:B=B538))</f>
        <v>87.428571428571431</v>
      </c>
      <c r="E538" s="61" cm="1">
        <f t="array" ref="E538">_xlfn.STDEV.S(_xlfn._xlws.FILTER(C:C,B:B=B538))</f>
        <v>45.93852884078624</v>
      </c>
      <c r="F538" s="61">
        <f t="shared" si="49"/>
        <v>-4.4484862530010503</v>
      </c>
      <c r="G538" s="61">
        <f t="shared" si="50"/>
        <v>179.30562911014391</v>
      </c>
      <c r="H538" s="61">
        <f t="shared" si="48"/>
        <v>0.31719406213312201</v>
      </c>
      <c r="I538" s="28" t="str">
        <f t="shared" si="51"/>
        <v>Normal</v>
      </c>
      <c r="J538" s="49">
        <f t="shared" si="52"/>
        <v>102</v>
      </c>
      <c r="K538" s="49" t="e">
        <f t="shared" si="53"/>
        <v>#N/A</v>
      </c>
    </row>
    <row r="539" spans="1:11">
      <c r="A539" s="74">
        <v>40567</v>
      </c>
      <c r="B539" s="75">
        <v>10</v>
      </c>
      <c r="C539" s="73">
        <v>40</v>
      </c>
      <c r="D539" s="72" cm="1">
        <f t="array" ref="D539">AVERAGE(_xlfn._xlws.FILTER(C:C,B:B=B539))</f>
        <v>53.642857142857146</v>
      </c>
      <c r="E539" s="61" cm="1">
        <f t="array" ref="E539">_xlfn.STDEV.S(_xlfn._xlws.FILTER(C:C,B:B=B539))</f>
        <v>15.395313554536934</v>
      </c>
      <c r="F539" s="61">
        <f t="shared" si="49"/>
        <v>22.852230033783279</v>
      </c>
      <c r="G539" s="61">
        <f t="shared" si="50"/>
        <v>84.43348425193102</v>
      </c>
      <c r="H539" s="61">
        <f t="shared" si="48"/>
        <v>-0.8861694888206193</v>
      </c>
      <c r="I539" s="28" t="str">
        <f t="shared" si="51"/>
        <v>Normal</v>
      </c>
      <c r="J539" s="49">
        <f t="shared" si="52"/>
        <v>40</v>
      </c>
      <c r="K539" s="49" t="e">
        <f t="shared" si="53"/>
        <v>#N/A</v>
      </c>
    </row>
    <row r="540" spans="1:11">
      <c r="A540" s="74">
        <v>40567</v>
      </c>
      <c r="B540" s="75">
        <v>11</v>
      </c>
      <c r="C540" s="73">
        <v>46</v>
      </c>
      <c r="D540" s="72" cm="1">
        <f t="array" ref="D540">AVERAGE(_xlfn._xlws.FILTER(C:C,B:B=B540))</f>
        <v>59.38095238095238</v>
      </c>
      <c r="E540" s="61" cm="1">
        <f t="array" ref="E540">_xlfn.STDEV.S(_xlfn._xlws.FILTER(C:C,B:B=B540))</f>
        <v>20.89573696860419</v>
      </c>
      <c r="F540" s="61">
        <f t="shared" si="49"/>
        <v>17.589478443743999</v>
      </c>
      <c r="G540" s="61">
        <f t="shared" si="50"/>
        <v>101.17242631816076</v>
      </c>
      <c r="H540" s="61">
        <f t="shared" si="48"/>
        <v>-0.64036757358963881</v>
      </c>
      <c r="I540" s="28" t="str">
        <f t="shared" si="51"/>
        <v>Normal</v>
      </c>
      <c r="J540" s="49">
        <f t="shared" si="52"/>
        <v>46</v>
      </c>
      <c r="K540" s="49" t="e">
        <f t="shared" si="53"/>
        <v>#N/A</v>
      </c>
    </row>
    <row r="541" spans="1:11">
      <c r="A541" s="74">
        <v>40567</v>
      </c>
      <c r="B541" s="75">
        <v>12</v>
      </c>
      <c r="C541" s="73">
        <v>63</v>
      </c>
      <c r="D541" s="72" cm="1">
        <f t="array" ref="D541">AVERAGE(_xlfn._xlws.FILTER(C:C,B:B=B541))</f>
        <v>76.348837209302332</v>
      </c>
      <c r="E541" s="61" cm="1">
        <f t="array" ref="E541">_xlfn.STDEV.S(_xlfn._xlws.FILTER(C:C,B:B=B541))</f>
        <v>29.034366927857054</v>
      </c>
      <c r="F541" s="61">
        <f t="shared" si="49"/>
        <v>18.280103353588224</v>
      </c>
      <c r="G541" s="61">
        <f t="shared" si="50"/>
        <v>134.41757106501643</v>
      </c>
      <c r="H541" s="61">
        <f t="shared" si="48"/>
        <v>-0.45975988532730072</v>
      </c>
      <c r="I541" s="28" t="str">
        <f t="shared" si="51"/>
        <v>Normal</v>
      </c>
      <c r="J541" s="49">
        <f t="shared" si="52"/>
        <v>63</v>
      </c>
      <c r="K541" s="49" t="e">
        <f t="shared" si="53"/>
        <v>#N/A</v>
      </c>
    </row>
    <row r="542" spans="1:11">
      <c r="A542" s="74">
        <v>40567</v>
      </c>
      <c r="B542" s="75">
        <v>13</v>
      </c>
      <c r="C542" s="73">
        <v>60</v>
      </c>
      <c r="D542" s="72" cm="1">
        <f t="array" ref="D542">AVERAGE(_xlfn._xlws.FILTER(C:C,B:B=B542))</f>
        <v>78.511627906976742</v>
      </c>
      <c r="E542" s="61" cm="1">
        <f t="array" ref="E542">_xlfn.STDEV.S(_xlfn._xlws.FILTER(C:C,B:B=B542))</f>
        <v>30.072430098825187</v>
      </c>
      <c r="F542" s="61">
        <f t="shared" si="49"/>
        <v>18.366767709326368</v>
      </c>
      <c r="G542" s="61">
        <f t="shared" si="50"/>
        <v>138.6564881046271</v>
      </c>
      <c r="H542" s="61">
        <f t="shared" si="48"/>
        <v>-0.61556807501565758</v>
      </c>
      <c r="I542" s="28" t="str">
        <f t="shared" si="51"/>
        <v>Normal</v>
      </c>
      <c r="J542" s="49">
        <f t="shared" si="52"/>
        <v>60</v>
      </c>
      <c r="K542" s="49" t="e">
        <f t="shared" si="53"/>
        <v>#N/A</v>
      </c>
    </row>
    <row r="543" spans="1:11">
      <c r="A543" s="74">
        <v>40567</v>
      </c>
      <c r="B543" s="75">
        <v>14</v>
      </c>
      <c r="C543" s="73">
        <v>45</v>
      </c>
      <c r="D543" s="72" cm="1">
        <f t="array" ref="D543">AVERAGE(_xlfn._xlws.FILTER(C:C,B:B=B543))</f>
        <v>74.418604651162795</v>
      </c>
      <c r="E543" s="61" cm="1">
        <f t="array" ref="E543">_xlfn.STDEV.S(_xlfn._xlws.FILTER(C:C,B:B=B543))</f>
        <v>30.30576918056515</v>
      </c>
      <c r="F543" s="61">
        <f t="shared" si="49"/>
        <v>13.807066290032495</v>
      </c>
      <c r="G543" s="61">
        <f t="shared" si="50"/>
        <v>135.03014301229308</v>
      </c>
      <c r="H543" s="61">
        <f t="shared" si="48"/>
        <v>-0.97072621638089662</v>
      </c>
      <c r="I543" s="28" t="str">
        <f t="shared" si="51"/>
        <v>Normal</v>
      </c>
      <c r="J543" s="49">
        <f t="shared" si="52"/>
        <v>45</v>
      </c>
      <c r="K543" s="49" t="e">
        <f t="shared" si="53"/>
        <v>#N/A</v>
      </c>
    </row>
    <row r="544" spans="1:11">
      <c r="A544" s="74">
        <v>40567</v>
      </c>
      <c r="B544" s="75">
        <v>15</v>
      </c>
      <c r="C544" s="73">
        <v>57</v>
      </c>
      <c r="D544" s="72" cm="1">
        <f t="array" ref="D544">AVERAGE(_xlfn._xlws.FILTER(C:C,B:B=B544))</f>
        <v>77.95348837209302</v>
      </c>
      <c r="E544" s="61" cm="1">
        <f t="array" ref="E544">_xlfn.STDEV.S(_xlfn._xlws.FILTER(C:C,B:B=B544))</f>
        <v>34.481156681772681</v>
      </c>
      <c r="F544" s="61">
        <f t="shared" si="49"/>
        <v>8.9911750085476569</v>
      </c>
      <c r="G544" s="61">
        <f t="shared" si="50"/>
        <v>146.91580173563838</v>
      </c>
      <c r="H544" s="61">
        <f t="shared" si="48"/>
        <v>-0.60767939328350273</v>
      </c>
      <c r="I544" s="28" t="str">
        <f t="shared" si="51"/>
        <v>Normal</v>
      </c>
      <c r="J544" s="49">
        <f t="shared" si="52"/>
        <v>57</v>
      </c>
      <c r="K544" s="49" t="e">
        <f t="shared" si="53"/>
        <v>#N/A</v>
      </c>
    </row>
    <row r="545" spans="1:11">
      <c r="A545" s="74">
        <v>40567</v>
      </c>
      <c r="B545" s="75">
        <v>16</v>
      </c>
      <c r="C545" s="73">
        <v>70</v>
      </c>
      <c r="D545" s="72" cm="1">
        <f t="array" ref="D545">AVERAGE(_xlfn._xlws.FILTER(C:C,B:B=B545))</f>
        <v>89.272727272727266</v>
      </c>
      <c r="E545" s="61" cm="1">
        <f t="array" ref="E545">_xlfn.STDEV.S(_xlfn._xlws.FILTER(C:C,B:B=B545))</f>
        <v>25.461657115880758</v>
      </c>
      <c r="F545" s="61">
        <f t="shared" si="49"/>
        <v>38.34941304096575</v>
      </c>
      <c r="G545" s="61">
        <f t="shared" si="50"/>
        <v>140.19604150448879</v>
      </c>
      <c r="H545" s="61">
        <f t="shared" si="48"/>
        <v>-0.75693138058585441</v>
      </c>
      <c r="I545" s="28" t="str">
        <f t="shared" si="51"/>
        <v>Normal</v>
      </c>
      <c r="J545" s="49">
        <f t="shared" si="52"/>
        <v>70</v>
      </c>
      <c r="K545" s="49" t="e">
        <f t="shared" si="53"/>
        <v>#N/A</v>
      </c>
    </row>
    <row r="546" spans="1:11">
      <c r="A546" s="74">
        <v>40567</v>
      </c>
      <c r="B546" s="75">
        <v>17</v>
      </c>
      <c r="C546" s="73">
        <v>184</v>
      </c>
      <c r="D546" s="72" cm="1">
        <f t="array" ref="D546">AVERAGE(_xlfn._xlws.FILTER(C:C,B:B=B546))</f>
        <v>140.20454545454547</v>
      </c>
      <c r="E546" s="61" cm="1">
        <f t="array" ref="E546">_xlfn.STDEV.S(_xlfn._xlws.FILTER(C:C,B:B=B546))</f>
        <v>54.067391000084555</v>
      </c>
      <c r="F546" s="61">
        <f t="shared" si="49"/>
        <v>32.069763454376357</v>
      </c>
      <c r="G546" s="61">
        <f t="shared" si="50"/>
        <v>248.33932745471458</v>
      </c>
      <c r="H546" s="61">
        <f t="shared" si="48"/>
        <v>0.81001605099432372</v>
      </c>
      <c r="I546" s="28" t="str">
        <f t="shared" si="51"/>
        <v>Normal</v>
      </c>
      <c r="J546" s="49">
        <f t="shared" si="52"/>
        <v>184</v>
      </c>
      <c r="K546" s="49" t="e">
        <f t="shared" si="53"/>
        <v>#N/A</v>
      </c>
    </row>
    <row r="547" spans="1:11">
      <c r="A547" s="74">
        <v>40567</v>
      </c>
      <c r="B547" s="75">
        <v>18</v>
      </c>
      <c r="C547" s="73">
        <v>153</v>
      </c>
      <c r="D547" s="72" cm="1">
        <f t="array" ref="D547">AVERAGE(_xlfn._xlws.FILTER(C:C,B:B=B547))</f>
        <v>122.86046511627907</v>
      </c>
      <c r="E547" s="61" cm="1">
        <f t="array" ref="E547">_xlfn.STDEV.S(_xlfn._xlws.FILTER(C:C,B:B=B547))</f>
        <v>48.613432101949932</v>
      </c>
      <c r="F547" s="61">
        <f t="shared" si="49"/>
        <v>25.633600912379208</v>
      </c>
      <c r="G547" s="61">
        <f t="shared" si="50"/>
        <v>220.08732932017892</v>
      </c>
      <c r="H547" s="61">
        <f t="shared" si="48"/>
        <v>0.6199836872351171</v>
      </c>
      <c r="I547" s="28" t="str">
        <f t="shared" si="51"/>
        <v>Normal</v>
      </c>
      <c r="J547" s="49">
        <f t="shared" si="52"/>
        <v>153</v>
      </c>
      <c r="K547" s="49" t="e">
        <f t="shared" si="53"/>
        <v>#N/A</v>
      </c>
    </row>
    <row r="548" spans="1:11">
      <c r="A548" s="74">
        <v>40567</v>
      </c>
      <c r="B548" s="75">
        <v>19</v>
      </c>
      <c r="C548" s="73">
        <v>106</v>
      </c>
      <c r="D548" s="72" cm="1">
        <f t="array" ref="D548">AVERAGE(_xlfn._xlws.FILTER(C:C,B:B=B548))</f>
        <v>85.139534883720927</v>
      </c>
      <c r="E548" s="61" cm="1">
        <f t="array" ref="E548">_xlfn.STDEV.S(_xlfn._xlws.FILTER(C:C,B:B=B548))</f>
        <v>31.690904054294752</v>
      </c>
      <c r="F548" s="61">
        <f t="shared" si="49"/>
        <v>21.757726775131424</v>
      </c>
      <c r="G548" s="61">
        <f t="shared" si="50"/>
        <v>148.52134299231042</v>
      </c>
      <c r="H548" s="61">
        <f t="shared" si="48"/>
        <v>0.65824771298854956</v>
      </c>
      <c r="I548" s="28" t="str">
        <f t="shared" si="51"/>
        <v>Normal</v>
      </c>
      <c r="J548" s="49">
        <f t="shared" si="52"/>
        <v>106</v>
      </c>
      <c r="K548" s="49" t="e">
        <f t="shared" si="53"/>
        <v>#N/A</v>
      </c>
    </row>
    <row r="549" spans="1:11">
      <c r="A549" s="74">
        <v>40567</v>
      </c>
      <c r="B549" s="75">
        <v>20</v>
      </c>
      <c r="C549" s="73">
        <v>81</v>
      </c>
      <c r="D549" s="72" cm="1">
        <f t="array" ref="D549">AVERAGE(_xlfn._xlws.FILTER(C:C,B:B=B549))</f>
        <v>61.767441860465119</v>
      </c>
      <c r="E549" s="61" cm="1">
        <f t="array" ref="E549">_xlfn.STDEV.S(_xlfn._xlws.FILTER(C:C,B:B=B549))</f>
        <v>24.632380169685593</v>
      </c>
      <c r="F549" s="61">
        <f t="shared" si="49"/>
        <v>12.502681521093933</v>
      </c>
      <c r="G549" s="61">
        <f t="shared" si="50"/>
        <v>111.03220219983631</v>
      </c>
      <c r="H549" s="61">
        <f t="shared" si="48"/>
        <v>0.78078358676860116</v>
      </c>
      <c r="I549" s="28" t="str">
        <f t="shared" si="51"/>
        <v>Normal</v>
      </c>
      <c r="J549" s="49">
        <f t="shared" si="52"/>
        <v>81</v>
      </c>
      <c r="K549" s="49" t="e">
        <f t="shared" si="53"/>
        <v>#N/A</v>
      </c>
    </row>
    <row r="550" spans="1:11">
      <c r="A550" s="74">
        <v>40567</v>
      </c>
      <c r="B550" s="75">
        <v>21</v>
      </c>
      <c r="C550" s="73">
        <v>59</v>
      </c>
      <c r="D550" s="72" cm="1">
        <f t="array" ref="D550">AVERAGE(_xlfn._xlws.FILTER(C:C,B:B=B550))</f>
        <v>46.418604651162788</v>
      </c>
      <c r="E550" s="61" cm="1">
        <f t="array" ref="E550">_xlfn.STDEV.S(_xlfn._xlws.FILTER(C:C,B:B=B550))</f>
        <v>14.656759464719496</v>
      </c>
      <c r="F550" s="61">
        <f t="shared" si="49"/>
        <v>17.105085721723796</v>
      </c>
      <c r="G550" s="61">
        <f t="shared" si="50"/>
        <v>75.73212358060178</v>
      </c>
      <c r="H550" s="61">
        <f t="shared" si="48"/>
        <v>0.85840225318032104</v>
      </c>
      <c r="I550" s="28" t="str">
        <f t="shared" si="51"/>
        <v>Normal</v>
      </c>
      <c r="J550" s="49">
        <f t="shared" si="52"/>
        <v>59</v>
      </c>
      <c r="K550" s="49" t="e">
        <f t="shared" si="53"/>
        <v>#N/A</v>
      </c>
    </row>
    <row r="551" spans="1:11">
      <c r="A551" s="74">
        <v>40567</v>
      </c>
      <c r="B551" s="75">
        <v>22</v>
      </c>
      <c r="C551" s="73">
        <v>35</v>
      </c>
      <c r="D551" s="72" cm="1">
        <f t="array" ref="D551">AVERAGE(_xlfn._xlws.FILTER(C:C,B:B=B551))</f>
        <v>35.069767441860463</v>
      </c>
      <c r="E551" s="61" cm="1">
        <f t="array" ref="E551">_xlfn.STDEV.S(_xlfn._xlws.FILTER(C:C,B:B=B551))</f>
        <v>11.95506537162667</v>
      </c>
      <c r="F551" s="61">
        <f t="shared" si="49"/>
        <v>11.159636698607123</v>
      </c>
      <c r="G551" s="61">
        <f t="shared" si="50"/>
        <v>58.979898185113804</v>
      </c>
      <c r="H551" s="61">
        <f t="shared" si="48"/>
        <v>-5.8358059694131586E-3</v>
      </c>
      <c r="I551" s="28" t="str">
        <f t="shared" si="51"/>
        <v>Normal</v>
      </c>
      <c r="J551" s="49">
        <f t="shared" si="52"/>
        <v>35</v>
      </c>
      <c r="K551" s="49" t="e">
        <f t="shared" si="53"/>
        <v>#N/A</v>
      </c>
    </row>
    <row r="552" spans="1:11">
      <c r="A552" s="74">
        <v>40567</v>
      </c>
      <c r="B552" s="75">
        <v>23</v>
      </c>
      <c r="C552" s="73">
        <v>24</v>
      </c>
      <c r="D552" s="72" cm="1">
        <f t="array" ref="D552">AVERAGE(_xlfn._xlws.FILTER(C:C,B:B=B552))</f>
        <v>25.186046511627907</v>
      </c>
      <c r="E552" s="61" cm="1">
        <f t="array" ref="E552">_xlfn.STDEV.S(_xlfn._xlws.FILTER(C:C,B:B=B552))</f>
        <v>11.751911321656188</v>
      </c>
      <c r="F552" s="61">
        <f t="shared" si="49"/>
        <v>1.6822238683155319</v>
      </c>
      <c r="G552" s="61">
        <f t="shared" si="50"/>
        <v>48.689869154940283</v>
      </c>
      <c r="H552" s="61">
        <f t="shared" si="48"/>
        <v>-0.10092371182569124</v>
      </c>
      <c r="I552" s="28" t="str">
        <f t="shared" si="51"/>
        <v>Normal</v>
      </c>
      <c r="J552" s="49">
        <f t="shared" si="52"/>
        <v>24</v>
      </c>
      <c r="K552" s="49" t="e">
        <f t="shared" si="53"/>
        <v>#N/A</v>
      </c>
    </row>
    <row r="553" spans="1:11">
      <c r="A553" s="74">
        <v>40568</v>
      </c>
      <c r="B553" s="75">
        <v>0</v>
      </c>
      <c r="C553" s="73">
        <v>9</v>
      </c>
      <c r="D553" s="72" cm="1">
        <f t="array" ref="D553">AVERAGE(_xlfn._xlws.FILTER(C:C,B:B=B553))</f>
        <v>16.348837209302324</v>
      </c>
      <c r="E553" s="61" cm="1">
        <f t="array" ref="E553">_xlfn.STDEV.S(_xlfn._xlws.FILTER(C:C,B:B=B553))</f>
        <v>10.44232167427621</v>
      </c>
      <c r="F553" s="61">
        <f t="shared" si="49"/>
        <v>-4.535806139250095</v>
      </c>
      <c r="G553" s="61">
        <f t="shared" si="50"/>
        <v>37.233480557854747</v>
      </c>
      <c r="H553" s="61">
        <f t="shared" si="48"/>
        <v>-0.70375510720049672</v>
      </c>
      <c r="I553" s="28" t="str">
        <f t="shared" si="51"/>
        <v>Normal</v>
      </c>
      <c r="J553" s="49">
        <f t="shared" si="52"/>
        <v>9</v>
      </c>
      <c r="K553" s="49" t="e">
        <f t="shared" si="53"/>
        <v>#N/A</v>
      </c>
    </row>
    <row r="554" spans="1:11">
      <c r="A554" s="74">
        <v>40568</v>
      </c>
      <c r="B554" s="75">
        <v>1</v>
      </c>
      <c r="C554" s="73">
        <v>5</v>
      </c>
      <c r="D554" s="72" cm="1">
        <f t="array" ref="D554">AVERAGE(_xlfn._xlws.FILTER(C:C,B:B=B554))</f>
        <v>10.697674418604651</v>
      </c>
      <c r="E554" s="61" cm="1">
        <f t="array" ref="E554">_xlfn.STDEV.S(_xlfn._xlws.FILTER(C:C,B:B=B554))</f>
        <v>10.060613641515801</v>
      </c>
      <c r="F554" s="61">
        <f t="shared" si="49"/>
        <v>-9.4235528644269504</v>
      </c>
      <c r="G554" s="61">
        <f t="shared" si="50"/>
        <v>30.81890170163625</v>
      </c>
      <c r="H554" s="61">
        <f t="shared" si="48"/>
        <v>-0.56633468112648844</v>
      </c>
      <c r="I554" s="28" t="str">
        <f t="shared" si="51"/>
        <v>Normal</v>
      </c>
      <c r="J554" s="49">
        <f t="shared" si="52"/>
        <v>5</v>
      </c>
      <c r="K554" s="49" t="e">
        <f t="shared" si="53"/>
        <v>#N/A</v>
      </c>
    </row>
    <row r="555" spans="1:11">
      <c r="A555" s="74">
        <v>40568</v>
      </c>
      <c r="B555" s="75">
        <v>2</v>
      </c>
      <c r="C555" s="73">
        <v>2</v>
      </c>
      <c r="D555" s="72" cm="1">
        <f t="array" ref="D555">AVERAGE(_xlfn._xlws.FILTER(C:C,B:B=B555))</f>
        <v>7.1707317073170733</v>
      </c>
      <c r="E555" s="61" cm="1">
        <f t="array" ref="E555">_xlfn.STDEV.S(_xlfn._xlws.FILTER(C:C,B:B=B555))</f>
        <v>7.3685223723090854</v>
      </c>
      <c r="F555" s="61">
        <f t="shared" si="49"/>
        <v>-7.5663130373010974</v>
      </c>
      <c r="G555" s="61">
        <f t="shared" si="50"/>
        <v>21.907776451935245</v>
      </c>
      <c r="H555" s="61">
        <f t="shared" si="48"/>
        <v>-0.70173251108644097</v>
      </c>
      <c r="I555" s="28" t="str">
        <f t="shared" si="51"/>
        <v>Normal</v>
      </c>
      <c r="J555" s="49">
        <f t="shared" si="52"/>
        <v>2</v>
      </c>
      <c r="K555" s="49" t="e">
        <f t="shared" si="53"/>
        <v>#N/A</v>
      </c>
    </row>
    <row r="556" spans="1:11">
      <c r="A556" s="74">
        <v>40568</v>
      </c>
      <c r="B556" s="75">
        <v>4</v>
      </c>
      <c r="C556" s="73">
        <v>1</v>
      </c>
      <c r="D556" s="72" cm="1">
        <f t="array" ref="D556">AVERAGE(_xlfn._xlws.FILTER(C:C,B:B=B556))</f>
        <v>2.15625</v>
      </c>
      <c r="E556" s="61" cm="1">
        <f t="array" ref="E556">_xlfn.STDEV.S(_xlfn._xlws.FILTER(C:C,B:B=B556))</f>
        <v>1.5263148747143209</v>
      </c>
      <c r="F556" s="61">
        <f t="shared" si="49"/>
        <v>-0.89637974942864185</v>
      </c>
      <c r="G556" s="61">
        <f t="shared" si="50"/>
        <v>5.2088797494286414</v>
      </c>
      <c r="H556" s="61">
        <f t="shared" si="48"/>
        <v>-0.75754355746314428</v>
      </c>
      <c r="I556" s="28" t="str">
        <f t="shared" si="51"/>
        <v>Normal</v>
      </c>
      <c r="J556" s="49">
        <f t="shared" si="52"/>
        <v>1</v>
      </c>
      <c r="K556" s="49" t="e">
        <f t="shared" si="53"/>
        <v>#N/A</v>
      </c>
    </row>
    <row r="557" spans="1:11">
      <c r="A557" s="74">
        <v>40568</v>
      </c>
      <c r="B557" s="75">
        <v>5</v>
      </c>
      <c r="C557" s="73">
        <v>9</v>
      </c>
      <c r="D557" s="72" cm="1">
        <f t="array" ref="D557">AVERAGE(_xlfn._xlws.FILTER(C:C,B:B=B557))</f>
        <v>4.2051282051282053</v>
      </c>
      <c r="E557" s="61" cm="1">
        <f t="array" ref="E557">_xlfn.STDEV.S(_xlfn._xlws.FILTER(C:C,B:B=B557))</f>
        <v>2.5358429220352288</v>
      </c>
      <c r="F557" s="61">
        <f t="shared" si="49"/>
        <v>-0.86655763894225224</v>
      </c>
      <c r="G557" s="61">
        <f t="shared" si="50"/>
        <v>9.2768140491986628</v>
      </c>
      <c r="H557" s="61">
        <f t="shared" si="48"/>
        <v>1.8908394337861842</v>
      </c>
      <c r="I557" s="28" t="str">
        <f t="shared" si="51"/>
        <v>Normal</v>
      </c>
      <c r="J557" s="49">
        <f t="shared" si="52"/>
        <v>9</v>
      </c>
      <c r="K557" s="49" t="e">
        <f t="shared" si="53"/>
        <v>#N/A</v>
      </c>
    </row>
    <row r="558" spans="1:11">
      <c r="A558" s="74">
        <v>40568</v>
      </c>
      <c r="B558" s="75">
        <v>6</v>
      </c>
      <c r="C558" s="73">
        <v>36</v>
      </c>
      <c r="D558" s="72" cm="1">
        <f t="array" ref="D558">AVERAGE(_xlfn._xlws.FILTER(C:C,B:B=B558))</f>
        <v>19.571428571428573</v>
      </c>
      <c r="E558" s="61" cm="1">
        <f t="array" ref="E558">_xlfn.STDEV.S(_xlfn._xlws.FILTER(C:C,B:B=B558))</f>
        <v>14.202615453298934</v>
      </c>
      <c r="F558" s="61">
        <f t="shared" si="49"/>
        <v>-8.8338023351692954</v>
      </c>
      <c r="G558" s="61">
        <f t="shared" si="50"/>
        <v>47.976659478026441</v>
      </c>
      <c r="H558" s="61">
        <f t="shared" si="48"/>
        <v>1.1567285957006923</v>
      </c>
      <c r="I558" s="28" t="str">
        <f t="shared" si="51"/>
        <v>Normal</v>
      </c>
      <c r="J558" s="49">
        <f t="shared" si="52"/>
        <v>36</v>
      </c>
      <c r="K558" s="49" t="e">
        <f t="shared" si="53"/>
        <v>#N/A</v>
      </c>
    </row>
    <row r="559" spans="1:11">
      <c r="A559" s="74">
        <v>40568</v>
      </c>
      <c r="B559" s="75">
        <v>7</v>
      </c>
      <c r="C559" s="73">
        <v>108</v>
      </c>
      <c r="D559" s="72" cm="1">
        <f t="array" ref="D559">AVERAGE(_xlfn._xlws.FILTER(C:C,B:B=B559))</f>
        <v>54.395348837209305</v>
      </c>
      <c r="E559" s="61" cm="1">
        <f t="array" ref="E559">_xlfn.STDEV.S(_xlfn._xlws.FILTER(C:C,B:B=B559))</f>
        <v>39.112864486352777</v>
      </c>
      <c r="F559" s="61">
        <f t="shared" si="49"/>
        <v>-23.830380135496249</v>
      </c>
      <c r="G559" s="61">
        <f t="shared" si="50"/>
        <v>132.62107780991485</v>
      </c>
      <c r="H559" s="61">
        <f t="shared" si="48"/>
        <v>1.3705120263307327</v>
      </c>
      <c r="I559" s="28" t="str">
        <f t="shared" si="51"/>
        <v>Normal</v>
      </c>
      <c r="J559" s="49">
        <f t="shared" si="52"/>
        <v>108</v>
      </c>
      <c r="K559" s="49" t="e">
        <f t="shared" si="53"/>
        <v>#N/A</v>
      </c>
    </row>
    <row r="560" spans="1:11">
      <c r="A560" s="74">
        <v>40568</v>
      </c>
      <c r="B560" s="75">
        <v>8</v>
      </c>
      <c r="C560" s="73">
        <v>238</v>
      </c>
      <c r="D560" s="72" cm="1">
        <f t="array" ref="D560">AVERAGE(_xlfn._xlws.FILTER(C:C,B:B=B560))</f>
        <v>128.28571428571428</v>
      </c>
      <c r="E560" s="61" cm="1">
        <f t="array" ref="E560">_xlfn.STDEV.S(_xlfn._xlws.FILTER(C:C,B:B=B560))</f>
        <v>88.551565717048547</v>
      </c>
      <c r="F560" s="61">
        <f t="shared" si="49"/>
        <v>-48.817417148382816</v>
      </c>
      <c r="G560" s="61">
        <f t="shared" si="50"/>
        <v>305.38884571981134</v>
      </c>
      <c r="H560" s="61">
        <f t="shared" si="48"/>
        <v>1.2389875303262174</v>
      </c>
      <c r="I560" s="28" t="str">
        <f t="shared" si="51"/>
        <v>Normal</v>
      </c>
      <c r="J560" s="49">
        <f t="shared" si="52"/>
        <v>238</v>
      </c>
      <c r="K560" s="49" t="e">
        <f t="shared" si="53"/>
        <v>#N/A</v>
      </c>
    </row>
    <row r="561" spans="1:11">
      <c r="A561" s="74">
        <v>40568</v>
      </c>
      <c r="B561" s="75">
        <v>9</v>
      </c>
      <c r="C561" s="73">
        <v>144</v>
      </c>
      <c r="D561" s="72" cm="1">
        <f t="array" ref="D561">AVERAGE(_xlfn._xlws.FILTER(C:C,B:B=B561))</f>
        <v>87.428571428571431</v>
      </c>
      <c r="E561" s="61" cm="1">
        <f t="array" ref="E561">_xlfn.STDEV.S(_xlfn._xlws.FILTER(C:C,B:B=B561))</f>
        <v>45.93852884078624</v>
      </c>
      <c r="F561" s="61">
        <f t="shared" si="49"/>
        <v>-4.4484862530010503</v>
      </c>
      <c r="G561" s="61">
        <f t="shared" si="50"/>
        <v>179.30562911014391</v>
      </c>
      <c r="H561" s="61">
        <f t="shared" si="48"/>
        <v>1.2314593000462386</v>
      </c>
      <c r="I561" s="28" t="str">
        <f t="shared" si="51"/>
        <v>Normal</v>
      </c>
      <c r="J561" s="49">
        <f t="shared" si="52"/>
        <v>144</v>
      </c>
      <c r="K561" s="49" t="e">
        <f t="shared" si="53"/>
        <v>#N/A</v>
      </c>
    </row>
    <row r="562" spans="1:11">
      <c r="A562" s="74">
        <v>40568</v>
      </c>
      <c r="B562" s="75">
        <v>10</v>
      </c>
      <c r="C562" s="73">
        <v>55</v>
      </c>
      <c r="D562" s="72" cm="1">
        <f t="array" ref="D562">AVERAGE(_xlfn._xlws.FILTER(C:C,B:B=B562))</f>
        <v>53.642857142857146</v>
      </c>
      <c r="E562" s="61" cm="1">
        <f t="array" ref="E562">_xlfn.STDEV.S(_xlfn._xlws.FILTER(C:C,B:B=B562))</f>
        <v>15.395313554536934</v>
      </c>
      <c r="F562" s="61">
        <f t="shared" si="49"/>
        <v>22.852230033783279</v>
      </c>
      <c r="G562" s="61">
        <f t="shared" si="50"/>
        <v>84.43348425193102</v>
      </c>
      <c r="H562" s="61">
        <f t="shared" si="48"/>
        <v>8.8152985798909553E-2</v>
      </c>
      <c r="I562" s="28" t="str">
        <f t="shared" si="51"/>
        <v>Normal</v>
      </c>
      <c r="J562" s="49">
        <f t="shared" si="52"/>
        <v>55</v>
      </c>
      <c r="K562" s="49" t="e">
        <f t="shared" si="53"/>
        <v>#N/A</v>
      </c>
    </row>
    <row r="563" spans="1:11">
      <c r="A563" s="74">
        <v>40568</v>
      </c>
      <c r="B563" s="75">
        <v>11</v>
      </c>
      <c r="C563" s="73">
        <v>61</v>
      </c>
      <c r="D563" s="72" cm="1">
        <f t="array" ref="D563">AVERAGE(_xlfn._xlws.FILTER(C:C,B:B=B563))</f>
        <v>59.38095238095238</v>
      </c>
      <c r="E563" s="61" cm="1">
        <f t="array" ref="E563">_xlfn.STDEV.S(_xlfn._xlws.FILTER(C:C,B:B=B563))</f>
        <v>20.89573696860419</v>
      </c>
      <c r="F563" s="61">
        <f t="shared" si="49"/>
        <v>17.589478443743999</v>
      </c>
      <c r="G563" s="61">
        <f t="shared" si="50"/>
        <v>101.17242631816076</v>
      </c>
      <c r="H563" s="61">
        <f t="shared" si="48"/>
        <v>7.7482197516184126E-2</v>
      </c>
      <c r="I563" s="28" t="str">
        <f t="shared" si="51"/>
        <v>Normal</v>
      </c>
      <c r="J563" s="49">
        <f t="shared" si="52"/>
        <v>61</v>
      </c>
      <c r="K563" s="49" t="e">
        <f t="shared" si="53"/>
        <v>#N/A</v>
      </c>
    </row>
    <row r="564" spans="1:11">
      <c r="A564" s="74">
        <v>40568</v>
      </c>
      <c r="B564" s="75">
        <v>12</v>
      </c>
      <c r="C564" s="73">
        <v>106</v>
      </c>
      <c r="D564" s="72" cm="1">
        <f t="array" ref="D564">AVERAGE(_xlfn._xlws.FILTER(C:C,B:B=B564))</f>
        <v>76.348837209302332</v>
      </c>
      <c r="E564" s="61" cm="1">
        <f t="array" ref="E564">_xlfn.STDEV.S(_xlfn._xlws.FILTER(C:C,B:B=B564))</f>
        <v>29.034366927857054</v>
      </c>
      <c r="F564" s="61">
        <f t="shared" si="49"/>
        <v>18.280103353588224</v>
      </c>
      <c r="G564" s="61">
        <f t="shared" si="50"/>
        <v>134.41757106501643</v>
      </c>
      <c r="H564" s="61">
        <f t="shared" si="48"/>
        <v>1.021243647721791</v>
      </c>
      <c r="I564" s="28" t="str">
        <f t="shared" si="51"/>
        <v>Normal</v>
      </c>
      <c r="J564" s="49">
        <f t="shared" si="52"/>
        <v>106</v>
      </c>
      <c r="K564" s="49" t="e">
        <f t="shared" si="53"/>
        <v>#N/A</v>
      </c>
    </row>
    <row r="565" spans="1:11">
      <c r="A565" s="74">
        <v>40568</v>
      </c>
      <c r="B565" s="75">
        <v>13</v>
      </c>
      <c r="C565" s="73">
        <v>93</v>
      </c>
      <c r="D565" s="72" cm="1">
        <f t="array" ref="D565">AVERAGE(_xlfn._xlws.FILTER(C:C,B:B=B565))</f>
        <v>78.511627906976742</v>
      </c>
      <c r="E565" s="61" cm="1">
        <f t="array" ref="E565">_xlfn.STDEV.S(_xlfn._xlws.FILTER(C:C,B:B=B565))</f>
        <v>30.072430098825187</v>
      </c>
      <c r="F565" s="61">
        <f t="shared" si="49"/>
        <v>18.366767709326368</v>
      </c>
      <c r="G565" s="61">
        <f t="shared" si="50"/>
        <v>138.6564881046271</v>
      </c>
      <c r="H565" s="61">
        <f t="shared" si="48"/>
        <v>0.48178255117431507</v>
      </c>
      <c r="I565" s="28" t="str">
        <f t="shared" si="51"/>
        <v>Normal</v>
      </c>
      <c r="J565" s="49">
        <f t="shared" si="52"/>
        <v>93</v>
      </c>
      <c r="K565" s="49" t="e">
        <f t="shared" si="53"/>
        <v>#N/A</v>
      </c>
    </row>
    <row r="566" spans="1:11">
      <c r="A566" s="74">
        <v>40568</v>
      </c>
      <c r="B566" s="75">
        <v>14</v>
      </c>
      <c r="C566" s="73">
        <v>68</v>
      </c>
      <c r="D566" s="72" cm="1">
        <f t="array" ref="D566">AVERAGE(_xlfn._xlws.FILTER(C:C,B:B=B566))</f>
        <v>74.418604651162795</v>
      </c>
      <c r="E566" s="61" cm="1">
        <f t="array" ref="E566">_xlfn.STDEV.S(_xlfn._xlws.FILTER(C:C,B:B=B566))</f>
        <v>30.30576918056515</v>
      </c>
      <c r="F566" s="61">
        <f t="shared" si="49"/>
        <v>13.807066290032495</v>
      </c>
      <c r="G566" s="61">
        <f t="shared" si="50"/>
        <v>135.03014301229308</v>
      </c>
      <c r="H566" s="61">
        <f t="shared" si="48"/>
        <v>-0.2117948108467412</v>
      </c>
      <c r="I566" s="28" t="str">
        <f t="shared" si="51"/>
        <v>Normal</v>
      </c>
      <c r="J566" s="49">
        <f t="shared" si="52"/>
        <v>68</v>
      </c>
      <c r="K566" s="49" t="e">
        <f t="shared" si="53"/>
        <v>#N/A</v>
      </c>
    </row>
    <row r="567" spans="1:11">
      <c r="A567" s="74">
        <v>40568</v>
      </c>
      <c r="B567" s="75">
        <v>15</v>
      </c>
      <c r="C567" s="73">
        <v>84</v>
      </c>
      <c r="D567" s="72" cm="1">
        <f t="array" ref="D567">AVERAGE(_xlfn._xlws.FILTER(C:C,B:B=B567))</f>
        <v>77.95348837209302</v>
      </c>
      <c r="E567" s="61" cm="1">
        <f t="array" ref="E567">_xlfn.STDEV.S(_xlfn._xlws.FILTER(C:C,B:B=B567))</f>
        <v>34.481156681772681</v>
      </c>
      <c r="F567" s="61">
        <f t="shared" si="49"/>
        <v>8.9911750085476569</v>
      </c>
      <c r="G567" s="61">
        <f t="shared" si="50"/>
        <v>146.91580173563838</v>
      </c>
      <c r="H567" s="61">
        <f t="shared" si="48"/>
        <v>0.17535698363341934</v>
      </c>
      <c r="I567" s="28" t="str">
        <f t="shared" si="51"/>
        <v>Normal</v>
      </c>
      <c r="J567" s="49">
        <f t="shared" si="52"/>
        <v>84</v>
      </c>
      <c r="K567" s="49" t="e">
        <f t="shared" si="53"/>
        <v>#N/A</v>
      </c>
    </row>
    <row r="568" spans="1:11">
      <c r="A568" s="74">
        <v>40568</v>
      </c>
      <c r="B568" s="75">
        <v>16</v>
      </c>
      <c r="C568" s="73">
        <v>116</v>
      </c>
      <c r="D568" s="72" cm="1">
        <f t="array" ref="D568">AVERAGE(_xlfn._xlws.FILTER(C:C,B:B=B568))</f>
        <v>89.272727272727266</v>
      </c>
      <c r="E568" s="61" cm="1">
        <f t="array" ref="E568">_xlfn.STDEV.S(_xlfn._xlws.FILTER(C:C,B:B=B568))</f>
        <v>25.461657115880758</v>
      </c>
      <c r="F568" s="61">
        <f t="shared" si="49"/>
        <v>38.34941304096575</v>
      </c>
      <c r="G568" s="61">
        <f t="shared" si="50"/>
        <v>140.19604150448879</v>
      </c>
      <c r="H568" s="61">
        <f t="shared" si="48"/>
        <v>1.0497067259067987</v>
      </c>
      <c r="I568" s="28" t="str">
        <f t="shared" si="51"/>
        <v>Normal</v>
      </c>
      <c r="J568" s="49">
        <f t="shared" si="52"/>
        <v>116</v>
      </c>
      <c r="K568" s="49" t="e">
        <f t="shared" si="53"/>
        <v>#N/A</v>
      </c>
    </row>
    <row r="569" spans="1:11">
      <c r="A569" s="74">
        <v>40568</v>
      </c>
      <c r="B569" s="75">
        <v>17</v>
      </c>
      <c r="C569" s="73">
        <v>222</v>
      </c>
      <c r="D569" s="72" cm="1">
        <f t="array" ref="D569">AVERAGE(_xlfn._xlws.FILTER(C:C,B:B=B569))</f>
        <v>140.20454545454547</v>
      </c>
      <c r="E569" s="61" cm="1">
        <f t="array" ref="E569">_xlfn.STDEV.S(_xlfn._xlws.FILTER(C:C,B:B=B569))</f>
        <v>54.067391000084555</v>
      </c>
      <c r="F569" s="61">
        <f t="shared" si="49"/>
        <v>32.069763454376357</v>
      </c>
      <c r="G569" s="61">
        <f t="shared" si="50"/>
        <v>248.33932745471458</v>
      </c>
      <c r="H569" s="61">
        <f t="shared" si="48"/>
        <v>1.5128426401289941</v>
      </c>
      <c r="I569" s="28" t="str">
        <f t="shared" si="51"/>
        <v>Normal</v>
      </c>
      <c r="J569" s="49">
        <f t="shared" si="52"/>
        <v>222</v>
      </c>
      <c r="K569" s="49" t="e">
        <f t="shared" si="53"/>
        <v>#N/A</v>
      </c>
    </row>
    <row r="570" spans="1:11">
      <c r="A570" s="74">
        <v>40568</v>
      </c>
      <c r="B570" s="75">
        <v>18</v>
      </c>
      <c r="C570" s="73">
        <v>225</v>
      </c>
      <c r="D570" s="72" cm="1">
        <f t="array" ref="D570">AVERAGE(_xlfn._xlws.FILTER(C:C,B:B=B570))</f>
        <v>122.86046511627907</v>
      </c>
      <c r="E570" s="61" cm="1">
        <f t="array" ref="E570">_xlfn.STDEV.S(_xlfn._xlws.FILTER(C:C,B:B=B570))</f>
        <v>48.613432101949932</v>
      </c>
      <c r="F570" s="61">
        <f t="shared" si="49"/>
        <v>25.633600912379208</v>
      </c>
      <c r="G570" s="61">
        <f t="shared" si="50"/>
        <v>220.08732932017892</v>
      </c>
      <c r="H570" s="61">
        <f t="shared" si="48"/>
        <v>2.1010558289634527</v>
      </c>
      <c r="I570" s="28" t="str">
        <f t="shared" si="51"/>
        <v>High Anomaly</v>
      </c>
      <c r="J570" s="49" t="e">
        <f t="shared" si="52"/>
        <v>#N/A</v>
      </c>
      <c r="K570" s="49">
        <f t="shared" si="53"/>
        <v>225</v>
      </c>
    </row>
    <row r="571" spans="1:11">
      <c r="A571" s="74">
        <v>40568</v>
      </c>
      <c r="B571" s="75">
        <v>19</v>
      </c>
      <c r="C571" s="73">
        <v>146</v>
      </c>
      <c r="D571" s="72" cm="1">
        <f t="array" ref="D571">AVERAGE(_xlfn._xlws.FILTER(C:C,B:B=B571))</f>
        <v>85.139534883720927</v>
      </c>
      <c r="E571" s="61" cm="1">
        <f t="array" ref="E571">_xlfn.STDEV.S(_xlfn._xlws.FILTER(C:C,B:B=B571))</f>
        <v>31.690904054294752</v>
      </c>
      <c r="F571" s="61">
        <f t="shared" si="49"/>
        <v>21.757726775131424</v>
      </c>
      <c r="G571" s="61">
        <f t="shared" si="50"/>
        <v>148.52134299231042</v>
      </c>
      <c r="H571" s="61">
        <f t="shared" si="48"/>
        <v>1.920439537225233</v>
      </c>
      <c r="I571" s="28" t="str">
        <f t="shared" si="51"/>
        <v>Normal</v>
      </c>
      <c r="J571" s="49">
        <f t="shared" si="52"/>
        <v>146</v>
      </c>
      <c r="K571" s="49" t="e">
        <f t="shared" si="53"/>
        <v>#N/A</v>
      </c>
    </row>
    <row r="572" spans="1:11">
      <c r="A572" s="74">
        <v>40568</v>
      </c>
      <c r="B572" s="75">
        <v>20</v>
      </c>
      <c r="C572" s="73">
        <v>119</v>
      </c>
      <c r="D572" s="72" cm="1">
        <f t="array" ref="D572">AVERAGE(_xlfn._xlws.FILTER(C:C,B:B=B572))</f>
        <v>61.767441860465119</v>
      </c>
      <c r="E572" s="61" cm="1">
        <f t="array" ref="E572">_xlfn.STDEV.S(_xlfn._xlws.FILTER(C:C,B:B=B572))</f>
        <v>24.632380169685593</v>
      </c>
      <c r="F572" s="61">
        <f t="shared" si="49"/>
        <v>12.502681521093933</v>
      </c>
      <c r="G572" s="61">
        <f t="shared" si="50"/>
        <v>111.03220219983631</v>
      </c>
      <c r="H572" s="61">
        <f t="shared" si="48"/>
        <v>2.3234684486548094</v>
      </c>
      <c r="I572" s="28" t="str">
        <f t="shared" si="51"/>
        <v>High Anomaly</v>
      </c>
      <c r="J572" s="49" t="e">
        <f t="shared" si="52"/>
        <v>#N/A</v>
      </c>
      <c r="K572" s="49">
        <f t="shared" si="53"/>
        <v>119</v>
      </c>
    </row>
    <row r="573" spans="1:11">
      <c r="A573" s="74">
        <v>40568</v>
      </c>
      <c r="B573" s="75">
        <v>21</v>
      </c>
      <c r="C573" s="73">
        <v>45</v>
      </c>
      <c r="D573" s="72" cm="1">
        <f t="array" ref="D573">AVERAGE(_xlfn._xlws.FILTER(C:C,B:B=B573))</f>
        <v>46.418604651162788</v>
      </c>
      <c r="E573" s="61" cm="1">
        <f t="array" ref="E573">_xlfn.STDEV.S(_xlfn._xlws.FILTER(C:C,B:B=B573))</f>
        <v>14.656759464719496</v>
      </c>
      <c r="F573" s="61">
        <f t="shared" si="49"/>
        <v>17.105085721723796</v>
      </c>
      <c r="G573" s="61">
        <f t="shared" si="50"/>
        <v>75.73212358060178</v>
      </c>
      <c r="H573" s="61">
        <f t="shared" si="48"/>
        <v>-9.6788424110904756E-2</v>
      </c>
      <c r="I573" s="28" t="str">
        <f t="shared" si="51"/>
        <v>Normal</v>
      </c>
      <c r="J573" s="49">
        <f t="shared" si="52"/>
        <v>45</v>
      </c>
      <c r="K573" s="49" t="e">
        <f t="shared" si="53"/>
        <v>#N/A</v>
      </c>
    </row>
    <row r="574" spans="1:11">
      <c r="A574" s="74">
        <v>40568</v>
      </c>
      <c r="B574" s="75">
        <v>22</v>
      </c>
      <c r="C574" s="73">
        <v>53</v>
      </c>
      <c r="D574" s="72" cm="1">
        <f t="array" ref="D574">AVERAGE(_xlfn._xlws.FILTER(C:C,B:B=B574))</f>
        <v>35.069767441860463</v>
      </c>
      <c r="E574" s="61" cm="1">
        <f t="array" ref="E574">_xlfn.STDEV.S(_xlfn._xlws.FILTER(C:C,B:B=B574))</f>
        <v>11.95506537162667</v>
      </c>
      <c r="F574" s="61">
        <f t="shared" si="49"/>
        <v>11.159636698607123</v>
      </c>
      <c r="G574" s="61">
        <f t="shared" si="50"/>
        <v>58.979898185113804</v>
      </c>
      <c r="H574" s="61">
        <f t="shared" si="48"/>
        <v>1.4998021341392174</v>
      </c>
      <c r="I574" s="28" t="str">
        <f t="shared" si="51"/>
        <v>Normal</v>
      </c>
      <c r="J574" s="49">
        <f t="shared" si="52"/>
        <v>53</v>
      </c>
      <c r="K574" s="49" t="e">
        <f t="shared" si="53"/>
        <v>#N/A</v>
      </c>
    </row>
    <row r="575" spans="1:11">
      <c r="A575" s="74">
        <v>40568</v>
      </c>
      <c r="B575" s="75">
        <v>23</v>
      </c>
      <c r="C575" s="73">
        <v>40</v>
      </c>
      <c r="D575" s="72" cm="1">
        <f t="array" ref="D575">AVERAGE(_xlfn._xlws.FILTER(C:C,B:B=B575))</f>
        <v>25.186046511627907</v>
      </c>
      <c r="E575" s="61" cm="1">
        <f t="array" ref="E575">_xlfn.STDEV.S(_xlfn._xlws.FILTER(C:C,B:B=B575))</f>
        <v>11.751911321656188</v>
      </c>
      <c r="F575" s="61">
        <f t="shared" si="49"/>
        <v>1.6822238683155319</v>
      </c>
      <c r="G575" s="61">
        <f t="shared" si="50"/>
        <v>48.689869154940283</v>
      </c>
      <c r="H575" s="61">
        <f t="shared" si="48"/>
        <v>1.2605569496659863</v>
      </c>
      <c r="I575" s="28" t="str">
        <f t="shared" si="51"/>
        <v>Normal</v>
      </c>
      <c r="J575" s="49">
        <f t="shared" si="52"/>
        <v>40</v>
      </c>
      <c r="K575" s="49" t="e">
        <f t="shared" si="53"/>
        <v>#N/A</v>
      </c>
    </row>
    <row r="576" spans="1:11">
      <c r="A576" s="74">
        <v>40569</v>
      </c>
      <c r="B576" s="75">
        <v>0</v>
      </c>
      <c r="C576" s="73">
        <v>17</v>
      </c>
      <c r="D576" s="72" cm="1">
        <f t="array" ref="D576">AVERAGE(_xlfn._xlws.FILTER(C:C,B:B=B576))</f>
        <v>16.348837209302324</v>
      </c>
      <c r="E576" s="61" cm="1">
        <f t="array" ref="E576">_xlfn.STDEV.S(_xlfn._xlws.FILTER(C:C,B:B=B576))</f>
        <v>10.44232167427621</v>
      </c>
      <c r="F576" s="61">
        <f t="shared" si="49"/>
        <v>-4.535806139250095</v>
      </c>
      <c r="G576" s="61">
        <f t="shared" si="50"/>
        <v>37.233480557854747</v>
      </c>
      <c r="H576" s="61">
        <f t="shared" si="48"/>
        <v>6.2358047473461853E-2</v>
      </c>
      <c r="I576" s="28" t="str">
        <f t="shared" si="51"/>
        <v>Normal</v>
      </c>
      <c r="J576" s="49">
        <f t="shared" si="52"/>
        <v>17</v>
      </c>
      <c r="K576" s="49" t="e">
        <f t="shared" si="53"/>
        <v>#N/A</v>
      </c>
    </row>
    <row r="577" spans="1:11">
      <c r="A577" s="74">
        <v>40569</v>
      </c>
      <c r="B577" s="75">
        <v>1</v>
      </c>
      <c r="C577" s="73">
        <v>5</v>
      </c>
      <c r="D577" s="72" cm="1">
        <f t="array" ref="D577">AVERAGE(_xlfn._xlws.FILTER(C:C,B:B=B577))</f>
        <v>10.697674418604651</v>
      </c>
      <c r="E577" s="61" cm="1">
        <f t="array" ref="E577">_xlfn.STDEV.S(_xlfn._xlws.FILTER(C:C,B:B=B577))</f>
        <v>10.060613641515801</v>
      </c>
      <c r="F577" s="61">
        <f t="shared" si="49"/>
        <v>-9.4235528644269504</v>
      </c>
      <c r="G577" s="61">
        <f t="shared" si="50"/>
        <v>30.81890170163625</v>
      </c>
      <c r="H577" s="61">
        <f t="shared" si="48"/>
        <v>-0.56633468112648844</v>
      </c>
      <c r="I577" s="28" t="str">
        <f t="shared" si="51"/>
        <v>Normal</v>
      </c>
      <c r="J577" s="49">
        <f t="shared" si="52"/>
        <v>5</v>
      </c>
      <c r="K577" s="49" t="e">
        <f t="shared" si="53"/>
        <v>#N/A</v>
      </c>
    </row>
    <row r="578" spans="1:11">
      <c r="A578" s="74">
        <v>40569</v>
      </c>
      <c r="B578" s="75">
        <v>2</v>
      </c>
      <c r="C578" s="73">
        <v>10</v>
      </c>
      <c r="D578" s="72" cm="1">
        <f t="array" ref="D578">AVERAGE(_xlfn._xlws.FILTER(C:C,B:B=B578))</f>
        <v>7.1707317073170733</v>
      </c>
      <c r="E578" s="61" cm="1">
        <f t="array" ref="E578">_xlfn.STDEV.S(_xlfn._xlws.FILTER(C:C,B:B=B578))</f>
        <v>7.3685223723090854</v>
      </c>
      <c r="F578" s="61">
        <f t="shared" si="49"/>
        <v>-7.5663130373010974</v>
      </c>
      <c r="G578" s="61">
        <f t="shared" si="50"/>
        <v>21.907776451935245</v>
      </c>
      <c r="H578" s="61">
        <f t="shared" si="48"/>
        <v>0.38396684568880729</v>
      </c>
      <c r="I578" s="28" t="str">
        <f t="shared" si="51"/>
        <v>Normal</v>
      </c>
      <c r="J578" s="49">
        <f t="shared" si="52"/>
        <v>10</v>
      </c>
      <c r="K578" s="49" t="e">
        <f t="shared" si="53"/>
        <v>#N/A</v>
      </c>
    </row>
    <row r="579" spans="1:11">
      <c r="A579" s="74">
        <v>40569</v>
      </c>
      <c r="B579" s="75">
        <v>5</v>
      </c>
      <c r="C579" s="73">
        <v>1</v>
      </c>
      <c r="D579" s="72" cm="1">
        <f t="array" ref="D579">AVERAGE(_xlfn._xlws.FILTER(C:C,B:B=B579))</f>
        <v>4.2051282051282053</v>
      </c>
      <c r="E579" s="61" cm="1">
        <f t="array" ref="E579">_xlfn.STDEV.S(_xlfn._xlws.FILTER(C:C,B:B=B579))</f>
        <v>2.5358429220352288</v>
      </c>
      <c r="F579" s="61">
        <f t="shared" si="49"/>
        <v>-0.86655763894225224</v>
      </c>
      <c r="G579" s="61">
        <f t="shared" si="50"/>
        <v>9.2768140491986628</v>
      </c>
      <c r="H579" s="61">
        <f t="shared" si="48"/>
        <v>-1.2639301027982515</v>
      </c>
      <c r="I579" s="28" t="str">
        <f t="shared" si="51"/>
        <v>Normal</v>
      </c>
      <c r="J579" s="49">
        <f t="shared" si="52"/>
        <v>1</v>
      </c>
      <c r="K579" s="49" t="e">
        <f t="shared" si="53"/>
        <v>#N/A</v>
      </c>
    </row>
    <row r="580" spans="1:11">
      <c r="A580" s="74">
        <v>40569</v>
      </c>
      <c r="B580" s="75">
        <v>6</v>
      </c>
      <c r="C580" s="73">
        <v>8</v>
      </c>
      <c r="D580" s="72" cm="1">
        <f t="array" ref="D580">AVERAGE(_xlfn._xlws.FILTER(C:C,B:B=B580))</f>
        <v>19.571428571428573</v>
      </c>
      <c r="E580" s="61" cm="1">
        <f t="array" ref="E580">_xlfn.STDEV.S(_xlfn._xlws.FILTER(C:C,B:B=B580))</f>
        <v>14.202615453298934</v>
      </c>
      <c r="F580" s="61">
        <f t="shared" si="49"/>
        <v>-8.8338023351692954</v>
      </c>
      <c r="G580" s="61">
        <f t="shared" si="50"/>
        <v>47.976659478026441</v>
      </c>
      <c r="H580" s="61">
        <f t="shared" si="48"/>
        <v>-0.81473927175440086</v>
      </c>
      <c r="I580" s="28" t="str">
        <f t="shared" si="51"/>
        <v>Normal</v>
      </c>
      <c r="J580" s="49">
        <f t="shared" si="52"/>
        <v>8</v>
      </c>
      <c r="K580" s="49" t="e">
        <f t="shared" si="53"/>
        <v>#N/A</v>
      </c>
    </row>
    <row r="581" spans="1:11">
      <c r="A581" s="74">
        <v>40569</v>
      </c>
      <c r="B581" s="75">
        <v>7</v>
      </c>
      <c r="C581" s="73">
        <v>30</v>
      </c>
      <c r="D581" s="72" cm="1">
        <f t="array" ref="D581">AVERAGE(_xlfn._xlws.FILTER(C:C,B:B=B581))</f>
        <v>54.395348837209305</v>
      </c>
      <c r="E581" s="61" cm="1">
        <f t="array" ref="E581">_xlfn.STDEV.S(_xlfn._xlws.FILTER(C:C,B:B=B581))</f>
        <v>39.112864486352777</v>
      </c>
      <c r="F581" s="61">
        <f t="shared" si="49"/>
        <v>-23.830380135496249</v>
      </c>
      <c r="G581" s="61">
        <f t="shared" si="50"/>
        <v>132.62107780991485</v>
      </c>
      <c r="H581" s="61">
        <f t="shared" ref="H581:H644" si="54">(C581-D581)/E581</f>
        <v>-0.62371675298088447</v>
      </c>
      <c r="I581" s="28" t="str">
        <f t="shared" si="51"/>
        <v>Normal</v>
      </c>
      <c r="J581" s="49">
        <f t="shared" si="52"/>
        <v>30</v>
      </c>
      <c r="K581" s="49" t="e">
        <f t="shared" si="53"/>
        <v>#N/A</v>
      </c>
    </row>
    <row r="582" spans="1:11">
      <c r="A582" s="74">
        <v>40569</v>
      </c>
      <c r="B582" s="75">
        <v>8</v>
      </c>
      <c r="C582" s="73">
        <v>72</v>
      </c>
      <c r="D582" s="72" cm="1">
        <f t="array" ref="D582">AVERAGE(_xlfn._xlws.FILTER(C:C,B:B=B582))</f>
        <v>128.28571428571428</v>
      </c>
      <c r="E582" s="61" cm="1">
        <f t="array" ref="E582">_xlfn.STDEV.S(_xlfn._xlws.FILTER(C:C,B:B=B582))</f>
        <v>88.551565717048547</v>
      </c>
      <c r="F582" s="61">
        <f t="shared" ref="F582:F645" si="55">D582-(2*E582)</f>
        <v>-48.817417148382816</v>
      </c>
      <c r="G582" s="61">
        <f t="shared" ref="G582:G645" si="56">D582+(2*E582)</f>
        <v>305.38884571981134</v>
      </c>
      <c r="H582" s="61">
        <f t="shared" si="54"/>
        <v>-0.63562641529756458</v>
      </c>
      <c r="I582" s="28" t="str">
        <f t="shared" ref="I582:I645" si="57">IF(H582&gt;=2,"High Anomaly",IF(H582&lt;=-2,"Low Anomaly","Normal"))</f>
        <v>Normal</v>
      </c>
      <c r="J582" s="49">
        <f t="shared" ref="J582:J645" si="58">IF(I582="Normal",C582,NA())</f>
        <v>72</v>
      </c>
      <c r="K582" s="49" t="e">
        <f t="shared" ref="K582:K645" si="59">IF(I582&lt;&gt;"Normal",C582,NA())</f>
        <v>#N/A</v>
      </c>
    </row>
    <row r="583" spans="1:11">
      <c r="A583" s="74">
        <v>40569</v>
      </c>
      <c r="B583" s="75">
        <v>9</v>
      </c>
      <c r="C583" s="73">
        <v>58</v>
      </c>
      <c r="D583" s="72" cm="1">
        <f t="array" ref="D583">AVERAGE(_xlfn._xlws.FILTER(C:C,B:B=B583))</f>
        <v>87.428571428571431</v>
      </c>
      <c r="E583" s="61" cm="1">
        <f t="array" ref="E583">_xlfn.STDEV.S(_xlfn._xlws.FILTER(C:C,B:B=B583))</f>
        <v>45.93852884078624</v>
      </c>
      <c r="F583" s="61">
        <f t="shared" si="55"/>
        <v>-4.4484862530010503</v>
      </c>
      <c r="G583" s="61">
        <f t="shared" si="56"/>
        <v>179.30562911014391</v>
      </c>
      <c r="H583" s="61">
        <f t="shared" si="54"/>
        <v>-0.64060761568061919</v>
      </c>
      <c r="I583" s="28" t="str">
        <f t="shared" si="57"/>
        <v>Normal</v>
      </c>
      <c r="J583" s="49">
        <f t="shared" si="58"/>
        <v>58</v>
      </c>
      <c r="K583" s="49" t="e">
        <f t="shared" si="59"/>
        <v>#N/A</v>
      </c>
    </row>
    <row r="584" spans="1:11">
      <c r="A584" s="74">
        <v>40569</v>
      </c>
      <c r="B584" s="75">
        <v>10</v>
      </c>
      <c r="C584" s="73">
        <v>28</v>
      </c>
      <c r="D584" s="72" cm="1">
        <f t="array" ref="D584">AVERAGE(_xlfn._xlws.FILTER(C:C,B:B=B584))</f>
        <v>53.642857142857146</v>
      </c>
      <c r="E584" s="61" cm="1">
        <f t="array" ref="E584">_xlfn.STDEV.S(_xlfn._xlws.FILTER(C:C,B:B=B584))</f>
        <v>15.395313554536934</v>
      </c>
      <c r="F584" s="61">
        <f t="shared" si="55"/>
        <v>22.852230033783279</v>
      </c>
      <c r="G584" s="61">
        <f t="shared" si="56"/>
        <v>84.43348425193102</v>
      </c>
      <c r="H584" s="61">
        <f t="shared" si="54"/>
        <v>-1.6656274685162424</v>
      </c>
      <c r="I584" s="28" t="str">
        <f t="shared" si="57"/>
        <v>Normal</v>
      </c>
      <c r="J584" s="49">
        <f t="shared" si="58"/>
        <v>28</v>
      </c>
      <c r="K584" s="49" t="e">
        <f t="shared" si="59"/>
        <v>#N/A</v>
      </c>
    </row>
    <row r="585" spans="1:11">
      <c r="A585" s="74">
        <v>40569</v>
      </c>
      <c r="B585" s="75">
        <v>11</v>
      </c>
      <c r="C585" s="73">
        <v>41</v>
      </c>
      <c r="D585" s="72" cm="1">
        <f t="array" ref="D585">AVERAGE(_xlfn._xlws.FILTER(C:C,B:B=B585))</f>
        <v>59.38095238095238</v>
      </c>
      <c r="E585" s="61" cm="1">
        <f t="array" ref="E585">_xlfn.STDEV.S(_xlfn._xlws.FILTER(C:C,B:B=B585))</f>
        <v>20.89573696860419</v>
      </c>
      <c r="F585" s="61">
        <f t="shared" si="55"/>
        <v>17.589478443743999</v>
      </c>
      <c r="G585" s="61">
        <f t="shared" si="56"/>
        <v>101.17242631816076</v>
      </c>
      <c r="H585" s="61">
        <f t="shared" si="54"/>
        <v>-0.87965083062491312</v>
      </c>
      <c r="I585" s="28" t="str">
        <f t="shared" si="57"/>
        <v>Normal</v>
      </c>
      <c r="J585" s="49">
        <f t="shared" si="58"/>
        <v>41</v>
      </c>
      <c r="K585" s="49" t="e">
        <f t="shared" si="59"/>
        <v>#N/A</v>
      </c>
    </row>
    <row r="586" spans="1:11">
      <c r="A586" s="74">
        <v>40569</v>
      </c>
      <c r="B586" s="75">
        <v>12</v>
      </c>
      <c r="C586" s="73">
        <v>48</v>
      </c>
      <c r="D586" s="72" cm="1">
        <f t="array" ref="D586">AVERAGE(_xlfn._xlws.FILTER(C:C,B:B=B586))</f>
        <v>76.348837209302332</v>
      </c>
      <c r="E586" s="61" cm="1">
        <f t="array" ref="E586">_xlfn.STDEV.S(_xlfn._xlws.FILTER(C:C,B:B=B586))</f>
        <v>29.034366927857054</v>
      </c>
      <c r="F586" s="61">
        <f t="shared" si="55"/>
        <v>18.280103353588224</v>
      </c>
      <c r="G586" s="61">
        <f t="shared" si="56"/>
        <v>134.41757106501643</v>
      </c>
      <c r="H586" s="61">
        <f t="shared" si="54"/>
        <v>-0.97638902476303036</v>
      </c>
      <c r="I586" s="28" t="str">
        <f t="shared" si="57"/>
        <v>Normal</v>
      </c>
      <c r="J586" s="49">
        <f t="shared" si="58"/>
        <v>48</v>
      </c>
      <c r="K586" s="49" t="e">
        <f t="shared" si="59"/>
        <v>#N/A</v>
      </c>
    </row>
    <row r="587" spans="1:11">
      <c r="A587" s="74">
        <v>40569</v>
      </c>
      <c r="B587" s="75">
        <v>13</v>
      </c>
      <c r="C587" s="73">
        <v>47</v>
      </c>
      <c r="D587" s="72" cm="1">
        <f t="array" ref="D587">AVERAGE(_xlfn._xlws.FILTER(C:C,B:B=B587))</f>
        <v>78.511627906976742</v>
      </c>
      <c r="E587" s="61" cm="1">
        <f t="array" ref="E587">_xlfn.STDEV.S(_xlfn._xlws.FILTER(C:C,B:B=B587))</f>
        <v>30.072430098825187</v>
      </c>
      <c r="F587" s="61">
        <f t="shared" si="55"/>
        <v>18.366767709326368</v>
      </c>
      <c r="G587" s="61">
        <f t="shared" si="56"/>
        <v>138.6564881046271</v>
      </c>
      <c r="H587" s="61">
        <f t="shared" si="54"/>
        <v>-1.0478577156359499</v>
      </c>
      <c r="I587" s="28" t="str">
        <f t="shared" si="57"/>
        <v>Normal</v>
      </c>
      <c r="J587" s="49">
        <f t="shared" si="58"/>
        <v>47</v>
      </c>
      <c r="K587" s="49" t="e">
        <f t="shared" si="59"/>
        <v>#N/A</v>
      </c>
    </row>
    <row r="588" spans="1:11">
      <c r="A588" s="74">
        <v>40569</v>
      </c>
      <c r="B588" s="75">
        <v>14</v>
      </c>
      <c r="C588" s="73">
        <v>36</v>
      </c>
      <c r="D588" s="72" cm="1">
        <f t="array" ref="D588">AVERAGE(_xlfn._xlws.FILTER(C:C,B:B=B588))</f>
        <v>74.418604651162795</v>
      </c>
      <c r="E588" s="61" cm="1">
        <f t="array" ref="E588">_xlfn.STDEV.S(_xlfn._xlws.FILTER(C:C,B:B=B588))</f>
        <v>30.30576918056515</v>
      </c>
      <c r="F588" s="61">
        <f t="shared" si="55"/>
        <v>13.807066290032495</v>
      </c>
      <c r="G588" s="61">
        <f t="shared" si="56"/>
        <v>135.03014301229308</v>
      </c>
      <c r="H588" s="61">
        <f t="shared" si="54"/>
        <v>-1.2676993750681749</v>
      </c>
      <c r="I588" s="28" t="str">
        <f t="shared" si="57"/>
        <v>Normal</v>
      </c>
      <c r="J588" s="49">
        <f t="shared" si="58"/>
        <v>36</v>
      </c>
      <c r="K588" s="49" t="e">
        <f t="shared" si="59"/>
        <v>#N/A</v>
      </c>
    </row>
    <row r="589" spans="1:11">
      <c r="A589" s="74">
        <v>40569</v>
      </c>
      <c r="B589" s="75">
        <v>15</v>
      </c>
      <c r="C589" s="73">
        <v>43</v>
      </c>
      <c r="D589" s="72" cm="1">
        <f t="array" ref="D589">AVERAGE(_xlfn._xlws.FILTER(C:C,B:B=B589))</f>
        <v>77.95348837209302</v>
      </c>
      <c r="E589" s="61" cm="1">
        <f t="array" ref="E589">_xlfn.STDEV.S(_xlfn._xlws.FILTER(C:C,B:B=B589))</f>
        <v>34.481156681772681</v>
      </c>
      <c r="F589" s="61">
        <f t="shared" si="55"/>
        <v>8.9911750085476569</v>
      </c>
      <c r="G589" s="61">
        <f t="shared" si="56"/>
        <v>146.91580173563838</v>
      </c>
      <c r="H589" s="61">
        <f t="shared" si="54"/>
        <v>-1.0136982553885734</v>
      </c>
      <c r="I589" s="28" t="str">
        <f t="shared" si="57"/>
        <v>Normal</v>
      </c>
      <c r="J589" s="49">
        <f t="shared" si="58"/>
        <v>43</v>
      </c>
      <c r="K589" s="49" t="e">
        <f t="shared" si="59"/>
        <v>#N/A</v>
      </c>
    </row>
    <row r="590" spans="1:11">
      <c r="A590" s="74">
        <v>40569</v>
      </c>
      <c r="B590" s="75">
        <v>16</v>
      </c>
      <c r="C590" s="73">
        <v>36</v>
      </c>
      <c r="D590" s="72" cm="1">
        <f t="array" ref="D590">AVERAGE(_xlfn._xlws.FILTER(C:C,B:B=B590))</f>
        <v>89.272727272727266</v>
      </c>
      <c r="E590" s="61" cm="1">
        <f t="array" ref="E590">_xlfn.STDEV.S(_xlfn._xlws.FILTER(C:C,B:B=B590))</f>
        <v>25.461657115880758</v>
      </c>
      <c r="F590" s="61">
        <f t="shared" si="55"/>
        <v>38.34941304096575</v>
      </c>
      <c r="G590" s="61">
        <f t="shared" si="56"/>
        <v>140.19604150448879</v>
      </c>
      <c r="H590" s="61">
        <f t="shared" si="54"/>
        <v>-2.0922725897325982</v>
      </c>
      <c r="I590" s="28" t="str">
        <f t="shared" si="57"/>
        <v>Low Anomaly</v>
      </c>
      <c r="J590" s="49" t="e">
        <f t="shared" si="58"/>
        <v>#N/A</v>
      </c>
      <c r="K590" s="49">
        <f t="shared" si="59"/>
        <v>36</v>
      </c>
    </row>
    <row r="591" spans="1:11">
      <c r="A591" s="74">
        <v>40569</v>
      </c>
      <c r="B591" s="75">
        <v>17</v>
      </c>
      <c r="C591" s="73">
        <v>26</v>
      </c>
      <c r="D591" s="72" cm="1">
        <f t="array" ref="D591">AVERAGE(_xlfn._xlws.FILTER(C:C,B:B=B591))</f>
        <v>140.20454545454547</v>
      </c>
      <c r="E591" s="61" cm="1">
        <f t="array" ref="E591">_xlfn.STDEV.S(_xlfn._xlws.FILTER(C:C,B:B=B591))</f>
        <v>54.067391000084555</v>
      </c>
      <c r="F591" s="61">
        <f t="shared" si="55"/>
        <v>32.069763454376357</v>
      </c>
      <c r="G591" s="61">
        <f t="shared" si="56"/>
        <v>248.33932745471458</v>
      </c>
      <c r="H591" s="61">
        <f t="shared" si="54"/>
        <v>-2.1122629248814109</v>
      </c>
      <c r="I591" s="28" t="str">
        <f t="shared" si="57"/>
        <v>Low Anomaly</v>
      </c>
      <c r="J591" s="49" t="e">
        <f t="shared" si="58"/>
        <v>#N/A</v>
      </c>
      <c r="K591" s="49">
        <f t="shared" si="59"/>
        <v>26</v>
      </c>
    </row>
    <row r="592" spans="1:11">
      <c r="A592" s="74">
        <v>40570</v>
      </c>
      <c r="B592" s="75">
        <v>16</v>
      </c>
      <c r="C592" s="73">
        <v>24</v>
      </c>
      <c r="D592" s="72" cm="1">
        <f t="array" ref="D592">AVERAGE(_xlfn._xlws.FILTER(C:C,B:B=B592))</f>
        <v>89.272727272727266</v>
      </c>
      <c r="E592" s="61" cm="1">
        <f t="array" ref="E592">_xlfn.STDEV.S(_xlfn._xlws.FILTER(C:C,B:B=B592))</f>
        <v>25.461657115880758</v>
      </c>
      <c r="F592" s="61">
        <f t="shared" si="55"/>
        <v>38.34941304096575</v>
      </c>
      <c r="G592" s="61">
        <f t="shared" si="56"/>
        <v>140.19604150448879</v>
      </c>
      <c r="H592" s="61">
        <f t="shared" si="54"/>
        <v>-2.5635694870785075</v>
      </c>
      <c r="I592" s="28" t="str">
        <f t="shared" si="57"/>
        <v>Low Anomaly</v>
      </c>
      <c r="J592" s="49" t="e">
        <f t="shared" si="58"/>
        <v>#N/A</v>
      </c>
      <c r="K592" s="49">
        <f t="shared" si="59"/>
        <v>24</v>
      </c>
    </row>
    <row r="593" spans="1:11">
      <c r="A593" s="74">
        <v>40570</v>
      </c>
      <c r="B593" s="75">
        <v>17</v>
      </c>
      <c r="C593" s="73">
        <v>84</v>
      </c>
      <c r="D593" s="72" cm="1">
        <f t="array" ref="D593">AVERAGE(_xlfn._xlws.FILTER(C:C,B:B=B593))</f>
        <v>140.20454545454547</v>
      </c>
      <c r="E593" s="61" cm="1">
        <f t="array" ref="E593">_xlfn.STDEV.S(_xlfn._xlws.FILTER(C:C,B:B=B593))</f>
        <v>54.067391000084555</v>
      </c>
      <c r="F593" s="61">
        <f t="shared" si="55"/>
        <v>32.069763454376357</v>
      </c>
      <c r="G593" s="61">
        <f t="shared" si="56"/>
        <v>248.33932745471458</v>
      </c>
      <c r="H593" s="61">
        <f t="shared" si="54"/>
        <v>-1.0395276046232298</v>
      </c>
      <c r="I593" s="28" t="str">
        <f t="shared" si="57"/>
        <v>Normal</v>
      </c>
      <c r="J593" s="49">
        <f t="shared" si="58"/>
        <v>84</v>
      </c>
      <c r="K593" s="49" t="e">
        <f t="shared" si="59"/>
        <v>#N/A</v>
      </c>
    </row>
    <row r="594" spans="1:11">
      <c r="A594" s="74">
        <v>40570</v>
      </c>
      <c r="B594" s="75">
        <v>18</v>
      </c>
      <c r="C594" s="73">
        <v>104</v>
      </c>
      <c r="D594" s="72" cm="1">
        <f t="array" ref="D594">AVERAGE(_xlfn._xlws.FILTER(C:C,B:B=B594))</f>
        <v>122.86046511627907</v>
      </c>
      <c r="E594" s="61" cm="1">
        <f t="array" ref="E594">_xlfn.STDEV.S(_xlfn._xlws.FILTER(C:C,B:B=B594))</f>
        <v>48.613432101949932</v>
      </c>
      <c r="F594" s="61">
        <f t="shared" si="55"/>
        <v>25.633600912379208</v>
      </c>
      <c r="G594" s="61">
        <f t="shared" si="56"/>
        <v>220.08732932017892</v>
      </c>
      <c r="H594" s="61">
        <f t="shared" si="54"/>
        <v>-0.38796818699666674</v>
      </c>
      <c r="I594" s="28" t="str">
        <f t="shared" si="57"/>
        <v>Normal</v>
      </c>
      <c r="J594" s="49">
        <f t="shared" si="58"/>
        <v>104</v>
      </c>
      <c r="K594" s="49" t="e">
        <f t="shared" si="59"/>
        <v>#N/A</v>
      </c>
    </row>
    <row r="595" spans="1:11">
      <c r="A595" s="74">
        <v>40570</v>
      </c>
      <c r="B595" s="75">
        <v>19</v>
      </c>
      <c r="C595" s="73">
        <v>79</v>
      </c>
      <c r="D595" s="72" cm="1">
        <f t="array" ref="D595">AVERAGE(_xlfn._xlws.FILTER(C:C,B:B=B595))</f>
        <v>85.139534883720927</v>
      </c>
      <c r="E595" s="61" cm="1">
        <f t="array" ref="E595">_xlfn.STDEV.S(_xlfn._xlws.FILTER(C:C,B:B=B595))</f>
        <v>31.690904054294752</v>
      </c>
      <c r="F595" s="61">
        <f t="shared" si="55"/>
        <v>21.757726775131424</v>
      </c>
      <c r="G595" s="61">
        <f t="shared" si="56"/>
        <v>148.52134299231042</v>
      </c>
      <c r="H595" s="61">
        <f t="shared" si="54"/>
        <v>-0.19373176837121178</v>
      </c>
      <c r="I595" s="28" t="str">
        <f t="shared" si="57"/>
        <v>Normal</v>
      </c>
      <c r="J595" s="49">
        <f t="shared" si="58"/>
        <v>79</v>
      </c>
      <c r="K595" s="49" t="e">
        <f t="shared" si="59"/>
        <v>#N/A</v>
      </c>
    </row>
    <row r="596" spans="1:11">
      <c r="A596" s="74">
        <v>40570</v>
      </c>
      <c r="B596" s="75">
        <v>20</v>
      </c>
      <c r="C596" s="73">
        <v>59</v>
      </c>
      <c r="D596" s="72" cm="1">
        <f t="array" ref="D596">AVERAGE(_xlfn._xlws.FILTER(C:C,B:B=B596))</f>
        <v>61.767441860465119</v>
      </c>
      <c r="E596" s="61" cm="1">
        <f t="array" ref="E596">_xlfn.STDEV.S(_xlfn._xlws.FILTER(C:C,B:B=B596))</f>
        <v>24.632380169685593</v>
      </c>
      <c r="F596" s="61">
        <f t="shared" si="55"/>
        <v>12.502681521093933</v>
      </c>
      <c r="G596" s="61">
        <f t="shared" si="56"/>
        <v>111.03220219983631</v>
      </c>
      <c r="H596" s="61">
        <f t="shared" si="54"/>
        <v>-0.11234975432341433</v>
      </c>
      <c r="I596" s="28" t="str">
        <f t="shared" si="57"/>
        <v>Normal</v>
      </c>
      <c r="J596" s="49">
        <f t="shared" si="58"/>
        <v>59</v>
      </c>
      <c r="K596" s="49" t="e">
        <f t="shared" si="59"/>
        <v>#N/A</v>
      </c>
    </row>
    <row r="597" spans="1:11">
      <c r="A597" s="74">
        <v>40570</v>
      </c>
      <c r="B597" s="75">
        <v>21</v>
      </c>
      <c r="C597" s="73">
        <v>38</v>
      </c>
      <c r="D597" s="72" cm="1">
        <f t="array" ref="D597">AVERAGE(_xlfn._xlws.FILTER(C:C,B:B=B597))</f>
        <v>46.418604651162788</v>
      </c>
      <c r="E597" s="61" cm="1">
        <f t="array" ref="E597">_xlfn.STDEV.S(_xlfn._xlws.FILTER(C:C,B:B=B597))</f>
        <v>14.656759464719496</v>
      </c>
      <c r="F597" s="61">
        <f t="shared" si="55"/>
        <v>17.105085721723796</v>
      </c>
      <c r="G597" s="61">
        <f t="shared" si="56"/>
        <v>75.73212358060178</v>
      </c>
      <c r="H597" s="61">
        <f t="shared" si="54"/>
        <v>-0.5743837627565177</v>
      </c>
      <c r="I597" s="28" t="str">
        <f t="shared" si="57"/>
        <v>Normal</v>
      </c>
      <c r="J597" s="49">
        <f t="shared" si="58"/>
        <v>38</v>
      </c>
      <c r="K597" s="49" t="e">
        <f t="shared" si="59"/>
        <v>#N/A</v>
      </c>
    </row>
    <row r="598" spans="1:11">
      <c r="A598" s="74">
        <v>40570</v>
      </c>
      <c r="B598" s="75">
        <v>22</v>
      </c>
      <c r="C598" s="73">
        <v>27</v>
      </c>
      <c r="D598" s="72" cm="1">
        <f t="array" ref="D598">AVERAGE(_xlfn._xlws.FILTER(C:C,B:B=B598))</f>
        <v>35.069767441860463</v>
      </c>
      <c r="E598" s="61" cm="1">
        <f t="array" ref="E598">_xlfn.STDEV.S(_xlfn._xlws.FILTER(C:C,B:B=B598))</f>
        <v>11.95506537162667</v>
      </c>
      <c r="F598" s="61">
        <f t="shared" si="55"/>
        <v>11.159636698607123</v>
      </c>
      <c r="G598" s="61">
        <f t="shared" si="56"/>
        <v>58.979898185113804</v>
      </c>
      <c r="H598" s="61">
        <f t="shared" si="54"/>
        <v>-0.67500822379547121</v>
      </c>
      <c r="I598" s="28" t="str">
        <f t="shared" si="57"/>
        <v>Normal</v>
      </c>
      <c r="J598" s="49">
        <f t="shared" si="58"/>
        <v>27</v>
      </c>
      <c r="K598" s="49" t="e">
        <f t="shared" si="59"/>
        <v>#N/A</v>
      </c>
    </row>
    <row r="599" spans="1:11">
      <c r="A599" s="74">
        <v>40570</v>
      </c>
      <c r="B599" s="75">
        <v>23</v>
      </c>
      <c r="C599" s="73">
        <v>16</v>
      </c>
      <c r="D599" s="72" cm="1">
        <f t="array" ref="D599">AVERAGE(_xlfn._xlws.FILTER(C:C,B:B=B599))</f>
        <v>25.186046511627907</v>
      </c>
      <c r="E599" s="61" cm="1">
        <f t="array" ref="E599">_xlfn.STDEV.S(_xlfn._xlws.FILTER(C:C,B:B=B599))</f>
        <v>11.751911321656188</v>
      </c>
      <c r="F599" s="61">
        <f t="shared" si="55"/>
        <v>1.6822238683155319</v>
      </c>
      <c r="G599" s="61">
        <f t="shared" si="56"/>
        <v>48.689869154940283</v>
      </c>
      <c r="H599" s="61">
        <f t="shared" si="54"/>
        <v>-0.78166404257152999</v>
      </c>
      <c r="I599" s="28" t="str">
        <f t="shared" si="57"/>
        <v>Normal</v>
      </c>
      <c r="J599" s="49">
        <f t="shared" si="58"/>
        <v>16</v>
      </c>
      <c r="K599" s="49" t="e">
        <f t="shared" si="59"/>
        <v>#N/A</v>
      </c>
    </row>
    <row r="600" spans="1:11">
      <c r="A600" s="74">
        <v>40571</v>
      </c>
      <c r="B600" s="75">
        <v>0</v>
      </c>
      <c r="C600" s="73">
        <v>9</v>
      </c>
      <c r="D600" s="72" cm="1">
        <f t="array" ref="D600">AVERAGE(_xlfn._xlws.FILTER(C:C,B:B=B600))</f>
        <v>16.348837209302324</v>
      </c>
      <c r="E600" s="61" cm="1">
        <f t="array" ref="E600">_xlfn.STDEV.S(_xlfn._xlws.FILTER(C:C,B:B=B600))</f>
        <v>10.44232167427621</v>
      </c>
      <c r="F600" s="61">
        <f t="shared" si="55"/>
        <v>-4.535806139250095</v>
      </c>
      <c r="G600" s="61">
        <f t="shared" si="56"/>
        <v>37.233480557854747</v>
      </c>
      <c r="H600" s="61">
        <f t="shared" si="54"/>
        <v>-0.70375510720049672</v>
      </c>
      <c r="I600" s="28" t="str">
        <f t="shared" si="57"/>
        <v>Normal</v>
      </c>
      <c r="J600" s="49">
        <f t="shared" si="58"/>
        <v>9</v>
      </c>
      <c r="K600" s="49" t="e">
        <f t="shared" si="59"/>
        <v>#N/A</v>
      </c>
    </row>
    <row r="601" spans="1:11">
      <c r="A601" s="74">
        <v>40571</v>
      </c>
      <c r="B601" s="75">
        <v>1</v>
      </c>
      <c r="C601" s="73">
        <v>3</v>
      </c>
      <c r="D601" s="72" cm="1">
        <f t="array" ref="D601">AVERAGE(_xlfn._xlws.FILTER(C:C,B:B=B601))</f>
        <v>10.697674418604651</v>
      </c>
      <c r="E601" s="61" cm="1">
        <f t="array" ref="E601">_xlfn.STDEV.S(_xlfn._xlws.FILTER(C:C,B:B=B601))</f>
        <v>10.060613641515801</v>
      </c>
      <c r="F601" s="61">
        <f t="shared" si="55"/>
        <v>-9.4235528644269504</v>
      </c>
      <c r="G601" s="61">
        <f t="shared" si="56"/>
        <v>30.81890170163625</v>
      </c>
      <c r="H601" s="61">
        <f t="shared" si="54"/>
        <v>-0.76512971205252112</v>
      </c>
      <c r="I601" s="28" t="str">
        <f t="shared" si="57"/>
        <v>Normal</v>
      </c>
      <c r="J601" s="49">
        <f t="shared" si="58"/>
        <v>3</v>
      </c>
      <c r="K601" s="49" t="e">
        <f t="shared" si="59"/>
        <v>#N/A</v>
      </c>
    </row>
    <row r="602" spans="1:11">
      <c r="A602" s="74">
        <v>40571</v>
      </c>
      <c r="B602" s="75">
        <v>2</v>
      </c>
      <c r="C602" s="73">
        <v>2</v>
      </c>
      <c r="D602" s="72" cm="1">
        <f t="array" ref="D602">AVERAGE(_xlfn._xlws.FILTER(C:C,B:B=B602))</f>
        <v>7.1707317073170733</v>
      </c>
      <c r="E602" s="61" cm="1">
        <f t="array" ref="E602">_xlfn.STDEV.S(_xlfn._xlws.FILTER(C:C,B:B=B602))</f>
        <v>7.3685223723090854</v>
      </c>
      <c r="F602" s="61">
        <f t="shared" si="55"/>
        <v>-7.5663130373010974</v>
      </c>
      <c r="G602" s="61">
        <f t="shared" si="56"/>
        <v>21.907776451935245</v>
      </c>
      <c r="H602" s="61">
        <f t="shared" si="54"/>
        <v>-0.70173251108644097</v>
      </c>
      <c r="I602" s="28" t="str">
        <f t="shared" si="57"/>
        <v>Normal</v>
      </c>
      <c r="J602" s="49">
        <f t="shared" si="58"/>
        <v>2</v>
      </c>
      <c r="K602" s="49" t="e">
        <f t="shared" si="59"/>
        <v>#N/A</v>
      </c>
    </row>
    <row r="603" spans="1:11">
      <c r="A603" s="74">
        <v>40571</v>
      </c>
      <c r="B603" s="75">
        <v>3</v>
      </c>
      <c r="C603" s="73">
        <v>1</v>
      </c>
      <c r="D603" s="72" cm="1">
        <f t="array" ref="D603">AVERAGE(_xlfn._xlws.FILTER(C:C,B:B=B603))</f>
        <v>4.870967741935484</v>
      </c>
      <c r="E603" s="61" cm="1">
        <f t="array" ref="E603">_xlfn.STDEV.S(_xlfn._xlws.FILTER(C:C,B:B=B603))</f>
        <v>4.4702120418303126</v>
      </c>
      <c r="F603" s="61">
        <f t="shared" si="55"/>
        <v>-4.0694563417251413</v>
      </c>
      <c r="G603" s="61">
        <f t="shared" si="56"/>
        <v>13.811391825596109</v>
      </c>
      <c r="H603" s="61">
        <f t="shared" si="54"/>
        <v>-0.86594723152115394</v>
      </c>
      <c r="I603" s="28" t="str">
        <f t="shared" si="57"/>
        <v>Normal</v>
      </c>
      <c r="J603" s="49">
        <f t="shared" si="58"/>
        <v>1</v>
      </c>
      <c r="K603" s="49" t="e">
        <f t="shared" si="59"/>
        <v>#N/A</v>
      </c>
    </row>
    <row r="604" spans="1:11">
      <c r="A604" s="74">
        <v>40571</v>
      </c>
      <c r="B604" s="75">
        <v>5</v>
      </c>
      <c r="C604" s="73">
        <v>4</v>
      </c>
      <c r="D604" s="72" cm="1">
        <f t="array" ref="D604">AVERAGE(_xlfn._xlws.FILTER(C:C,B:B=B604))</f>
        <v>4.2051282051282053</v>
      </c>
      <c r="E604" s="61" cm="1">
        <f t="array" ref="E604">_xlfn.STDEV.S(_xlfn._xlws.FILTER(C:C,B:B=B604))</f>
        <v>2.5358429220352288</v>
      </c>
      <c r="F604" s="61">
        <f t="shared" si="55"/>
        <v>-0.86655763894225224</v>
      </c>
      <c r="G604" s="61">
        <f t="shared" si="56"/>
        <v>9.2768140491986628</v>
      </c>
      <c r="H604" s="61">
        <f t="shared" si="54"/>
        <v>-8.0891526579088158E-2</v>
      </c>
      <c r="I604" s="28" t="str">
        <f t="shared" si="57"/>
        <v>Normal</v>
      </c>
      <c r="J604" s="49">
        <f t="shared" si="58"/>
        <v>4</v>
      </c>
      <c r="K604" s="49" t="e">
        <f t="shared" si="59"/>
        <v>#N/A</v>
      </c>
    </row>
    <row r="605" spans="1:11">
      <c r="A605" s="74">
        <v>40571</v>
      </c>
      <c r="B605" s="75">
        <v>6</v>
      </c>
      <c r="C605" s="73">
        <v>16</v>
      </c>
      <c r="D605" s="72" cm="1">
        <f t="array" ref="D605">AVERAGE(_xlfn._xlws.FILTER(C:C,B:B=B605))</f>
        <v>19.571428571428573</v>
      </c>
      <c r="E605" s="61" cm="1">
        <f t="array" ref="E605">_xlfn.STDEV.S(_xlfn._xlws.FILTER(C:C,B:B=B605))</f>
        <v>14.202615453298934</v>
      </c>
      <c r="F605" s="61">
        <f t="shared" si="55"/>
        <v>-8.8338023351692954</v>
      </c>
      <c r="G605" s="61">
        <f t="shared" si="56"/>
        <v>47.976659478026441</v>
      </c>
      <c r="H605" s="61">
        <f t="shared" si="54"/>
        <v>-0.25146273819580278</v>
      </c>
      <c r="I605" s="28" t="str">
        <f t="shared" si="57"/>
        <v>Normal</v>
      </c>
      <c r="J605" s="49">
        <f t="shared" si="58"/>
        <v>16</v>
      </c>
      <c r="K605" s="49" t="e">
        <f t="shared" si="59"/>
        <v>#N/A</v>
      </c>
    </row>
    <row r="606" spans="1:11">
      <c r="A606" s="74">
        <v>40571</v>
      </c>
      <c r="B606" s="75">
        <v>7</v>
      </c>
      <c r="C606" s="73">
        <v>60</v>
      </c>
      <c r="D606" s="72" cm="1">
        <f t="array" ref="D606">AVERAGE(_xlfn._xlws.FILTER(C:C,B:B=B606))</f>
        <v>54.395348837209305</v>
      </c>
      <c r="E606" s="61" cm="1">
        <f t="array" ref="E606">_xlfn.STDEV.S(_xlfn._xlws.FILTER(C:C,B:B=B606))</f>
        <v>39.112864486352777</v>
      </c>
      <c r="F606" s="61">
        <f t="shared" si="55"/>
        <v>-23.830380135496249</v>
      </c>
      <c r="G606" s="61">
        <f t="shared" si="56"/>
        <v>132.62107780991485</v>
      </c>
      <c r="H606" s="61">
        <f t="shared" si="54"/>
        <v>0.1432943159851221</v>
      </c>
      <c r="I606" s="28" t="str">
        <f t="shared" si="57"/>
        <v>Normal</v>
      </c>
      <c r="J606" s="49">
        <f t="shared" si="58"/>
        <v>60</v>
      </c>
      <c r="K606" s="49" t="e">
        <f t="shared" si="59"/>
        <v>#N/A</v>
      </c>
    </row>
    <row r="607" spans="1:11">
      <c r="A607" s="74">
        <v>40571</v>
      </c>
      <c r="B607" s="75">
        <v>8</v>
      </c>
      <c r="C607" s="73">
        <v>157</v>
      </c>
      <c r="D607" s="72" cm="1">
        <f t="array" ref="D607">AVERAGE(_xlfn._xlws.FILTER(C:C,B:B=B607))</f>
        <v>128.28571428571428</v>
      </c>
      <c r="E607" s="61" cm="1">
        <f t="array" ref="E607">_xlfn.STDEV.S(_xlfn._xlws.FILTER(C:C,B:B=B607))</f>
        <v>88.551565717048547</v>
      </c>
      <c r="F607" s="61">
        <f t="shared" si="55"/>
        <v>-48.817417148382816</v>
      </c>
      <c r="G607" s="61">
        <f t="shared" si="56"/>
        <v>305.38884571981134</v>
      </c>
      <c r="H607" s="61">
        <f t="shared" si="54"/>
        <v>0.32426626770256478</v>
      </c>
      <c r="I607" s="28" t="str">
        <f t="shared" si="57"/>
        <v>Normal</v>
      </c>
      <c r="J607" s="49">
        <f t="shared" si="58"/>
        <v>157</v>
      </c>
      <c r="K607" s="49" t="e">
        <f t="shared" si="59"/>
        <v>#N/A</v>
      </c>
    </row>
    <row r="608" spans="1:11">
      <c r="A608" s="74">
        <v>40571</v>
      </c>
      <c r="B608" s="75">
        <v>9</v>
      </c>
      <c r="C608" s="73">
        <v>101</v>
      </c>
      <c r="D608" s="72" cm="1">
        <f t="array" ref="D608">AVERAGE(_xlfn._xlws.FILTER(C:C,B:B=B608))</f>
        <v>87.428571428571431</v>
      </c>
      <c r="E608" s="61" cm="1">
        <f t="array" ref="E608">_xlfn.STDEV.S(_xlfn._xlws.FILTER(C:C,B:B=B608))</f>
        <v>45.93852884078624</v>
      </c>
      <c r="F608" s="61">
        <f t="shared" si="55"/>
        <v>-4.4484862530010503</v>
      </c>
      <c r="G608" s="61">
        <f t="shared" si="56"/>
        <v>179.30562911014391</v>
      </c>
      <c r="H608" s="61">
        <f t="shared" si="54"/>
        <v>0.29542584218280976</v>
      </c>
      <c r="I608" s="28" t="str">
        <f t="shared" si="57"/>
        <v>Normal</v>
      </c>
      <c r="J608" s="49">
        <f t="shared" si="58"/>
        <v>101</v>
      </c>
      <c r="K608" s="49" t="e">
        <f t="shared" si="59"/>
        <v>#N/A</v>
      </c>
    </row>
    <row r="609" spans="1:11">
      <c r="A609" s="74">
        <v>40571</v>
      </c>
      <c r="B609" s="75">
        <v>10</v>
      </c>
      <c r="C609" s="73">
        <v>49</v>
      </c>
      <c r="D609" s="72" cm="1">
        <f t="array" ref="D609">AVERAGE(_xlfn._xlws.FILTER(C:C,B:B=B609))</f>
        <v>53.642857142857146</v>
      </c>
      <c r="E609" s="61" cm="1">
        <f t="array" ref="E609">_xlfn.STDEV.S(_xlfn._xlws.FILTER(C:C,B:B=B609))</f>
        <v>15.395313554536934</v>
      </c>
      <c r="F609" s="61">
        <f t="shared" si="55"/>
        <v>22.852230033783279</v>
      </c>
      <c r="G609" s="61">
        <f t="shared" si="56"/>
        <v>84.43348425193102</v>
      </c>
      <c r="H609" s="61">
        <f t="shared" si="54"/>
        <v>-0.301576004048902</v>
      </c>
      <c r="I609" s="28" t="str">
        <f t="shared" si="57"/>
        <v>Normal</v>
      </c>
      <c r="J609" s="49">
        <f t="shared" si="58"/>
        <v>49</v>
      </c>
      <c r="K609" s="49" t="e">
        <f t="shared" si="59"/>
        <v>#N/A</v>
      </c>
    </row>
    <row r="610" spans="1:11">
      <c r="A610" s="74">
        <v>40571</v>
      </c>
      <c r="B610" s="75">
        <v>11</v>
      </c>
      <c r="C610" s="73">
        <v>30</v>
      </c>
      <c r="D610" s="72" cm="1">
        <f t="array" ref="D610">AVERAGE(_xlfn._xlws.FILTER(C:C,B:B=B610))</f>
        <v>59.38095238095238</v>
      </c>
      <c r="E610" s="61" cm="1">
        <f t="array" ref="E610">_xlfn.STDEV.S(_xlfn._xlws.FILTER(C:C,B:B=B610))</f>
        <v>20.89573696860419</v>
      </c>
      <c r="F610" s="61">
        <f t="shared" si="55"/>
        <v>17.589478443743999</v>
      </c>
      <c r="G610" s="61">
        <f t="shared" si="56"/>
        <v>101.17242631816076</v>
      </c>
      <c r="H610" s="61">
        <f t="shared" si="54"/>
        <v>-1.4060739961025166</v>
      </c>
      <c r="I610" s="28" t="str">
        <f t="shared" si="57"/>
        <v>Normal</v>
      </c>
      <c r="J610" s="49">
        <f t="shared" si="58"/>
        <v>30</v>
      </c>
      <c r="K610" s="49" t="e">
        <f t="shared" si="59"/>
        <v>#N/A</v>
      </c>
    </row>
    <row r="611" spans="1:11">
      <c r="A611" s="74">
        <v>40571</v>
      </c>
      <c r="B611" s="75">
        <v>12</v>
      </c>
      <c r="C611" s="73">
        <v>29</v>
      </c>
      <c r="D611" s="72" cm="1">
        <f t="array" ref="D611">AVERAGE(_xlfn._xlws.FILTER(C:C,B:B=B611))</f>
        <v>76.348837209302332</v>
      </c>
      <c r="E611" s="61" cm="1">
        <f t="array" ref="E611">_xlfn.STDEV.S(_xlfn._xlws.FILTER(C:C,B:B=B611))</f>
        <v>29.034366927857054</v>
      </c>
      <c r="F611" s="61">
        <f t="shared" si="55"/>
        <v>18.280103353588224</v>
      </c>
      <c r="G611" s="61">
        <f t="shared" si="56"/>
        <v>134.41757106501643</v>
      </c>
      <c r="H611" s="61">
        <f t="shared" si="54"/>
        <v>-1.6307859347149547</v>
      </c>
      <c r="I611" s="28" t="str">
        <f t="shared" si="57"/>
        <v>Normal</v>
      </c>
      <c r="J611" s="49">
        <f t="shared" si="58"/>
        <v>29</v>
      </c>
      <c r="K611" s="49" t="e">
        <f t="shared" si="59"/>
        <v>#N/A</v>
      </c>
    </row>
    <row r="612" spans="1:11">
      <c r="A612" s="74">
        <v>40571</v>
      </c>
      <c r="B612" s="75">
        <v>13</v>
      </c>
      <c r="C612" s="73">
        <v>31</v>
      </c>
      <c r="D612" s="72" cm="1">
        <f t="array" ref="D612">AVERAGE(_xlfn._xlws.FILTER(C:C,B:B=B612))</f>
        <v>78.511627906976742</v>
      </c>
      <c r="E612" s="61" cm="1">
        <f t="array" ref="E612">_xlfn.STDEV.S(_xlfn._xlws.FILTER(C:C,B:B=B612))</f>
        <v>30.072430098825187</v>
      </c>
      <c r="F612" s="61">
        <f t="shared" si="55"/>
        <v>18.366767709326368</v>
      </c>
      <c r="G612" s="61">
        <f t="shared" si="56"/>
        <v>138.6564881046271</v>
      </c>
      <c r="H612" s="61">
        <f t="shared" si="54"/>
        <v>-1.5799065040916942</v>
      </c>
      <c r="I612" s="28" t="str">
        <f t="shared" si="57"/>
        <v>Normal</v>
      </c>
      <c r="J612" s="49">
        <f t="shared" si="58"/>
        <v>31</v>
      </c>
      <c r="K612" s="49" t="e">
        <f t="shared" si="59"/>
        <v>#N/A</v>
      </c>
    </row>
    <row r="613" spans="1:11">
      <c r="A613" s="74">
        <v>40571</v>
      </c>
      <c r="B613" s="75">
        <v>14</v>
      </c>
      <c r="C613" s="73">
        <v>38</v>
      </c>
      <c r="D613" s="72" cm="1">
        <f t="array" ref="D613">AVERAGE(_xlfn._xlws.FILTER(C:C,B:B=B613))</f>
        <v>74.418604651162795</v>
      </c>
      <c r="E613" s="61" cm="1">
        <f t="array" ref="E613">_xlfn.STDEV.S(_xlfn._xlws.FILTER(C:C,B:B=B613))</f>
        <v>30.30576918056515</v>
      </c>
      <c r="F613" s="61">
        <f t="shared" si="55"/>
        <v>13.807066290032495</v>
      </c>
      <c r="G613" s="61">
        <f t="shared" si="56"/>
        <v>135.03014301229308</v>
      </c>
      <c r="H613" s="61">
        <f t="shared" si="54"/>
        <v>-1.2017053398043354</v>
      </c>
      <c r="I613" s="28" t="str">
        <f t="shared" si="57"/>
        <v>Normal</v>
      </c>
      <c r="J613" s="49">
        <f t="shared" si="58"/>
        <v>38</v>
      </c>
      <c r="K613" s="49" t="e">
        <f t="shared" si="59"/>
        <v>#N/A</v>
      </c>
    </row>
    <row r="614" spans="1:11">
      <c r="A614" s="74">
        <v>40571</v>
      </c>
      <c r="B614" s="75">
        <v>15</v>
      </c>
      <c r="C614" s="73">
        <v>41</v>
      </c>
      <c r="D614" s="72" cm="1">
        <f t="array" ref="D614">AVERAGE(_xlfn._xlws.FILTER(C:C,B:B=B614))</f>
        <v>77.95348837209302</v>
      </c>
      <c r="E614" s="61" cm="1">
        <f t="array" ref="E614">_xlfn.STDEV.S(_xlfn._xlws.FILTER(C:C,B:B=B614))</f>
        <v>34.481156681772681</v>
      </c>
      <c r="F614" s="61">
        <f t="shared" si="55"/>
        <v>8.9911750085476569</v>
      </c>
      <c r="G614" s="61">
        <f t="shared" si="56"/>
        <v>146.91580173563838</v>
      </c>
      <c r="H614" s="61">
        <f t="shared" si="54"/>
        <v>-1.0717009499750121</v>
      </c>
      <c r="I614" s="28" t="str">
        <f t="shared" si="57"/>
        <v>Normal</v>
      </c>
      <c r="J614" s="49">
        <f t="shared" si="58"/>
        <v>41</v>
      </c>
      <c r="K614" s="49" t="e">
        <f t="shared" si="59"/>
        <v>#N/A</v>
      </c>
    </row>
    <row r="615" spans="1:11">
      <c r="A615" s="74">
        <v>40571</v>
      </c>
      <c r="B615" s="75">
        <v>16</v>
      </c>
      <c r="C615" s="73">
        <v>80</v>
      </c>
      <c r="D615" s="72" cm="1">
        <f t="array" ref="D615">AVERAGE(_xlfn._xlws.FILTER(C:C,B:B=B615))</f>
        <v>89.272727272727266</v>
      </c>
      <c r="E615" s="61" cm="1">
        <f t="array" ref="E615">_xlfn.STDEV.S(_xlfn._xlws.FILTER(C:C,B:B=B615))</f>
        <v>25.461657115880758</v>
      </c>
      <c r="F615" s="61">
        <f t="shared" si="55"/>
        <v>38.34941304096575</v>
      </c>
      <c r="G615" s="61">
        <f t="shared" si="56"/>
        <v>140.19604150448879</v>
      </c>
      <c r="H615" s="61">
        <f t="shared" si="54"/>
        <v>-0.36418396613092985</v>
      </c>
      <c r="I615" s="28" t="str">
        <f t="shared" si="57"/>
        <v>Normal</v>
      </c>
      <c r="J615" s="49">
        <f t="shared" si="58"/>
        <v>80</v>
      </c>
      <c r="K615" s="49" t="e">
        <f t="shared" si="59"/>
        <v>#N/A</v>
      </c>
    </row>
    <row r="616" spans="1:11">
      <c r="A616" s="74">
        <v>40571</v>
      </c>
      <c r="B616" s="75">
        <v>17</v>
      </c>
      <c r="C616" s="73">
        <v>149</v>
      </c>
      <c r="D616" s="72" cm="1">
        <f t="array" ref="D616">AVERAGE(_xlfn._xlws.FILTER(C:C,B:B=B616))</f>
        <v>140.20454545454547</v>
      </c>
      <c r="E616" s="61" cm="1">
        <f t="array" ref="E616">_xlfn.STDEV.S(_xlfn._xlws.FILTER(C:C,B:B=B616))</f>
        <v>54.067391000084555</v>
      </c>
      <c r="F616" s="61">
        <f t="shared" si="55"/>
        <v>32.069763454376357</v>
      </c>
      <c r="G616" s="61">
        <f t="shared" si="56"/>
        <v>248.33932745471458</v>
      </c>
      <c r="H616" s="61">
        <f t="shared" si="54"/>
        <v>0.16267577152818002</v>
      </c>
      <c r="I616" s="28" t="str">
        <f t="shared" si="57"/>
        <v>Normal</v>
      </c>
      <c r="J616" s="49">
        <f t="shared" si="58"/>
        <v>149</v>
      </c>
      <c r="K616" s="49" t="e">
        <f t="shared" si="59"/>
        <v>#N/A</v>
      </c>
    </row>
    <row r="617" spans="1:11">
      <c r="A617" s="74">
        <v>40571</v>
      </c>
      <c r="B617" s="75">
        <v>18</v>
      </c>
      <c r="C617" s="73">
        <v>109</v>
      </c>
      <c r="D617" s="72" cm="1">
        <f t="array" ref="D617">AVERAGE(_xlfn._xlws.FILTER(C:C,B:B=B617))</f>
        <v>122.86046511627907</v>
      </c>
      <c r="E617" s="61" cm="1">
        <f t="array" ref="E617">_xlfn.STDEV.S(_xlfn._xlws.FILTER(C:C,B:B=B617))</f>
        <v>48.613432101949932</v>
      </c>
      <c r="F617" s="61">
        <f t="shared" si="55"/>
        <v>25.633600912379208</v>
      </c>
      <c r="G617" s="61">
        <f t="shared" si="56"/>
        <v>220.08732932017892</v>
      </c>
      <c r="H617" s="61">
        <f t="shared" si="54"/>
        <v>-0.28511595493219899</v>
      </c>
      <c r="I617" s="28" t="str">
        <f t="shared" si="57"/>
        <v>Normal</v>
      </c>
      <c r="J617" s="49">
        <f t="shared" si="58"/>
        <v>109</v>
      </c>
      <c r="K617" s="49" t="e">
        <f t="shared" si="59"/>
        <v>#N/A</v>
      </c>
    </row>
    <row r="618" spans="1:11">
      <c r="A618" s="74">
        <v>40571</v>
      </c>
      <c r="B618" s="75">
        <v>19</v>
      </c>
      <c r="C618" s="73">
        <v>89</v>
      </c>
      <c r="D618" s="72" cm="1">
        <f t="array" ref="D618">AVERAGE(_xlfn._xlws.FILTER(C:C,B:B=B618))</f>
        <v>85.139534883720927</v>
      </c>
      <c r="E618" s="61" cm="1">
        <f t="array" ref="E618">_xlfn.STDEV.S(_xlfn._xlws.FILTER(C:C,B:B=B618))</f>
        <v>31.690904054294752</v>
      </c>
      <c r="F618" s="61">
        <f t="shared" si="55"/>
        <v>21.757726775131424</v>
      </c>
      <c r="G618" s="61">
        <f t="shared" si="56"/>
        <v>148.52134299231042</v>
      </c>
      <c r="H618" s="61">
        <f t="shared" si="54"/>
        <v>0.12181618768795908</v>
      </c>
      <c r="I618" s="28" t="str">
        <f t="shared" si="57"/>
        <v>Normal</v>
      </c>
      <c r="J618" s="49">
        <f t="shared" si="58"/>
        <v>89</v>
      </c>
      <c r="K618" s="49" t="e">
        <f t="shared" si="59"/>
        <v>#N/A</v>
      </c>
    </row>
    <row r="619" spans="1:11">
      <c r="A619" s="74">
        <v>40571</v>
      </c>
      <c r="B619" s="75">
        <v>20</v>
      </c>
      <c r="C619" s="73">
        <v>62</v>
      </c>
      <c r="D619" s="72" cm="1">
        <f t="array" ref="D619">AVERAGE(_xlfn._xlws.FILTER(C:C,B:B=B619))</f>
        <v>61.767441860465119</v>
      </c>
      <c r="E619" s="61" cm="1">
        <f t="array" ref="E619">_xlfn.STDEV.S(_xlfn._xlws.FILTER(C:C,B:B=B619))</f>
        <v>24.632380169685593</v>
      </c>
      <c r="F619" s="61">
        <f t="shared" si="55"/>
        <v>12.502681521093933</v>
      </c>
      <c r="G619" s="61">
        <f t="shared" si="56"/>
        <v>111.03220219983631</v>
      </c>
      <c r="H619" s="61">
        <f t="shared" si="54"/>
        <v>9.441155825496865E-3</v>
      </c>
      <c r="I619" s="28" t="str">
        <f t="shared" si="57"/>
        <v>Normal</v>
      </c>
      <c r="J619" s="49">
        <f t="shared" si="58"/>
        <v>62</v>
      </c>
      <c r="K619" s="49" t="e">
        <f t="shared" si="59"/>
        <v>#N/A</v>
      </c>
    </row>
    <row r="620" spans="1:11">
      <c r="A620" s="74">
        <v>40571</v>
      </c>
      <c r="B620" s="75">
        <v>21</v>
      </c>
      <c r="C620" s="73">
        <v>58</v>
      </c>
      <c r="D620" s="72" cm="1">
        <f t="array" ref="D620">AVERAGE(_xlfn._xlws.FILTER(C:C,B:B=B620))</f>
        <v>46.418604651162788</v>
      </c>
      <c r="E620" s="61" cm="1">
        <f t="array" ref="E620">_xlfn.STDEV.S(_xlfn._xlws.FILTER(C:C,B:B=B620))</f>
        <v>14.656759464719496</v>
      </c>
      <c r="F620" s="61">
        <f t="shared" si="55"/>
        <v>17.105085721723796</v>
      </c>
      <c r="G620" s="61">
        <f t="shared" si="56"/>
        <v>75.73212358060178</v>
      </c>
      <c r="H620" s="61">
        <f t="shared" si="54"/>
        <v>0.79017434765951922</v>
      </c>
      <c r="I620" s="28" t="str">
        <f t="shared" si="57"/>
        <v>Normal</v>
      </c>
      <c r="J620" s="49">
        <f t="shared" si="58"/>
        <v>58</v>
      </c>
      <c r="K620" s="49" t="e">
        <f t="shared" si="59"/>
        <v>#N/A</v>
      </c>
    </row>
    <row r="621" spans="1:11">
      <c r="A621" s="74">
        <v>40571</v>
      </c>
      <c r="B621" s="75">
        <v>22</v>
      </c>
      <c r="C621" s="73">
        <v>26</v>
      </c>
      <c r="D621" s="72" cm="1">
        <f t="array" ref="D621">AVERAGE(_xlfn._xlws.FILTER(C:C,B:B=B621))</f>
        <v>35.069767441860463</v>
      </c>
      <c r="E621" s="61" cm="1">
        <f t="array" ref="E621">_xlfn.STDEV.S(_xlfn._xlws.FILTER(C:C,B:B=B621))</f>
        <v>11.95506537162667</v>
      </c>
      <c r="F621" s="61">
        <f t="shared" si="55"/>
        <v>11.159636698607123</v>
      </c>
      <c r="G621" s="61">
        <f t="shared" si="56"/>
        <v>58.979898185113804</v>
      </c>
      <c r="H621" s="61">
        <f t="shared" si="54"/>
        <v>-0.75865477602372844</v>
      </c>
      <c r="I621" s="28" t="str">
        <f t="shared" si="57"/>
        <v>Normal</v>
      </c>
      <c r="J621" s="49">
        <f t="shared" si="58"/>
        <v>26</v>
      </c>
      <c r="K621" s="49" t="e">
        <f t="shared" si="59"/>
        <v>#N/A</v>
      </c>
    </row>
    <row r="622" spans="1:11">
      <c r="A622" s="74">
        <v>40571</v>
      </c>
      <c r="B622" s="75">
        <v>23</v>
      </c>
      <c r="C622" s="73">
        <v>23</v>
      </c>
      <c r="D622" s="72" cm="1">
        <f t="array" ref="D622">AVERAGE(_xlfn._xlws.FILTER(C:C,B:B=B622))</f>
        <v>25.186046511627907</v>
      </c>
      <c r="E622" s="61" cm="1">
        <f t="array" ref="E622">_xlfn.STDEV.S(_xlfn._xlws.FILTER(C:C,B:B=B622))</f>
        <v>11.751911321656188</v>
      </c>
      <c r="F622" s="61">
        <f t="shared" si="55"/>
        <v>1.6822238683155319</v>
      </c>
      <c r="G622" s="61">
        <f t="shared" si="56"/>
        <v>48.689869154940283</v>
      </c>
      <c r="H622" s="61">
        <f t="shared" si="54"/>
        <v>-0.18601625316892106</v>
      </c>
      <c r="I622" s="28" t="str">
        <f t="shared" si="57"/>
        <v>Normal</v>
      </c>
      <c r="J622" s="49">
        <f t="shared" si="58"/>
        <v>23</v>
      </c>
      <c r="K622" s="49" t="e">
        <f t="shared" si="59"/>
        <v>#N/A</v>
      </c>
    </row>
    <row r="623" spans="1:11">
      <c r="A623" s="74">
        <v>40572</v>
      </c>
      <c r="B623" s="75">
        <v>0</v>
      </c>
      <c r="C623" s="73">
        <v>28</v>
      </c>
      <c r="D623" s="72" cm="1">
        <f t="array" ref="D623">AVERAGE(_xlfn._xlws.FILTER(C:C,B:B=B623))</f>
        <v>16.348837209302324</v>
      </c>
      <c r="E623" s="61" cm="1">
        <f t="array" ref="E623">_xlfn.STDEV.S(_xlfn._xlws.FILTER(C:C,B:B=B623))</f>
        <v>10.44232167427621</v>
      </c>
      <c r="F623" s="61">
        <f t="shared" si="55"/>
        <v>-4.535806139250095</v>
      </c>
      <c r="G623" s="61">
        <f t="shared" si="56"/>
        <v>37.233480557854747</v>
      </c>
      <c r="H623" s="61">
        <f t="shared" si="54"/>
        <v>1.115763635150155</v>
      </c>
      <c r="I623" s="28" t="str">
        <f t="shared" si="57"/>
        <v>Normal</v>
      </c>
      <c r="J623" s="49">
        <f t="shared" si="58"/>
        <v>28</v>
      </c>
      <c r="K623" s="49" t="e">
        <f t="shared" si="59"/>
        <v>#N/A</v>
      </c>
    </row>
    <row r="624" spans="1:11">
      <c r="A624" s="74">
        <v>40572</v>
      </c>
      <c r="B624" s="75">
        <v>1</v>
      </c>
      <c r="C624" s="73">
        <v>20</v>
      </c>
      <c r="D624" s="72" cm="1">
        <f t="array" ref="D624">AVERAGE(_xlfn._xlws.FILTER(C:C,B:B=B624))</f>
        <v>10.697674418604651</v>
      </c>
      <c r="E624" s="61" cm="1">
        <f t="array" ref="E624">_xlfn.STDEV.S(_xlfn._xlws.FILTER(C:C,B:B=B624))</f>
        <v>10.060613641515801</v>
      </c>
      <c r="F624" s="61">
        <f t="shared" si="55"/>
        <v>-9.4235528644269504</v>
      </c>
      <c r="G624" s="61">
        <f t="shared" si="56"/>
        <v>30.81890170163625</v>
      </c>
      <c r="H624" s="61">
        <f t="shared" si="54"/>
        <v>0.92462805081875676</v>
      </c>
      <c r="I624" s="28" t="str">
        <f t="shared" si="57"/>
        <v>Normal</v>
      </c>
      <c r="J624" s="49">
        <f t="shared" si="58"/>
        <v>20</v>
      </c>
      <c r="K624" s="49" t="e">
        <f t="shared" si="59"/>
        <v>#N/A</v>
      </c>
    </row>
    <row r="625" spans="1:11">
      <c r="A625" s="74">
        <v>40572</v>
      </c>
      <c r="B625" s="75">
        <v>2</v>
      </c>
      <c r="C625" s="73">
        <v>15</v>
      </c>
      <c r="D625" s="72" cm="1">
        <f t="array" ref="D625">AVERAGE(_xlfn._xlws.FILTER(C:C,B:B=B625))</f>
        <v>7.1707317073170733</v>
      </c>
      <c r="E625" s="61" cm="1">
        <f t="array" ref="E625">_xlfn.STDEV.S(_xlfn._xlws.FILTER(C:C,B:B=B625))</f>
        <v>7.3685223723090854</v>
      </c>
      <c r="F625" s="61">
        <f t="shared" si="55"/>
        <v>-7.5663130373010974</v>
      </c>
      <c r="G625" s="61">
        <f t="shared" si="56"/>
        <v>21.907776451935245</v>
      </c>
      <c r="H625" s="61">
        <f t="shared" si="54"/>
        <v>1.0625289436733374</v>
      </c>
      <c r="I625" s="28" t="str">
        <f t="shared" si="57"/>
        <v>Normal</v>
      </c>
      <c r="J625" s="49">
        <f t="shared" si="58"/>
        <v>15</v>
      </c>
      <c r="K625" s="49" t="e">
        <f t="shared" si="59"/>
        <v>#N/A</v>
      </c>
    </row>
    <row r="626" spans="1:11">
      <c r="A626" s="74">
        <v>40572</v>
      </c>
      <c r="B626" s="75">
        <v>3</v>
      </c>
      <c r="C626" s="73">
        <v>8</v>
      </c>
      <c r="D626" s="72" cm="1">
        <f t="array" ref="D626">AVERAGE(_xlfn._xlws.FILTER(C:C,B:B=B626))</f>
        <v>4.870967741935484</v>
      </c>
      <c r="E626" s="61" cm="1">
        <f t="array" ref="E626">_xlfn.STDEV.S(_xlfn._xlws.FILTER(C:C,B:B=B626))</f>
        <v>4.4702120418303126</v>
      </c>
      <c r="F626" s="61">
        <f t="shared" si="55"/>
        <v>-4.0694563417251413</v>
      </c>
      <c r="G626" s="61">
        <f t="shared" si="56"/>
        <v>13.811391825596109</v>
      </c>
      <c r="H626" s="61">
        <f t="shared" si="54"/>
        <v>0.69997401214626609</v>
      </c>
      <c r="I626" s="28" t="str">
        <f t="shared" si="57"/>
        <v>Normal</v>
      </c>
      <c r="J626" s="49">
        <f t="shared" si="58"/>
        <v>8</v>
      </c>
      <c r="K626" s="49" t="e">
        <f t="shared" si="59"/>
        <v>#N/A</v>
      </c>
    </row>
    <row r="627" spans="1:11">
      <c r="A627" s="74">
        <v>40572</v>
      </c>
      <c r="B627" s="75">
        <v>4</v>
      </c>
      <c r="C627" s="73">
        <v>3</v>
      </c>
      <c r="D627" s="72" cm="1">
        <f t="array" ref="D627">AVERAGE(_xlfn._xlws.FILTER(C:C,B:B=B627))</f>
        <v>2.15625</v>
      </c>
      <c r="E627" s="61" cm="1">
        <f t="array" ref="E627">_xlfn.STDEV.S(_xlfn._xlws.FILTER(C:C,B:B=B627))</f>
        <v>1.5263148747143209</v>
      </c>
      <c r="F627" s="61">
        <f t="shared" si="55"/>
        <v>-0.89637974942864185</v>
      </c>
      <c r="G627" s="61">
        <f t="shared" si="56"/>
        <v>5.2088797494286414</v>
      </c>
      <c r="H627" s="61">
        <f t="shared" si="54"/>
        <v>0.55280205544607819</v>
      </c>
      <c r="I627" s="28" t="str">
        <f t="shared" si="57"/>
        <v>Normal</v>
      </c>
      <c r="J627" s="49">
        <f t="shared" si="58"/>
        <v>3</v>
      </c>
      <c r="K627" s="49" t="e">
        <f t="shared" si="59"/>
        <v>#N/A</v>
      </c>
    </row>
    <row r="628" spans="1:11">
      <c r="A628" s="74">
        <v>40572</v>
      </c>
      <c r="B628" s="75">
        <v>6</v>
      </c>
      <c r="C628" s="73">
        <v>2</v>
      </c>
      <c r="D628" s="72" cm="1">
        <f t="array" ref="D628">AVERAGE(_xlfn._xlws.FILTER(C:C,B:B=B628))</f>
        <v>19.571428571428573</v>
      </c>
      <c r="E628" s="61" cm="1">
        <f t="array" ref="E628">_xlfn.STDEV.S(_xlfn._xlws.FILTER(C:C,B:B=B628))</f>
        <v>14.202615453298934</v>
      </c>
      <c r="F628" s="61">
        <f t="shared" si="55"/>
        <v>-8.8338023351692954</v>
      </c>
      <c r="G628" s="61">
        <f t="shared" si="56"/>
        <v>47.976659478026441</v>
      </c>
      <c r="H628" s="61">
        <f t="shared" si="54"/>
        <v>-1.2371966719233494</v>
      </c>
      <c r="I628" s="28" t="str">
        <f t="shared" si="57"/>
        <v>Normal</v>
      </c>
      <c r="J628" s="49">
        <f t="shared" si="58"/>
        <v>2</v>
      </c>
      <c r="K628" s="49" t="e">
        <f t="shared" si="59"/>
        <v>#N/A</v>
      </c>
    </row>
    <row r="629" spans="1:11">
      <c r="A629" s="74">
        <v>40572</v>
      </c>
      <c r="B629" s="75">
        <v>7</v>
      </c>
      <c r="C629" s="73">
        <v>5</v>
      </c>
      <c r="D629" s="72" cm="1">
        <f t="array" ref="D629">AVERAGE(_xlfn._xlws.FILTER(C:C,B:B=B629))</f>
        <v>54.395348837209305</v>
      </c>
      <c r="E629" s="61" cm="1">
        <f t="array" ref="E629">_xlfn.STDEV.S(_xlfn._xlws.FILTER(C:C,B:B=B629))</f>
        <v>39.112864486352777</v>
      </c>
      <c r="F629" s="61">
        <f t="shared" si="55"/>
        <v>-23.830380135496249</v>
      </c>
      <c r="G629" s="61">
        <f t="shared" si="56"/>
        <v>132.62107780991485</v>
      </c>
      <c r="H629" s="61">
        <f t="shared" si="54"/>
        <v>-1.2628926437858901</v>
      </c>
      <c r="I629" s="28" t="str">
        <f t="shared" si="57"/>
        <v>Normal</v>
      </c>
      <c r="J629" s="49">
        <f t="shared" si="58"/>
        <v>5</v>
      </c>
      <c r="K629" s="49" t="e">
        <f t="shared" si="59"/>
        <v>#N/A</v>
      </c>
    </row>
    <row r="630" spans="1:11">
      <c r="A630" s="74">
        <v>40572</v>
      </c>
      <c r="B630" s="75">
        <v>8</v>
      </c>
      <c r="C630" s="73">
        <v>34</v>
      </c>
      <c r="D630" s="72" cm="1">
        <f t="array" ref="D630">AVERAGE(_xlfn._xlws.FILTER(C:C,B:B=B630))</f>
        <v>128.28571428571428</v>
      </c>
      <c r="E630" s="61" cm="1">
        <f t="array" ref="E630">_xlfn.STDEV.S(_xlfn._xlws.FILTER(C:C,B:B=B630))</f>
        <v>88.551565717048547</v>
      </c>
      <c r="F630" s="61">
        <f t="shared" si="55"/>
        <v>-48.817417148382816</v>
      </c>
      <c r="G630" s="61">
        <f t="shared" si="56"/>
        <v>305.38884571981134</v>
      </c>
      <c r="H630" s="61">
        <f t="shared" si="54"/>
        <v>-1.0647549088740929</v>
      </c>
      <c r="I630" s="28" t="str">
        <f t="shared" si="57"/>
        <v>Normal</v>
      </c>
      <c r="J630" s="49">
        <f t="shared" si="58"/>
        <v>34</v>
      </c>
      <c r="K630" s="49" t="e">
        <f t="shared" si="59"/>
        <v>#N/A</v>
      </c>
    </row>
    <row r="631" spans="1:11">
      <c r="A631" s="74">
        <v>40572</v>
      </c>
      <c r="B631" s="75">
        <v>9</v>
      </c>
      <c r="C631" s="73">
        <v>34</v>
      </c>
      <c r="D631" s="72" cm="1">
        <f t="array" ref="D631">AVERAGE(_xlfn._xlws.FILTER(C:C,B:B=B631))</f>
        <v>87.428571428571431</v>
      </c>
      <c r="E631" s="61" cm="1">
        <f t="array" ref="E631">_xlfn.STDEV.S(_xlfn._xlws.FILTER(C:C,B:B=B631))</f>
        <v>45.93852884078624</v>
      </c>
      <c r="F631" s="61">
        <f t="shared" si="55"/>
        <v>-4.4484862530010503</v>
      </c>
      <c r="G631" s="61">
        <f t="shared" si="56"/>
        <v>179.30562911014391</v>
      </c>
      <c r="H631" s="61">
        <f t="shared" si="54"/>
        <v>-1.1630448944881144</v>
      </c>
      <c r="I631" s="28" t="str">
        <f t="shared" si="57"/>
        <v>Normal</v>
      </c>
      <c r="J631" s="49">
        <f t="shared" si="58"/>
        <v>34</v>
      </c>
      <c r="K631" s="49" t="e">
        <f t="shared" si="59"/>
        <v>#N/A</v>
      </c>
    </row>
    <row r="632" spans="1:11">
      <c r="A632" s="74">
        <v>40572</v>
      </c>
      <c r="B632" s="75">
        <v>10</v>
      </c>
      <c r="C632" s="73">
        <v>55</v>
      </c>
      <c r="D632" s="72" cm="1">
        <f t="array" ref="D632">AVERAGE(_xlfn._xlws.FILTER(C:C,B:B=B632))</f>
        <v>53.642857142857146</v>
      </c>
      <c r="E632" s="61" cm="1">
        <f t="array" ref="E632">_xlfn.STDEV.S(_xlfn._xlws.FILTER(C:C,B:B=B632))</f>
        <v>15.395313554536934</v>
      </c>
      <c r="F632" s="61">
        <f t="shared" si="55"/>
        <v>22.852230033783279</v>
      </c>
      <c r="G632" s="61">
        <f t="shared" si="56"/>
        <v>84.43348425193102</v>
      </c>
      <c r="H632" s="61">
        <f t="shared" si="54"/>
        <v>8.8152985798909553E-2</v>
      </c>
      <c r="I632" s="28" t="str">
        <f t="shared" si="57"/>
        <v>Normal</v>
      </c>
      <c r="J632" s="49">
        <f t="shared" si="58"/>
        <v>55</v>
      </c>
      <c r="K632" s="49" t="e">
        <f t="shared" si="59"/>
        <v>#N/A</v>
      </c>
    </row>
    <row r="633" spans="1:11">
      <c r="A633" s="74">
        <v>40572</v>
      </c>
      <c r="B633" s="75">
        <v>11</v>
      </c>
      <c r="C633" s="73">
        <v>64</v>
      </c>
      <c r="D633" s="72" cm="1">
        <f t="array" ref="D633">AVERAGE(_xlfn._xlws.FILTER(C:C,B:B=B633))</f>
        <v>59.38095238095238</v>
      </c>
      <c r="E633" s="61" cm="1">
        <f t="array" ref="E633">_xlfn.STDEV.S(_xlfn._xlws.FILTER(C:C,B:B=B633))</f>
        <v>20.89573696860419</v>
      </c>
      <c r="F633" s="61">
        <f t="shared" si="55"/>
        <v>17.589478443743999</v>
      </c>
      <c r="G633" s="61">
        <f t="shared" si="56"/>
        <v>101.17242631816076</v>
      </c>
      <c r="H633" s="61">
        <f t="shared" si="54"/>
        <v>0.22105215173734871</v>
      </c>
      <c r="I633" s="28" t="str">
        <f t="shared" si="57"/>
        <v>Normal</v>
      </c>
      <c r="J633" s="49">
        <f t="shared" si="58"/>
        <v>64</v>
      </c>
      <c r="K633" s="49" t="e">
        <f t="shared" si="59"/>
        <v>#N/A</v>
      </c>
    </row>
    <row r="634" spans="1:11">
      <c r="A634" s="74">
        <v>40572</v>
      </c>
      <c r="B634" s="75">
        <v>12</v>
      </c>
      <c r="C634" s="73">
        <v>78</v>
      </c>
      <c r="D634" s="72" cm="1">
        <f t="array" ref="D634">AVERAGE(_xlfn._xlws.FILTER(C:C,B:B=B634))</f>
        <v>76.348837209302332</v>
      </c>
      <c r="E634" s="61" cm="1">
        <f t="array" ref="E634">_xlfn.STDEV.S(_xlfn._xlws.FILTER(C:C,B:B=B634))</f>
        <v>29.034366927857054</v>
      </c>
      <c r="F634" s="61">
        <f t="shared" si="55"/>
        <v>18.280103353588224</v>
      </c>
      <c r="G634" s="61">
        <f t="shared" si="56"/>
        <v>134.41757106501643</v>
      </c>
      <c r="H634" s="61">
        <f t="shared" si="54"/>
        <v>5.6869254108428954E-2</v>
      </c>
      <c r="I634" s="28" t="str">
        <f t="shared" si="57"/>
        <v>Normal</v>
      </c>
      <c r="J634" s="49">
        <f t="shared" si="58"/>
        <v>78</v>
      </c>
      <c r="K634" s="49" t="e">
        <f t="shared" si="59"/>
        <v>#N/A</v>
      </c>
    </row>
    <row r="635" spans="1:11">
      <c r="A635" s="74">
        <v>40572</v>
      </c>
      <c r="B635" s="75">
        <v>13</v>
      </c>
      <c r="C635" s="73">
        <v>65</v>
      </c>
      <c r="D635" s="72" cm="1">
        <f t="array" ref="D635">AVERAGE(_xlfn._xlws.FILTER(C:C,B:B=B635))</f>
        <v>78.511627906976742</v>
      </c>
      <c r="E635" s="61" cm="1">
        <f t="array" ref="E635">_xlfn.STDEV.S(_xlfn._xlws.FILTER(C:C,B:B=B635))</f>
        <v>30.072430098825187</v>
      </c>
      <c r="F635" s="61">
        <f t="shared" si="55"/>
        <v>18.366767709326368</v>
      </c>
      <c r="G635" s="61">
        <f t="shared" si="56"/>
        <v>138.6564881046271</v>
      </c>
      <c r="H635" s="61">
        <f t="shared" si="54"/>
        <v>-0.4493028286232375</v>
      </c>
      <c r="I635" s="28" t="str">
        <f t="shared" si="57"/>
        <v>Normal</v>
      </c>
      <c r="J635" s="49">
        <f t="shared" si="58"/>
        <v>65</v>
      </c>
      <c r="K635" s="49" t="e">
        <f t="shared" si="59"/>
        <v>#N/A</v>
      </c>
    </row>
    <row r="636" spans="1:11">
      <c r="A636" s="74">
        <v>40572</v>
      </c>
      <c r="B636" s="75">
        <v>14</v>
      </c>
      <c r="C636" s="73">
        <v>99</v>
      </c>
      <c r="D636" s="72" cm="1">
        <f t="array" ref="D636">AVERAGE(_xlfn._xlws.FILTER(C:C,B:B=B636))</f>
        <v>74.418604651162795</v>
      </c>
      <c r="E636" s="61" cm="1">
        <f t="array" ref="E636">_xlfn.STDEV.S(_xlfn._xlws.FILTER(C:C,B:B=B636))</f>
        <v>30.30576918056515</v>
      </c>
      <c r="F636" s="61">
        <f t="shared" si="55"/>
        <v>13.807066290032495</v>
      </c>
      <c r="G636" s="61">
        <f t="shared" si="56"/>
        <v>135.03014301229308</v>
      </c>
      <c r="H636" s="61">
        <f t="shared" si="54"/>
        <v>0.81111273574277265</v>
      </c>
      <c r="I636" s="28" t="str">
        <f t="shared" si="57"/>
        <v>Normal</v>
      </c>
      <c r="J636" s="49">
        <f t="shared" si="58"/>
        <v>99</v>
      </c>
      <c r="K636" s="49" t="e">
        <f t="shared" si="59"/>
        <v>#N/A</v>
      </c>
    </row>
    <row r="637" spans="1:11">
      <c r="A637" s="74">
        <v>40572</v>
      </c>
      <c r="B637" s="75">
        <v>15</v>
      </c>
      <c r="C637" s="73">
        <v>120</v>
      </c>
      <c r="D637" s="72" cm="1">
        <f t="array" ref="D637">AVERAGE(_xlfn._xlws.FILTER(C:C,B:B=B637))</f>
        <v>77.95348837209302</v>
      </c>
      <c r="E637" s="61" cm="1">
        <f t="array" ref="E637">_xlfn.STDEV.S(_xlfn._xlws.FILTER(C:C,B:B=B637))</f>
        <v>34.481156681772681</v>
      </c>
      <c r="F637" s="61">
        <f t="shared" si="55"/>
        <v>8.9911750085476569</v>
      </c>
      <c r="G637" s="61">
        <f t="shared" si="56"/>
        <v>146.91580173563838</v>
      </c>
      <c r="H637" s="61">
        <f t="shared" si="54"/>
        <v>1.2194054861893155</v>
      </c>
      <c r="I637" s="28" t="str">
        <f t="shared" si="57"/>
        <v>Normal</v>
      </c>
      <c r="J637" s="49">
        <f t="shared" si="58"/>
        <v>120</v>
      </c>
      <c r="K637" s="49" t="e">
        <f t="shared" si="59"/>
        <v>#N/A</v>
      </c>
    </row>
    <row r="638" spans="1:11">
      <c r="A638" s="74">
        <v>40572</v>
      </c>
      <c r="B638" s="75">
        <v>16</v>
      </c>
      <c r="C638" s="73">
        <v>107</v>
      </c>
      <c r="D638" s="72" cm="1">
        <f t="array" ref="D638">AVERAGE(_xlfn._xlws.FILTER(C:C,B:B=B638))</f>
        <v>89.272727272727266</v>
      </c>
      <c r="E638" s="61" cm="1">
        <f t="array" ref="E638">_xlfn.STDEV.S(_xlfn._xlws.FILTER(C:C,B:B=B638))</f>
        <v>25.461657115880758</v>
      </c>
      <c r="F638" s="61">
        <f t="shared" si="55"/>
        <v>38.34941304096575</v>
      </c>
      <c r="G638" s="61">
        <f t="shared" si="56"/>
        <v>140.19604150448879</v>
      </c>
      <c r="H638" s="61">
        <f t="shared" si="54"/>
        <v>0.69623405289736662</v>
      </c>
      <c r="I638" s="28" t="str">
        <f t="shared" si="57"/>
        <v>Normal</v>
      </c>
      <c r="J638" s="49">
        <f t="shared" si="58"/>
        <v>107</v>
      </c>
      <c r="K638" s="49" t="e">
        <f t="shared" si="59"/>
        <v>#N/A</v>
      </c>
    </row>
    <row r="639" spans="1:11">
      <c r="A639" s="74">
        <v>40572</v>
      </c>
      <c r="B639" s="75">
        <v>17</v>
      </c>
      <c r="C639" s="73">
        <v>91</v>
      </c>
      <c r="D639" s="72" cm="1">
        <f t="array" ref="D639">AVERAGE(_xlfn._xlws.FILTER(C:C,B:B=B639))</f>
        <v>140.20454545454547</v>
      </c>
      <c r="E639" s="61" cm="1">
        <f t="array" ref="E639">_xlfn.STDEV.S(_xlfn._xlws.FILTER(C:C,B:B=B639))</f>
        <v>54.067391000084555</v>
      </c>
      <c r="F639" s="61">
        <f t="shared" si="55"/>
        <v>32.069763454376357</v>
      </c>
      <c r="G639" s="61">
        <f t="shared" si="56"/>
        <v>248.33932745471458</v>
      </c>
      <c r="H639" s="61">
        <f t="shared" si="54"/>
        <v>-0.91005954873000094</v>
      </c>
      <c r="I639" s="28" t="str">
        <f t="shared" si="57"/>
        <v>Normal</v>
      </c>
      <c r="J639" s="49">
        <f t="shared" si="58"/>
        <v>91</v>
      </c>
      <c r="K639" s="49" t="e">
        <f t="shared" si="59"/>
        <v>#N/A</v>
      </c>
    </row>
    <row r="640" spans="1:11">
      <c r="A640" s="74">
        <v>40572</v>
      </c>
      <c r="B640" s="75">
        <v>18</v>
      </c>
      <c r="C640" s="73">
        <v>68</v>
      </c>
      <c r="D640" s="72" cm="1">
        <f t="array" ref="D640">AVERAGE(_xlfn._xlws.FILTER(C:C,B:B=B640))</f>
        <v>122.86046511627907</v>
      </c>
      <c r="E640" s="61" cm="1">
        <f t="array" ref="E640">_xlfn.STDEV.S(_xlfn._xlws.FILTER(C:C,B:B=B640))</f>
        <v>48.613432101949932</v>
      </c>
      <c r="F640" s="61">
        <f t="shared" si="55"/>
        <v>25.633600912379208</v>
      </c>
      <c r="G640" s="61">
        <f t="shared" si="56"/>
        <v>220.08732932017892</v>
      </c>
      <c r="H640" s="61">
        <f t="shared" si="54"/>
        <v>-1.1285042578608344</v>
      </c>
      <c r="I640" s="28" t="str">
        <f t="shared" si="57"/>
        <v>Normal</v>
      </c>
      <c r="J640" s="49">
        <f t="shared" si="58"/>
        <v>68</v>
      </c>
      <c r="K640" s="49" t="e">
        <f t="shared" si="59"/>
        <v>#N/A</v>
      </c>
    </row>
    <row r="641" spans="1:11">
      <c r="A641" s="74">
        <v>40572</v>
      </c>
      <c r="B641" s="75">
        <v>19</v>
      </c>
      <c r="C641" s="73">
        <v>58</v>
      </c>
      <c r="D641" s="72" cm="1">
        <f t="array" ref="D641">AVERAGE(_xlfn._xlws.FILTER(C:C,B:B=B641))</f>
        <v>85.139534883720927</v>
      </c>
      <c r="E641" s="61" cm="1">
        <f t="array" ref="E641">_xlfn.STDEV.S(_xlfn._xlws.FILTER(C:C,B:B=B641))</f>
        <v>31.690904054294752</v>
      </c>
      <c r="F641" s="61">
        <f t="shared" si="55"/>
        <v>21.757726775131424</v>
      </c>
      <c r="G641" s="61">
        <f t="shared" si="56"/>
        <v>148.52134299231042</v>
      </c>
      <c r="H641" s="61">
        <f t="shared" si="54"/>
        <v>-0.85638247609547058</v>
      </c>
      <c r="I641" s="28" t="str">
        <f t="shared" si="57"/>
        <v>Normal</v>
      </c>
      <c r="J641" s="49">
        <f t="shared" si="58"/>
        <v>58</v>
      </c>
      <c r="K641" s="49" t="e">
        <f t="shared" si="59"/>
        <v>#N/A</v>
      </c>
    </row>
    <row r="642" spans="1:11">
      <c r="A642" s="74">
        <v>40572</v>
      </c>
      <c r="B642" s="75">
        <v>20</v>
      </c>
      <c r="C642" s="73">
        <v>43</v>
      </c>
      <c r="D642" s="72" cm="1">
        <f t="array" ref="D642">AVERAGE(_xlfn._xlws.FILTER(C:C,B:B=B642))</f>
        <v>61.767441860465119</v>
      </c>
      <c r="E642" s="61" cm="1">
        <f t="array" ref="E642">_xlfn.STDEV.S(_xlfn._xlws.FILTER(C:C,B:B=B642))</f>
        <v>24.632380169685593</v>
      </c>
      <c r="F642" s="61">
        <f t="shared" si="55"/>
        <v>12.502681521093933</v>
      </c>
      <c r="G642" s="61">
        <f t="shared" si="56"/>
        <v>111.03220219983631</v>
      </c>
      <c r="H642" s="61">
        <f t="shared" si="54"/>
        <v>-0.76190127511760741</v>
      </c>
      <c r="I642" s="28" t="str">
        <f t="shared" si="57"/>
        <v>Normal</v>
      </c>
      <c r="J642" s="49">
        <f t="shared" si="58"/>
        <v>43</v>
      </c>
      <c r="K642" s="49" t="e">
        <f t="shared" si="59"/>
        <v>#N/A</v>
      </c>
    </row>
    <row r="643" spans="1:11">
      <c r="A643" s="74">
        <v>40572</v>
      </c>
      <c r="B643" s="75">
        <v>21</v>
      </c>
      <c r="C643" s="73">
        <v>36</v>
      </c>
      <c r="D643" s="72" cm="1">
        <f t="array" ref="D643">AVERAGE(_xlfn._xlws.FILTER(C:C,B:B=B643))</f>
        <v>46.418604651162788</v>
      </c>
      <c r="E643" s="61" cm="1">
        <f t="array" ref="E643">_xlfn.STDEV.S(_xlfn._xlws.FILTER(C:C,B:B=B643))</f>
        <v>14.656759464719496</v>
      </c>
      <c r="F643" s="61">
        <f t="shared" si="55"/>
        <v>17.105085721723796</v>
      </c>
      <c r="G643" s="61">
        <f t="shared" si="56"/>
        <v>75.73212358060178</v>
      </c>
      <c r="H643" s="61">
        <f t="shared" si="54"/>
        <v>-0.71083957379812135</v>
      </c>
      <c r="I643" s="28" t="str">
        <f t="shared" si="57"/>
        <v>Normal</v>
      </c>
      <c r="J643" s="49">
        <f t="shared" si="58"/>
        <v>36</v>
      </c>
      <c r="K643" s="49" t="e">
        <f t="shared" si="59"/>
        <v>#N/A</v>
      </c>
    </row>
    <row r="644" spans="1:11">
      <c r="A644" s="74">
        <v>40572</v>
      </c>
      <c r="B644" s="75">
        <v>22</v>
      </c>
      <c r="C644" s="73">
        <v>32</v>
      </c>
      <c r="D644" s="72" cm="1">
        <f t="array" ref="D644">AVERAGE(_xlfn._xlws.FILTER(C:C,B:B=B644))</f>
        <v>35.069767441860463</v>
      </c>
      <c r="E644" s="61" cm="1">
        <f t="array" ref="E644">_xlfn.STDEV.S(_xlfn._xlws.FILTER(C:C,B:B=B644))</f>
        <v>11.95506537162667</v>
      </c>
      <c r="F644" s="61">
        <f t="shared" si="55"/>
        <v>11.159636698607123</v>
      </c>
      <c r="G644" s="61">
        <f t="shared" si="56"/>
        <v>58.979898185113804</v>
      </c>
      <c r="H644" s="61">
        <f t="shared" si="54"/>
        <v>-0.25677546265418494</v>
      </c>
      <c r="I644" s="28" t="str">
        <f t="shared" si="57"/>
        <v>Normal</v>
      </c>
      <c r="J644" s="49">
        <f t="shared" si="58"/>
        <v>32</v>
      </c>
      <c r="K644" s="49" t="e">
        <f t="shared" si="59"/>
        <v>#N/A</v>
      </c>
    </row>
    <row r="645" spans="1:11">
      <c r="A645" s="74">
        <v>40572</v>
      </c>
      <c r="B645" s="75">
        <v>23</v>
      </c>
      <c r="C645" s="73">
        <v>33</v>
      </c>
      <c r="D645" s="72" cm="1">
        <f t="array" ref="D645">AVERAGE(_xlfn._xlws.FILTER(C:C,B:B=B645))</f>
        <v>25.186046511627907</v>
      </c>
      <c r="E645" s="61" cm="1">
        <f t="array" ref="E645">_xlfn.STDEV.S(_xlfn._xlws.FILTER(C:C,B:B=B645))</f>
        <v>11.751911321656188</v>
      </c>
      <c r="F645" s="61">
        <f t="shared" si="55"/>
        <v>1.6822238683155319</v>
      </c>
      <c r="G645" s="61">
        <f t="shared" si="56"/>
        <v>48.689869154940283</v>
      </c>
      <c r="H645" s="61">
        <f t="shared" ref="H645:H708" si="60">(C645-D645)/E645</f>
        <v>0.66490916026337732</v>
      </c>
      <c r="I645" s="28" t="str">
        <f t="shared" si="57"/>
        <v>Normal</v>
      </c>
      <c r="J645" s="49">
        <f t="shared" si="58"/>
        <v>33</v>
      </c>
      <c r="K645" s="49" t="e">
        <f t="shared" si="59"/>
        <v>#N/A</v>
      </c>
    </row>
    <row r="646" spans="1:11">
      <c r="A646" s="74">
        <v>40573</v>
      </c>
      <c r="B646" s="75">
        <v>0</v>
      </c>
      <c r="C646" s="73">
        <v>33</v>
      </c>
      <c r="D646" s="72" cm="1">
        <f t="array" ref="D646">AVERAGE(_xlfn._xlws.FILTER(C:C,B:B=B646))</f>
        <v>16.348837209302324</v>
      </c>
      <c r="E646" s="61" cm="1">
        <f t="array" ref="E646">_xlfn.STDEV.S(_xlfn._xlws.FILTER(C:C,B:B=B646))</f>
        <v>10.44232167427621</v>
      </c>
      <c r="F646" s="61">
        <f t="shared" ref="F646:F709" si="61">D646-(2*E646)</f>
        <v>-4.535806139250095</v>
      </c>
      <c r="G646" s="61">
        <f t="shared" ref="G646:G709" si="62">D646+(2*E646)</f>
        <v>37.233480557854747</v>
      </c>
      <c r="H646" s="61">
        <f t="shared" si="60"/>
        <v>1.5945843568213791</v>
      </c>
      <c r="I646" s="28" t="str">
        <f t="shared" ref="I646:I709" si="63">IF(H646&gt;=2,"High Anomaly",IF(H646&lt;=-2,"Low Anomaly","Normal"))</f>
        <v>Normal</v>
      </c>
      <c r="J646" s="49">
        <f t="shared" ref="J646:J709" si="64">IF(I646="Normal",C646,NA())</f>
        <v>33</v>
      </c>
      <c r="K646" s="49" t="e">
        <f t="shared" ref="K646:K709" si="65">IF(I646&lt;&gt;"Normal",C646,NA())</f>
        <v>#N/A</v>
      </c>
    </row>
    <row r="647" spans="1:11">
      <c r="A647" s="74">
        <v>40573</v>
      </c>
      <c r="B647" s="75">
        <v>1</v>
      </c>
      <c r="C647" s="73">
        <v>29</v>
      </c>
      <c r="D647" s="72" cm="1">
        <f t="array" ref="D647">AVERAGE(_xlfn._xlws.FILTER(C:C,B:B=B647))</f>
        <v>10.697674418604651</v>
      </c>
      <c r="E647" s="61" cm="1">
        <f t="array" ref="E647">_xlfn.STDEV.S(_xlfn._xlws.FILTER(C:C,B:B=B647))</f>
        <v>10.060613641515801</v>
      </c>
      <c r="F647" s="61">
        <f t="shared" si="61"/>
        <v>-9.4235528644269504</v>
      </c>
      <c r="G647" s="61">
        <f t="shared" si="62"/>
        <v>30.81890170163625</v>
      </c>
      <c r="H647" s="61">
        <f t="shared" si="60"/>
        <v>1.8192056899859042</v>
      </c>
      <c r="I647" s="28" t="str">
        <f t="shared" si="63"/>
        <v>Normal</v>
      </c>
      <c r="J647" s="49">
        <f t="shared" si="64"/>
        <v>29</v>
      </c>
      <c r="K647" s="49" t="e">
        <f t="shared" si="65"/>
        <v>#N/A</v>
      </c>
    </row>
    <row r="648" spans="1:11">
      <c r="A648" s="74">
        <v>40573</v>
      </c>
      <c r="B648" s="75">
        <v>2</v>
      </c>
      <c r="C648" s="73">
        <v>11</v>
      </c>
      <c r="D648" s="72" cm="1">
        <f t="array" ref="D648">AVERAGE(_xlfn._xlws.FILTER(C:C,B:B=B648))</f>
        <v>7.1707317073170733</v>
      </c>
      <c r="E648" s="61" cm="1">
        <f t="array" ref="E648">_xlfn.STDEV.S(_xlfn._xlws.FILTER(C:C,B:B=B648))</f>
        <v>7.3685223723090854</v>
      </c>
      <c r="F648" s="61">
        <f t="shared" si="61"/>
        <v>-7.5663130373010974</v>
      </c>
      <c r="G648" s="61">
        <f t="shared" si="62"/>
        <v>21.907776451935245</v>
      </c>
      <c r="H648" s="61">
        <f t="shared" si="60"/>
        <v>0.51967926528571329</v>
      </c>
      <c r="I648" s="28" t="str">
        <f t="shared" si="63"/>
        <v>Normal</v>
      </c>
      <c r="J648" s="49">
        <f t="shared" si="64"/>
        <v>11</v>
      </c>
      <c r="K648" s="49" t="e">
        <f t="shared" si="65"/>
        <v>#N/A</v>
      </c>
    </row>
    <row r="649" spans="1:11">
      <c r="A649" s="74">
        <v>40573</v>
      </c>
      <c r="B649" s="75">
        <v>3</v>
      </c>
      <c r="C649" s="73">
        <v>8</v>
      </c>
      <c r="D649" s="72" cm="1">
        <f t="array" ref="D649">AVERAGE(_xlfn._xlws.FILTER(C:C,B:B=B649))</f>
        <v>4.870967741935484</v>
      </c>
      <c r="E649" s="61" cm="1">
        <f t="array" ref="E649">_xlfn.STDEV.S(_xlfn._xlws.FILTER(C:C,B:B=B649))</f>
        <v>4.4702120418303126</v>
      </c>
      <c r="F649" s="61">
        <f t="shared" si="61"/>
        <v>-4.0694563417251413</v>
      </c>
      <c r="G649" s="61">
        <f t="shared" si="62"/>
        <v>13.811391825596109</v>
      </c>
      <c r="H649" s="61">
        <f t="shared" si="60"/>
        <v>0.69997401214626609</v>
      </c>
      <c r="I649" s="28" t="str">
        <f t="shared" si="63"/>
        <v>Normal</v>
      </c>
      <c r="J649" s="49">
        <f t="shared" si="64"/>
        <v>8</v>
      </c>
      <c r="K649" s="49" t="e">
        <f t="shared" si="65"/>
        <v>#N/A</v>
      </c>
    </row>
    <row r="650" spans="1:11">
      <c r="A650" s="74">
        <v>40573</v>
      </c>
      <c r="B650" s="75">
        <v>4</v>
      </c>
      <c r="C650" s="73">
        <v>1</v>
      </c>
      <c r="D650" s="72" cm="1">
        <f t="array" ref="D650">AVERAGE(_xlfn._xlws.FILTER(C:C,B:B=B650))</f>
        <v>2.15625</v>
      </c>
      <c r="E650" s="61" cm="1">
        <f t="array" ref="E650">_xlfn.STDEV.S(_xlfn._xlws.FILTER(C:C,B:B=B650))</f>
        <v>1.5263148747143209</v>
      </c>
      <c r="F650" s="61">
        <f t="shared" si="61"/>
        <v>-0.89637974942864185</v>
      </c>
      <c r="G650" s="61">
        <f t="shared" si="62"/>
        <v>5.2088797494286414</v>
      </c>
      <c r="H650" s="61">
        <f t="shared" si="60"/>
        <v>-0.75754355746314428</v>
      </c>
      <c r="I650" s="28" t="str">
        <f t="shared" si="63"/>
        <v>Normal</v>
      </c>
      <c r="J650" s="49">
        <f t="shared" si="64"/>
        <v>1</v>
      </c>
      <c r="K650" s="49" t="e">
        <f t="shared" si="65"/>
        <v>#N/A</v>
      </c>
    </row>
    <row r="651" spans="1:11">
      <c r="A651" s="74">
        <v>40573</v>
      </c>
      <c r="B651" s="75">
        <v>5</v>
      </c>
      <c r="C651" s="73">
        <v>3</v>
      </c>
      <c r="D651" s="72" cm="1">
        <f t="array" ref="D651">AVERAGE(_xlfn._xlws.FILTER(C:C,B:B=B651))</f>
        <v>4.2051282051282053</v>
      </c>
      <c r="E651" s="61" cm="1">
        <f t="array" ref="E651">_xlfn.STDEV.S(_xlfn._xlws.FILTER(C:C,B:B=B651))</f>
        <v>2.5358429220352288</v>
      </c>
      <c r="F651" s="61">
        <f t="shared" si="61"/>
        <v>-0.86655763894225224</v>
      </c>
      <c r="G651" s="61">
        <f t="shared" si="62"/>
        <v>9.2768140491986628</v>
      </c>
      <c r="H651" s="61">
        <f t="shared" si="60"/>
        <v>-0.47523771865214265</v>
      </c>
      <c r="I651" s="28" t="str">
        <f t="shared" si="63"/>
        <v>Normal</v>
      </c>
      <c r="J651" s="49">
        <f t="shared" si="64"/>
        <v>3</v>
      </c>
      <c r="K651" s="49" t="e">
        <f t="shared" si="65"/>
        <v>#N/A</v>
      </c>
    </row>
    <row r="652" spans="1:11">
      <c r="A652" s="74">
        <v>40573</v>
      </c>
      <c r="B652" s="75">
        <v>7</v>
      </c>
      <c r="C652" s="73">
        <v>3</v>
      </c>
      <c r="D652" s="72" cm="1">
        <f t="array" ref="D652">AVERAGE(_xlfn._xlws.FILTER(C:C,B:B=B652))</f>
        <v>54.395348837209305</v>
      </c>
      <c r="E652" s="61" cm="1">
        <f t="array" ref="E652">_xlfn.STDEV.S(_xlfn._xlws.FILTER(C:C,B:B=B652))</f>
        <v>39.112864486352777</v>
      </c>
      <c r="F652" s="61">
        <f t="shared" si="61"/>
        <v>-23.830380135496249</v>
      </c>
      <c r="G652" s="61">
        <f t="shared" si="62"/>
        <v>132.62107780991485</v>
      </c>
      <c r="H652" s="61">
        <f t="shared" si="60"/>
        <v>-1.3140267150502905</v>
      </c>
      <c r="I652" s="28" t="str">
        <f t="shared" si="63"/>
        <v>Normal</v>
      </c>
      <c r="J652" s="49">
        <f t="shared" si="64"/>
        <v>3</v>
      </c>
      <c r="K652" s="49" t="e">
        <f t="shared" si="65"/>
        <v>#N/A</v>
      </c>
    </row>
    <row r="653" spans="1:11">
      <c r="A653" s="74">
        <v>40573</v>
      </c>
      <c r="B653" s="75">
        <v>8</v>
      </c>
      <c r="C653" s="73">
        <v>12</v>
      </c>
      <c r="D653" s="72" cm="1">
        <f t="array" ref="D653">AVERAGE(_xlfn._xlws.FILTER(C:C,B:B=B653))</f>
        <v>128.28571428571428</v>
      </c>
      <c r="E653" s="61" cm="1">
        <f t="array" ref="E653">_xlfn.STDEV.S(_xlfn._xlws.FILTER(C:C,B:B=B653))</f>
        <v>88.551565717048547</v>
      </c>
      <c r="F653" s="61">
        <f t="shared" si="61"/>
        <v>-48.817417148382816</v>
      </c>
      <c r="G653" s="61">
        <f t="shared" si="62"/>
        <v>305.38884571981134</v>
      </c>
      <c r="H653" s="61">
        <f t="shared" si="60"/>
        <v>-1.3131977209447145</v>
      </c>
      <c r="I653" s="28" t="str">
        <f t="shared" si="63"/>
        <v>Normal</v>
      </c>
      <c r="J653" s="49">
        <f t="shared" si="64"/>
        <v>12</v>
      </c>
      <c r="K653" s="49" t="e">
        <f t="shared" si="65"/>
        <v>#N/A</v>
      </c>
    </row>
    <row r="654" spans="1:11">
      <c r="A654" s="74">
        <v>40573</v>
      </c>
      <c r="B654" s="75">
        <v>9</v>
      </c>
      <c r="C654" s="73">
        <v>38</v>
      </c>
      <c r="D654" s="72" cm="1">
        <f t="array" ref="D654">AVERAGE(_xlfn._xlws.FILTER(C:C,B:B=B654))</f>
        <v>87.428571428571431</v>
      </c>
      <c r="E654" s="61" cm="1">
        <f t="array" ref="E654">_xlfn.STDEV.S(_xlfn._xlws.FILTER(C:C,B:B=B654))</f>
        <v>45.93852884078624</v>
      </c>
      <c r="F654" s="61">
        <f t="shared" si="61"/>
        <v>-4.4484862530010503</v>
      </c>
      <c r="G654" s="61">
        <f t="shared" si="62"/>
        <v>179.30562911014391</v>
      </c>
      <c r="H654" s="61">
        <f t="shared" si="60"/>
        <v>-1.0759720146868652</v>
      </c>
      <c r="I654" s="28" t="str">
        <f t="shared" si="63"/>
        <v>Normal</v>
      </c>
      <c r="J654" s="49">
        <f t="shared" si="64"/>
        <v>38</v>
      </c>
      <c r="K654" s="49" t="e">
        <f t="shared" si="65"/>
        <v>#N/A</v>
      </c>
    </row>
    <row r="655" spans="1:11">
      <c r="A655" s="74">
        <v>40573</v>
      </c>
      <c r="B655" s="75">
        <v>10</v>
      </c>
      <c r="C655" s="73">
        <v>64</v>
      </c>
      <c r="D655" s="72" cm="1">
        <f t="array" ref="D655">AVERAGE(_xlfn._xlws.FILTER(C:C,B:B=B655))</f>
        <v>53.642857142857146</v>
      </c>
      <c r="E655" s="61" cm="1">
        <f t="array" ref="E655">_xlfn.STDEV.S(_xlfn._xlws.FILTER(C:C,B:B=B655))</f>
        <v>15.395313554536934</v>
      </c>
      <c r="F655" s="61">
        <f t="shared" si="61"/>
        <v>22.852230033783279</v>
      </c>
      <c r="G655" s="61">
        <f t="shared" si="62"/>
        <v>84.43348425193102</v>
      </c>
      <c r="H655" s="61">
        <f t="shared" si="60"/>
        <v>0.67274647057062686</v>
      </c>
      <c r="I655" s="28" t="str">
        <f t="shared" si="63"/>
        <v>Normal</v>
      </c>
      <c r="J655" s="49">
        <f t="shared" si="64"/>
        <v>64</v>
      </c>
      <c r="K655" s="49" t="e">
        <f t="shared" si="65"/>
        <v>#N/A</v>
      </c>
    </row>
    <row r="656" spans="1:11">
      <c r="A656" s="74">
        <v>40573</v>
      </c>
      <c r="B656" s="75">
        <v>11</v>
      </c>
      <c r="C656" s="73">
        <v>59</v>
      </c>
      <c r="D656" s="72" cm="1">
        <f t="array" ref="D656">AVERAGE(_xlfn._xlws.FILTER(C:C,B:B=B656))</f>
        <v>59.38095238095238</v>
      </c>
      <c r="E656" s="61" cm="1">
        <f t="array" ref="E656">_xlfn.STDEV.S(_xlfn._xlws.FILTER(C:C,B:B=B656))</f>
        <v>20.89573696860419</v>
      </c>
      <c r="F656" s="61">
        <f t="shared" si="61"/>
        <v>17.589478443743999</v>
      </c>
      <c r="G656" s="61">
        <f t="shared" si="62"/>
        <v>101.17242631816076</v>
      </c>
      <c r="H656" s="61">
        <f t="shared" si="60"/>
        <v>-1.8231105297925598E-2</v>
      </c>
      <c r="I656" s="28" t="str">
        <f t="shared" si="63"/>
        <v>Normal</v>
      </c>
      <c r="J656" s="49">
        <f t="shared" si="64"/>
        <v>59</v>
      </c>
      <c r="K656" s="49" t="e">
        <f t="shared" si="65"/>
        <v>#N/A</v>
      </c>
    </row>
    <row r="657" spans="1:11">
      <c r="A657" s="74">
        <v>40573</v>
      </c>
      <c r="B657" s="75">
        <v>12</v>
      </c>
      <c r="C657" s="73">
        <v>97</v>
      </c>
      <c r="D657" s="72" cm="1">
        <f t="array" ref="D657">AVERAGE(_xlfn._xlws.FILTER(C:C,B:B=B657))</f>
        <v>76.348837209302332</v>
      </c>
      <c r="E657" s="61" cm="1">
        <f t="array" ref="E657">_xlfn.STDEV.S(_xlfn._xlws.FILTER(C:C,B:B=B657))</f>
        <v>29.034366927857054</v>
      </c>
      <c r="F657" s="61">
        <f t="shared" si="61"/>
        <v>18.280103353588224</v>
      </c>
      <c r="G657" s="61">
        <f t="shared" si="62"/>
        <v>134.41757106501643</v>
      </c>
      <c r="H657" s="61">
        <f t="shared" si="60"/>
        <v>0.71126616406035326</v>
      </c>
      <c r="I657" s="28" t="str">
        <f t="shared" si="63"/>
        <v>Normal</v>
      </c>
      <c r="J657" s="49">
        <f t="shared" si="64"/>
        <v>97</v>
      </c>
      <c r="K657" s="49" t="e">
        <f t="shared" si="65"/>
        <v>#N/A</v>
      </c>
    </row>
    <row r="658" spans="1:11">
      <c r="A658" s="74">
        <v>40573</v>
      </c>
      <c r="B658" s="75">
        <v>13</v>
      </c>
      <c r="C658" s="73">
        <v>84</v>
      </c>
      <c r="D658" s="72" cm="1">
        <f t="array" ref="D658">AVERAGE(_xlfn._xlws.FILTER(C:C,B:B=B658))</f>
        <v>78.511627906976742</v>
      </c>
      <c r="E658" s="61" cm="1">
        <f t="array" ref="E658">_xlfn.STDEV.S(_xlfn._xlws.FILTER(C:C,B:B=B658))</f>
        <v>30.072430098825187</v>
      </c>
      <c r="F658" s="61">
        <f t="shared" si="61"/>
        <v>18.366767709326368</v>
      </c>
      <c r="G658" s="61">
        <f t="shared" si="62"/>
        <v>138.6564881046271</v>
      </c>
      <c r="H658" s="61">
        <f t="shared" si="60"/>
        <v>0.18250510766795888</v>
      </c>
      <c r="I658" s="28" t="str">
        <f t="shared" si="63"/>
        <v>Normal</v>
      </c>
      <c r="J658" s="49">
        <f t="shared" si="64"/>
        <v>84</v>
      </c>
      <c r="K658" s="49" t="e">
        <f t="shared" si="65"/>
        <v>#N/A</v>
      </c>
    </row>
    <row r="659" spans="1:11">
      <c r="A659" s="74">
        <v>40573</v>
      </c>
      <c r="B659" s="75">
        <v>14</v>
      </c>
      <c r="C659" s="73">
        <v>122</v>
      </c>
      <c r="D659" s="72" cm="1">
        <f t="array" ref="D659">AVERAGE(_xlfn._xlws.FILTER(C:C,B:B=B659))</f>
        <v>74.418604651162795</v>
      </c>
      <c r="E659" s="61" cm="1">
        <f t="array" ref="E659">_xlfn.STDEV.S(_xlfn._xlws.FILTER(C:C,B:B=B659))</f>
        <v>30.30576918056515</v>
      </c>
      <c r="F659" s="61">
        <f t="shared" si="61"/>
        <v>13.807066290032495</v>
      </c>
      <c r="G659" s="61">
        <f t="shared" si="62"/>
        <v>135.03014301229308</v>
      </c>
      <c r="H659" s="61">
        <f t="shared" si="60"/>
        <v>1.5700441412769282</v>
      </c>
      <c r="I659" s="28" t="str">
        <f t="shared" si="63"/>
        <v>Normal</v>
      </c>
      <c r="J659" s="49">
        <f t="shared" si="64"/>
        <v>122</v>
      </c>
      <c r="K659" s="49" t="e">
        <f t="shared" si="65"/>
        <v>#N/A</v>
      </c>
    </row>
    <row r="660" spans="1:11">
      <c r="A660" s="74">
        <v>40573</v>
      </c>
      <c r="B660" s="75">
        <v>15</v>
      </c>
      <c r="C660" s="73">
        <v>109</v>
      </c>
      <c r="D660" s="72" cm="1">
        <f t="array" ref="D660">AVERAGE(_xlfn._xlws.FILTER(C:C,B:B=B660))</f>
        <v>77.95348837209302</v>
      </c>
      <c r="E660" s="61" cm="1">
        <f t="array" ref="E660">_xlfn.STDEV.S(_xlfn._xlws.FILTER(C:C,B:B=B660))</f>
        <v>34.481156681772681</v>
      </c>
      <c r="F660" s="61">
        <f t="shared" si="61"/>
        <v>8.9911750085476569</v>
      </c>
      <c r="G660" s="61">
        <f t="shared" si="62"/>
        <v>146.91580173563838</v>
      </c>
      <c r="H660" s="61">
        <f t="shared" si="60"/>
        <v>0.90039066596390283</v>
      </c>
      <c r="I660" s="28" t="str">
        <f t="shared" si="63"/>
        <v>Normal</v>
      </c>
      <c r="J660" s="49">
        <f t="shared" si="64"/>
        <v>109</v>
      </c>
      <c r="K660" s="49" t="e">
        <f t="shared" si="65"/>
        <v>#N/A</v>
      </c>
    </row>
    <row r="661" spans="1:11">
      <c r="A661" s="74">
        <v>40573</v>
      </c>
      <c r="B661" s="75">
        <v>16</v>
      </c>
      <c r="C661" s="73">
        <v>123</v>
      </c>
      <c r="D661" s="72" cm="1">
        <f t="array" ref="D661">AVERAGE(_xlfn._xlws.FILTER(C:C,B:B=B661))</f>
        <v>89.272727272727266</v>
      </c>
      <c r="E661" s="61" cm="1">
        <f t="array" ref="E661">_xlfn.STDEV.S(_xlfn._xlws.FILTER(C:C,B:B=B661))</f>
        <v>25.461657115880758</v>
      </c>
      <c r="F661" s="61">
        <f t="shared" si="61"/>
        <v>38.34941304096575</v>
      </c>
      <c r="G661" s="61">
        <f t="shared" si="62"/>
        <v>140.19604150448879</v>
      </c>
      <c r="H661" s="61">
        <f t="shared" si="60"/>
        <v>1.3246299160252459</v>
      </c>
      <c r="I661" s="28" t="str">
        <f t="shared" si="63"/>
        <v>Normal</v>
      </c>
      <c r="J661" s="49">
        <f t="shared" si="64"/>
        <v>123</v>
      </c>
      <c r="K661" s="49" t="e">
        <f t="shared" si="65"/>
        <v>#N/A</v>
      </c>
    </row>
    <row r="662" spans="1:11">
      <c r="A662" s="74">
        <v>40573</v>
      </c>
      <c r="B662" s="75">
        <v>17</v>
      </c>
      <c r="C662" s="73">
        <v>77</v>
      </c>
      <c r="D662" s="72" cm="1">
        <f t="array" ref="D662">AVERAGE(_xlfn._xlws.FILTER(C:C,B:B=B662))</f>
        <v>140.20454545454547</v>
      </c>
      <c r="E662" s="61" cm="1">
        <f t="array" ref="E662">_xlfn.STDEV.S(_xlfn._xlws.FILTER(C:C,B:B=B662))</f>
        <v>54.067391000084555</v>
      </c>
      <c r="F662" s="61">
        <f t="shared" si="61"/>
        <v>32.069763454376357</v>
      </c>
      <c r="G662" s="61">
        <f t="shared" si="62"/>
        <v>248.33932745471458</v>
      </c>
      <c r="H662" s="61">
        <f t="shared" si="60"/>
        <v>-1.1689956605164584</v>
      </c>
      <c r="I662" s="28" t="str">
        <f t="shared" si="63"/>
        <v>Normal</v>
      </c>
      <c r="J662" s="49">
        <f t="shared" si="64"/>
        <v>77</v>
      </c>
      <c r="K662" s="49" t="e">
        <f t="shared" si="65"/>
        <v>#N/A</v>
      </c>
    </row>
    <row r="663" spans="1:11">
      <c r="A663" s="74">
        <v>40573</v>
      </c>
      <c r="B663" s="75">
        <v>18</v>
      </c>
      <c r="C663" s="73">
        <v>65</v>
      </c>
      <c r="D663" s="72" cm="1">
        <f t="array" ref="D663">AVERAGE(_xlfn._xlws.FILTER(C:C,B:B=B663))</f>
        <v>122.86046511627907</v>
      </c>
      <c r="E663" s="61" cm="1">
        <f t="array" ref="E663">_xlfn.STDEV.S(_xlfn._xlws.FILTER(C:C,B:B=B663))</f>
        <v>48.613432101949932</v>
      </c>
      <c r="F663" s="61">
        <f t="shared" si="61"/>
        <v>25.633600912379208</v>
      </c>
      <c r="G663" s="61">
        <f t="shared" si="62"/>
        <v>220.08732932017892</v>
      </c>
      <c r="H663" s="61">
        <f t="shared" si="60"/>
        <v>-1.190215597099515</v>
      </c>
      <c r="I663" s="28" t="str">
        <f t="shared" si="63"/>
        <v>Normal</v>
      </c>
      <c r="J663" s="49">
        <f t="shared" si="64"/>
        <v>65</v>
      </c>
      <c r="K663" s="49" t="e">
        <f t="shared" si="65"/>
        <v>#N/A</v>
      </c>
    </row>
    <row r="664" spans="1:11">
      <c r="A664" s="74">
        <v>40573</v>
      </c>
      <c r="B664" s="75">
        <v>19</v>
      </c>
      <c r="C664" s="73">
        <v>55</v>
      </c>
      <c r="D664" s="72" cm="1">
        <f t="array" ref="D664">AVERAGE(_xlfn._xlws.FILTER(C:C,B:B=B664))</f>
        <v>85.139534883720927</v>
      </c>
      <c r="E664" s="61" cm="1">
        <f t="array" ref="E664">_xlfn.STDEV.S(_xlfn._xlws.FILTER(C:C,B:B=B664))</f>
        <v>31.690904054294752</v>
      </c>
      <c r="F664" s="61">
        <f t="shared" si="61"/>
        <v>21.757726775131424</v>
      </c>
      <c r="G664" s="61">
        <f t="shared" si="62"/>
        <v>148.52134299231042</v>
      </c>
      <c r="H664" s="61">
        <f t="shared" si="60"/>
        <v>-0.95104686291322182</v>
      </c>
      <c r="I664" s="28" t="str">
        <f t="shared" si="63"/>
        <v>Normal</v>
      </c>
      <c r="J664" s="49">
        <f t="shared" si="64"/>
        <v>55</v>
      </c>
      <c r="K664" s="49" t="e">
        <f t="shared" si="65"/>
        <v>#N/A</v>
      </c>
    </row>
    <row r="665" spans="1:11">
      <c r="A665" s="74">
        <v>40573</v>
      </c>
      <c r="B665" s="75">
        <v>20</v>
      </c>
      <c r="C665" s="73">
        <v>33</v>
      </c>
      <c r="D665" s="72" cm="1">
        <f t="array" ref="D665">AVERAGE(_xlfn._xlws.FILTER(C:C,B:B=B665))</f>
        <v>61.767441860465119</v>
      </c>
      <c r="E665" s="61" cm="1">
        <f t="array" ref="E665">_xlfn.STDEV.S(_xlfn._xlws.FILTER(C:C,B:B=B665))</f>
        <v>24.632380169685593</v>
      </c>
      <c r="F665" s="61">
        <f t="shared" si="61"/>
        <v>12.502681521093933</v>
      </c>
      <c r="G665" s="61">
        <f t="shared" si="62"/>
        <v>111.03220219983631</v>
      </c>
      <c r="H665" s="61">
        <f t="shared" si="60"/>
        <v>-1.167870975613978</v>
      </c>
      <c r="I665" s="28" t="str">
        <f t="shared" si="63"/>
        <v>Normal</v>
      </c>
      <c r="J665" s="49">
        <f t="shared" si="64"/>
        <v>33</v>
      </c>
      <c r="K665" s="49" t="e">
        <f t="shared" si="65"/>
        <v>#N/A</v>
      </c>
    </row>
    <row r="666" spans="1:11">
      <c r="A666" s="74">
        <v>40573</v>
      </c>
      <c r="B666" s="75">
        <v>21</v>
      </c>
      <c r="C666" s="73">
        <v>28</v>
      </c>
      <c r="D666" s="72" cm="1">
        <f t="array" ref="D666">AVERAGE(_xlfn._xlws.FILTER(C:C,B:B=B666))</f>
        <v>46.418604651162788</v>
      </c>
      <c r="E666" s="61" cm="1">
        <f t="array" ref="E666">_xlfn.STDEV.S(_xlfn._xlws.FILTER(C:C,B:B=B666))</f>
        <v>14.656759464719496</v>
      </c>
      <c r="F666" s="61">
        <f t="shared" si="61"/>
        <v>17.105085721723796</v>
      </c>
      <c r="G666" s="61">
        <f t="shared" si="62"/>
        <v>75.73212358060178</v>
      </c>
      <c r="H666" s="61">
        <f t="shared" si="60"/>
        <v>-1.256662817964536</v>
      </c>
      <c r="I666" s="28" t="str">
        <f t="shared" si="63"/>
        <v>Normal</v>
      </c>
      <c r="J666" s="49">
        <f t="shared" si="64"/>
        <v>28</v>
      </c>
      <c r="K666" s="49" t="e">
        <f t="shared" si="65"/>
        <v>#N/A</v>
      </c>
    </row>
    <row r="667" spans="1:11">
      <c r="A667" s="74">
        <v>40573</v>
      </c>
      <c r="B667" s="75">
        <v>22</v>
      </c>
      <c r="C667" s="73">
        <v>21</v>
      </c>
      <c r="D667" s="72" cm="1">
        <f t="array" ref="D667">AVERAGE(_xlfn._xlws.FILTER(C:C,B:B=B667))</f>
        <v>35.069767441860463</v>
      </c>
      <c r="E667" s="61" cm="1">
        <f t="array" ref="E667">_xlfn.STDEV.S(_xlfn._xlws.FILTER(C:C,B:B=B667))</f>
        <v>11.95506537162667</v>
      </c>
      <c r="F667" s="61">
        <f t="shared" si="61"/>
        <v>11.159636698607123</v>
      </c>
      <c r="G667" s="61">
        <f t="shared" si="62"/>
        <v>58.979898185113804</v>
      </c>
      <c r="H667" s="61">
        <f t="shared" si="60"/>
        <v>-1.1768875371650147</v>
      </c>
      <c r="I667" s="28" t="str">
        <f t="shared" si="63"/>
        <v>Normal</v>
      </c>
      <c r="J667" s="49">
        <f t="shared" si="64"/>
        <v>21</v>
      </c>
      <c r="K667" s="49" t="e">
        <f t="shared" si="65"/>
        <v>#N/A</v>
      </c>
    </row>
    <row r="668" spans="1:11">
      <c r="A668" s="74">
        <v>40573</v>
      </c>
      <c r="B668" s="75">
        <v>23</v>
      </c>
      <c r="C668" s="73">
        <v>21</v>
      </c>
      <c r="D668" s="72" cm="1">
        <f t="array" ref="D668">AVERAGE(_xlfn._xlws.FILTER(C:C,B:B=B668))</f>
        <v>25.186046511627907</v>
      </c>
      <c r="E668" s="61" cm="1">
        <f t="array" ref="E668">_xlfn.STDEV.S(_xlfn._xlws.FILTER(C:C,B:B=B668))</f>
        <v>11.751911321656188</v>
      </c>
      <c r="F668" s="61">
        <f t="shared" si="61"/>
        <v>1.6822238683155319</v>
      </c>
      <c r="G668" s="61">
        <f t="shared" si="62"/>
        <v>48.689869154940283</v>
      </c>
      <c r="H668" s="61">
        <f t="shared" si="60"/>
        <v>-0.35620133585538077</v>
      </c>
      <c r="I668" s="28" t="str">
        <f t="shared" si="63"/>
        <v>Normal</v>
      </c>
      <c r="J668" s="49">
        <f t="shared" si="64"/>
        <v>21</v>
      </c>
      <c r="K668" s="49" t="e">
        <f t="shared" si="65"/>
        <v>#N/A</v>
      </c>
    </row>
    <row r="669" spans="1:11">
      <c r="A669" s="74">
        <v>40574</v>
      </c>
      <c r="B669" s="75">
        <v>0</v>
      </c>
      <c r="C669" s="73">
        <v>7</v>
      </c>
      <c r="D669" s="72" cm="1">
        <f t="array" ref="D669">AVERAGE(_xlfn._xlws.FILTER(C:C,B:B=B669))</f>
        <v>16.348837209302324</v>
      </c>
      <c r="E669" s="61" cm="1">
        <f t="array" ref="E669">_xlfn.STDEV.S(_xlfn._xlws.FILTER(C:C,B:B=B669))</f>
        <v>10.44232167427621</v>
      </c>
      <c r="F669" s="61">
        <f t="shared" si="61"/>
        <v>-4.535806139250095</v>
      </c>
      <c r="G669" s="61">
        <f t="shared" si="62"/>
        <v>37.233480557854747</v>
      </c>
      <c r="H669" s="61">
        <f t="shared" si="60"/>
        <v>-0.89528339586898642</v>
      </c>
      <c r="I669" s="28" t="str">
        <f t="shared" si="63"/>
        <v>Normal</v>
      </c>
      <c r="J669" s="49">
        <f t="shared" si="64"/>
        <v>7</v>
      </c>
      <c r="K669" s="49" t="e">
        <f t="shared" si="65"/>
        <v>#N/A</v>
      </c>
    </row>
    <row r="670" spans="1:11">
      <c r="A670" s="74">
        <v>40574</v>
      </c>
      <c r="B670" s="75">
        <v>1</v>
      </c>
      <c r="C670" s="73">
        <v>7</v>
      </c>
      <c r="D670" s="72" cm="1">
        <f t="array" ref="D670">AVERAGE(_xlfn._xlws.FILTER(C:C,B:B=B670))</f>
        <v>10.697674418604651</v>
      </c>
      <c r="E670" s="61" cm="1">
        <f t="array" ref="E670">_xlfn.STDEV.S(_xlfn._xlws.FILTER(C:C,B:B=B670))</f>
        <v>10.060613641515801</v>
      </c>
      <c r="F670" s="61">
        <f t="shared" si="61"/>
        <v>-9.4235528644269504</v>
      </c>
      <c r="G670" s="61">
        <f t="shared" si="62"/>
        <v>30.81890170163625</v>
      </c>
      <c r="H670" s="61">
        <f t="shared" si="60"/>
        <v>-0.36753965020045576</v>
      </c>
      <c r="I670" s="28" t="str">
        <f t="shared" si="63"/>
        <v>Normal</v>
      </c>
      <c r="J670" s="49">
        <f t="shared" si="64"/>
        <v>7</v>
      </c>
      <c r="K670" s="49" t="e">
        <f t="shared" si="65"/>
        <v>#N/A</v>
      </c>
    </row>
    <row r="671" spans="1:11">
      <c r="A671" s="74">
        <v>40574</v>
      </c>
      <c r="B671" s="75">
        <v>2</v>
      </c>
      <c r="C671" s="73">
        <v>1</v>
      </c>
      <c r="D671" s="72" cm="1">
        <f t="array" ref="D671">AVERAGE(_xlfn._xlws.FILTER(C:C,B:B=B671))</f>
        <v>7.1707317073170733</v>
      </c>
      <c r="E671" s="61" cm="1">
        <f t="array" ref="E671">_xlfn.STDEV.S(_xlfn._xlws.FILTER(C:C,B:B=B671))</f>
        <v>7.3685223723090854</v>
      </c>
      <c r="F671" s="61">
        <f t="shared" si="61"/>
        <v>-7.5663130373010974</v>
      </c>
      <c r="G671" s="61">
        <f t="shared" si="62"/>
        <v>21.907776451935245</v>
      </c>
      <c r="H671" s="61">
        <f t="shared" si="60"/>
        <v>-0.83744493068334691</v>
      </c>
      <c r="I671" s="28" t="str">
        <f t="shared" si="63"/>
        <v>Normal</v>
      </c>
      <c r="J671" s="49">
        <f t="shared" si="64"/>
        <v>1</v>
      </c>
      <c r="K671" s="49" t="e">
        <f t="shared" si="65"/>
        <v>#N/A</v>
      </c>
    </row>
    <row r="672" spans="1:11">
      <c r="A672" s="74">
        <v>40574</v>
      </c>
      <c r="B672" s="75">
        <v>3</v>
      </c>
      <c r="C672" s="73">
        <v>2</v>
      </c>
      <c r="D672" s="72" cm="1">
        <f t="array" ref="D672">AVERAGE(_xlfn._xlws.FILTER(C:C,B:B=B672))</f>
        <v>4.870967741935484</v>
      </c>
      <c r="E672" s="61" cm="1">
        <f t="array" ref="E672">_xlfn.STDEV.S(_xlfn._xlws.FILTER(C:C,B:B=B672))</f>
        <v>4.4702120418303126</v>
      </c>
      <c r="F672" s="61">
        <f t="shared" si="61"/>
        <v>-4.0694563417251413</v>
      </c>
      <c r="G672" s="61">
        <f t="shared" si="62"/>
        <v>13.811391825596109</v>
      </c>
      <c r="H672" s="61">
        <f t="shared" si="60"/>
        <v>-0.64224419671152255</v>
      </c>
      <c r="I672" s="28" t="str">
        <f t="shared" si="63"/>
        <v>Normal</v>
      </c>
      <c r="J672" s="49">
        <f t="shared" si="64"/>
        <v>2</v>
      </c>
      <c r="K672" s="49" t="e">
        <f t="shared" si="65"/>
        <v>#N/A</v>
      </c>
    </row>
    <row r="673" spans="1:11">
      <c r="A673" s="74">
        <v>40574</v>
      </c>
      <c r="B673" s="75">
        <v>4</v>
      </c>
      <c r="C673" s="73">
        <v>2</v>
      </c>
      <c r="D673" s="72" cm="1">
        <f t="array" ref="D673">AVERAGE(_xlfn._xlws.FILTER(C:C,B:B=B673))</f>
        <v>2.15625</v>
      </c>
      <c r="E673" s="61" cm="1">
        <f t="array" ref="E673">_xlfn.STDEV.S(_xlfn._xlws.FILTER(C:C,B:B=B673))</f>
        <v>1.5263148747143209</v>
      </c>
      <c r="F673" s="61">
        <f t="shared" si="61"/>
        <v>-0.89637974942864185</v>
      </c>
      <c r="G673" s="61">
        <f t="shared" si="62"/>
        <v>5.2088797494286414</v>
      </c>
      <c r="H673" s="61">
        <f t="shared" si="60"/>
        <v>-0.102370751008533</v>
      </c>
      <c r="I673" s="28" t="str">
        <f t="shared" si="63"/>
        <v>Normal</v>
      </c>
      <c r="J673" s="49">
        <f t="shared" si="64"/>
        <v>2</v>
      </c>
      <c r="K673" s="49" t="e">
        <f t="shared" si="65"/>
        <v>#N/A</v>
      </c>
    </row>
    <row r="674" spans="1:11">
      <c r="A674" s="74">
        <v>40574</v>
      </c>
      <c r="B674" s="75">
        <v>5</v>
      </c>
      <c r="C674" s="73">
        <v>8</v>
      </c>
      <c r="D674" s="72" cm="1">
        <f t="array" ref="D674">AVERAGE(_xlfn._xlws.FILTER(C:C,B:B=B674))</f>
        <v>4.2051282051282053</v>
      </c>
      <c r="E674" s="61" cm="1">
        <f t="array" ref="E674">_xlfn.STDEV.S(_xlfn._xlws.FILTER(C:C,B:B=B674))</f>
        <v>2.5358429220352288</v>
      </c>
      <c r="F674" s="61">
        <f t="shared" si="61"/>
        <v>-0.86655763894225224</v>
      </c>
      <c r="G674" s="61">
        <f t="shared" si="62"/>
        <v>9.2768140491986628</v>
      </c>
      <c r="H674" s="61">
        <f t="shared" si="60"/>
        <v>1.4964932417131298</v>
      </c>
      <c r="I674" s="28" t="str">
        <f t="shared" si="63"/>
        <v>Normal</v>
      </c>
      <c r="J674" s="49">
        <f t="shared" si="64"/>
        <v>8</v>
      </c>
      <c r="K674" s="49" t="e">
        <f t="shared" si="65"/>
        <v>#N/A</v>
      </c>
    </row>
    <row r="675" spans="1:11">
      <c r="A675" s="74">
        <v>40574</v>
      </c>
      <c r="B675" s="75">
        <v>6</v>
      </c>
      <c r="C675" s="73">
        <v>37</v>
      </c>
      <c r="D675" s="72" cm="1">
        <f t="array" ref="D675">AVERAGE(_xlfn._xlws.FILTER(C:C,B:B=B675))</f>
        <v>19.571428571428573</v>
      </c>
      <c r="E675" s="61" cm="1">
        <f t="array" ref="E675">_xlfn.STDEV.S(_xlfn._xlws.FILTER(C:C,B:B=B675))</f>
        <v>14.202615453298934</v>
      </c>
      <c r="F675" s="61">
        <f t="shared" si="61"/>
        <v>-8.8338023351692954</v>
      </c>
      <c r="G675" s="61">
        <f t="shared" si="62"/>
        <v>47.976659478026441</v>
      </c>
      <c r="H675" s="61">
        <f t="shared" si="60"/>
        <v>1.2271381623955171</v>
      </c>
      <c r="I675" s="28" t="str">
        <f t="shared" si="63"/>
        <v>Normal</v>
      </c>
      <c r="J675" s="49">
        <f t="shared" si="64"/>
        <v>37</v>
      </c>
      <c r="K675" s="49" t="e">
        <f t="shared" si="65"/>
        <v>#N/A</v>
      </c>
    </row>
    <row r="676" spans="1:11">
      <c r="A676" s="74">
        <v>40574</v>
      </c>
      <c r="B676" s="75">
        <v>7</v>
      </c>
      <c r="C676" s="73">
        <v>72</v>
      </c>
      <c r="D676" s="72" cm="1">
        <f t="array" ref="D676">AVERAGE(_xlfn._xlws.FILTER(C:C,B:B=B676))</f>
        <v>54.395348837209305</v>
      </c>
      <c r="E676" s="61" cm="1">
        <f t="array" ref="E676">_xlfn.STDEV.S(_xlfn._xlws.FILTER(C:C,B:B=B676))</f>
        <v>39.112864486352777</v>
      </c>
      <c r="F676" s="61">
        <f t="shared" si="61"/>
        <v>-23.830380135496249</v>
      </c>
      <c r="G676" s="61">
        <f t="shared" si="62"/>
        <v>132.62107780991485</v>
      </c>
      <c r="H676" s="61">
        <f t="shared" si="60"/>
        <v>0.45009874357152474</v>
      </c>
      <c r="I676" s="28" t="str">
        <f t="shared" si="63"/>
        <v>Normal</v>
      </c>
      <c r="J676" s="49">
        <f t="shared" si="64"/>
        <v>72</v>
      </c>
      <c r="K676" s="49" t="e">
        <f t="shared" si="65"/>
        <v>#N/A</v>
      </c>
    </row>
    <row r="677" spans="1:11">
      <c r="A677" s="74">
        <v>40574</v>
      </c>
      <c r="B677" s="75">
        <v>8</v>
      </c>
      <c r="C677" s="73">
        <v>185</v>
      </c>
      <c r="D677" s="72" cm="1">
        <f t="array" ref="D677">AVERAGE(_xlfn._xlws.FILTER(C:C,B:B=B677))</f>
        <v>128.28571428571428</v>
      </c>
      <c r="E677" s="61" cm="1">
        <f t="array" ref="E677">_xlfn.STDEV.S(_xlfn._xlws.FILTER(C:C,B:B=B677))</f>
        <v>88.551565717048547</v>
      </c>
      <c r="F677" s="61">
        <f t="shared" si="61"/>
        <v>-48.817417148382816</v>
      </c>
      <c r="G677" s="61">
        <f t="shared" si="62"/>
        <v>305.38884571981134</v>
      </c>
      <c r="H677" s="61">
        <f t="shared" si="60"/>
        <v>0.64046621033790152</v>
      </c>
      <c r="I677" s="28" t="str">
        <f t="shared" si="63"/>
        <v>Normal</v>
      </c>
      <c r="J677" s="49">
        <f t="shared" si="64"/>
        <v>185</v>
      </c>
      <c r="K677" s="49" t="e">
        <f t="shared" si="65"/>
        <v>#N/A</v>
      </c>
    </row>
    <row r="678" spans="1:11">
      <c r="A678" s="74">
        <v>40574</v>
      </c>
      <c r="B678" s="75">
        <v>9</v>
      </c>
      <c r="C678" s="73">
        <v>112</v>
      </c>
      <c r="D678" s="72" cm="1">
        <f t="array" ref="D678">AVERAGE(_xlfn._xlws.FILTER(C:C,B:B=B678))</f>
        <v>87.428571428571431</v>
      </c>
      <c r="E678" s="61" cm="1">
        <f t="array" ref="E678">_xlfn.STDEV.S(_xlfn._xlws.FILTER(C:C,B:B=B678))</f>
        <v>45.93852884078624</v>
      </c>
      <c r="F678" s="61">
        <f t="shared" si="61"/>
        <v>-4.4484862530010503</v>
      </c>
      <c r="G678" s="61">
        <f t="shared" si="62"/>
        <v>179.30562911014391</v>
      </c>
      <c r="H678" s="61">
        <f t="shared" si="60"/>
        <v>0.53487626163624502</v>
      </c>
      <c r="I678" s="28" t="str">
        <f t="shared" si="63"/>
        <v>Normal</v>
      </c>
      <c r="J678" s="49">
        <f t="shared" si="64"/>
        <v>112</v>
      </c>
      <c r="K678" s="49" t="e">
        <f t="shared" si="65"/>
        <v>#N/A</v>
      </c>
    </row>
    <row r="679" spans="1:11">
      <c r="A679" s="74">
        <v>40574</v>
      </c>
      <c r="B679" s="75">
        <v>10</v>
      </c>
      <c r="C679" s="73">
        <v>69</v>
      </c>
      <c r="D679" s="72" cm="1">
        <f t="array" ref="D679">AVERAGE(_xlfn._xlws.FILTER(C:C,B:B=B679))</f>
        <v>53.642857142857146</v>
      </c>
      <c r="E679" s="61" cm="1">
        <f t="array" ref="E679">_xlfn.STDEV.S(_xlfn._xlws.FILTER(C:C,B:B=B679))</f>
        <v>15.395313554536934</v>
      </c>
      <c r="F679" s="61">
        <f t="shared" si="61"/>
        <v>22.852230033783279</v>
      </c>
      <c r="G679" s="61">
        <f t="shared" si="62"/>
        <v>84.43348425193102</v>
      </c>
      <c r="H679" s="61">
        <f t="shared" si="60"/>
        <v>0.99752062877713654</v>
      </c>
      <c r="I679" s="28" t="str">
        <f t="shared" si="63"/>
        <v>Normal</v>
      </c>
      <c r="J679" s="49">
        <f t="shared" si="64"/>
        <v>69</v>
      </c>
      <c r="K679" s="49" t="e">
        <f t="shared" si="65"/>
        <v>#N/A</v>
      </c>
    </row>
    <row r="680" spans="1:11">
      <c r="A680" s="74">
        <v>40574</v>
      </c>
      <c r="B680" s="75">
        <v>11</v>
      </c>
      <c r="C680" s="73">
        <v>48</v>
      </c>
      <c r="D680" s="72" cm="1">
        <f t="array" ref="D680">AVERAGE(_xlfn._xlws.FILTER(C:C,B:B=B680))</f>
        <v>59.38095238095238</v>
      </c>
      <c r="E680" s="61" cm="1">
        <f t="array" ref="E680">_xlfn.STDEV.S(_xlfn._xlws.FILTER(C:C,B:B=B680))</f>
        <v>20.89573696860419</v>
      </c>
      <c r="F680" s="61">
        <f t="shared" si="61"/>
        <v>17.589478443743999</v>
      </c>
      <c r="G680" s="61">
        <f t="shared" si="62"/>
        <v>101.17242631816076</v>
      </c>
      <c r="H680" s="61">
        <f t="shared" si="60"/>
        <v>-0.54465427077552908</v>
      </c>
      <c r="I680" s="28" t="str">
        <f t="shared" si="63"/>
        <v>Normal</v>
      </c>
      <c r="J680" s="49">
        <f t="shared" si="64"/>
        <v>48</v>
      </c>
      <c r="K680" s="49" t="e">
        <f t="shared" si="65"/>
        <v>#N/A</v>
      </c>
    </row>
    <row r="681" spans="1:11">
      <c r="A681" s="74">
        <v>40574</v>
      </c>
      <c r="B681" s="75">
        <v>12</v>
      </c>
      <c r="C681" s="73">
        <v>68</v>
      </c>
      <c r="D681" s="72" cm="1">
        <f t="array" ref="D681">AVERAGE(_xlfn._xlws.FILTER(C:C,B:B=B681))</f>
        <v>76.348837209302332</v>
      </c>
      <c r="E681" s="61" cm="1">
        <f t="array" ref="E681">_xlfn.STDEV.S(_xlfn._xlws.FILTER(C:C,B:B=B681))</f>
        <v>29.034366927857054</v>
      </c>
      <c r="F681" s="61">
        <f t="shared" si="61"/>
        <v>18.280103353588224</v>
      </c>
      <c r="G681" s="61">
        <f t="shared" si="62"/>
        <v>134.41757106501643</v>
      </c>
      <c r="H681" s="61">
        <f t="shared" si="60"/>
        <v>-0.28755017218205747</v>
      </c>
      <c r="I681" s="28" t="str">
        <f t="shared" si="63"/>
        <v>Normal</v>
      </c>
      <c r="J681" s="49">
        <f t="shared" si="64"/>
        <v>68</v>
      </c>
      <c r="K681" s="49" t="e">
        <f t="shared" si="65"/>
        <v>#N/A</v>
      </c>
    </row>
    <row r="682" spans="1:11">
      <c r="A682" s="74">
        <v>40574</v>
      </c>
      <c r="B682" s="75">
        <v>13</v>
      </c>
      <c r="C682" s="73">
        <v>54</v>
      </c>
      <c r="D682" s="72" cm="1">
        <f t="array" ref="D682">AVERAGE(_xlfn._xlws.FILTER(C:C,B:B=B682))</f>
        <v>78.511627906976742</v>
      </c>
      <c r="E682" s="61" cm="1">
        <f t="array" ref="E682">_xlfn.STDEV.S(_xlfn._xlws.FILTER(C:C,B:B=B682))</f>
        <v>30.072430098825187</v>
      </c>
      <c r="F682" s="61">
        <f t="shared" si="61"/>
        <v>18.366767709326368</v>
      </c>
      <c r="G682" s="61">
        <f t="shared" si="62"/>
        <v>138.6564881046271</v>
      </c>
      <c r="H682" s="61">
        <f t="shared" si="60"/>
        <v>-0.81508637068656165</v>
      </c>
      <c r="I682" s="28" t="str">
        <f t="shared" si="63"/>
        <v>Normal</v>
      </c>
      <c r="J682" s="49">
        <f t="shared" si="64"/>
        <v>54</v>
      </c>
      <c r="K682" s="49" t="e">
        <f t="shared" si="65"/>
        <v>#N/A</v>
      </c>
    </row>
    <row r="683" spans="1:11">
      <c r="A683" s="74">
        <v>40574</v>
      </c>
      <c r="B683" s="75">
        <v>14</v>
      </c>
      <c r="C683" s="73">
        <v>86</v>
      </c>
      <c r="D683" s="72" cm="1">
        <f t="array" ref="D683">AVERAGE(_xlfn._xlws.FILTER(C:C,B:B=B683))</f>
        <v>74.418604651162795</v>
      </c>
      <c r="E683" s="61" cm="1">
        <f t="array" ref="E683">_xlfn.STDEV.S(_xlfn._xlws.FILTER(C:C,B:B=B683))</f>
        <v>30.30576918056515</v>
      </c>
      <c r="F683" s="61">
        <f t="shared" si="61"/>
        <v>13.807066290032495</v>
      </c>
      <c r="G683" s="61">
        <f t="shared" si="62"/>
        <v>135.03014301229308</v>
      </c>
      <c r="H683" s="61">
        <f t="shared" si="60"/>
        <v>0.38215150652781527</v>
      </c>
      <c r="I683" s="28" t="str">
        <f t="shared" si="63"/>
        <v>Normal</v>
      </c>
      <c r="J683" s="49">
        <f t="shared" si="64"/>
        <v>86</v>
      </c>
      <c r="K683" s="49" t="e">
        <f t="shared" si="65"/>
        <v>#N/A</v>
      </c>
    </row>
    <row r="684" spans="1:11">
      <c r="A684" s="74">
        <v>40574</v>
      </c>
      <c r="B684" s="75">
        <v>15</v>
      </c>
      <c r="C684" s="73">
        <v>44</v>
      </c>
      <c r="D684" s="72" cm="1">
        <f t="array" ref="D684">AVERAGE(_xlfn._xlws.FILTER(C:C,B:B=B684))</f>
        <v>77.95348837209302</v>
      </c>
      <c r="E684" s="61" cm="1">
        <f t="array" ref="E684">_xlfn.STDEV.S(_xlfn._xlws.FILTER(C:C,B:B=B684))</f>
        <v>34.481156681772681</v>
      </c>
      <c r="F684" s="61">
        <f t="shared" si="61"/>
        <v>8.9911750085476569</v>
      </c>
      <c r="G684" s="61">
        <f t="shared" si="62"/>
        <v>146.91580173563838</v>
      </c>
      <c r="H684" s="61">
        <f t="shared" si="60"/>
        <v>-0.98469690809535415</v>
      </c>
      <c r="I684" s="28" t="str">
        <f t="shared" si="63"/>
        <v>Normal</v>
      </c>
      <c r="J684" s="49">
        <f t="shared" si="64"/>
        <v>44</v>
      </c>
      <c r="K684" s="49" t="e">
        <f t="shared" si="65"/>
        <v>#N/A</v>
      </c>
    </row>
    <row r="685" spans="1:11">
      <c r="A685" s="74">
        <v>40574</v>
      </c>
      <c r="B685" s="75">
        <v>16</v>
      </c>
      <c r="C685" s="73">
        <v>86</v>
      </c>
      <c r="D685" s="72" cm="1">
        <f t="array" ref="D685">AVERAGE(_xlfn._xlws.FILTER(C:C,B:B=B685))</f>
        <v>89.272727272727266</v>
      </c>
      <c r="E685" s="61" cm="1">
        <f t="array" ref="E685">_xlfn.STDEV.S(_xlfn._xlws.FILTER(C:C,B:B=B685))</f>
        <v>25.461657115880758</v>
      </c>
      <c r="F685" s="61">
        <f t="shared" si="61"/>
        <v>38.34941304096575</v>
      </c>
      <c r="G685" s="61">
        <f t="shared" si="62"/>
        <v>140.19604150448879</v>
      </c>
      <c r="H685" s="61">
        <f t="shared" si="60"/>
        <v>-0.12853551745797506</v>
      </c>
      <c r="I685" s="28" t="str">
        <f t="shared" si="63"/>
        <v>Normal</v>
      </c>
      <c r="J685" s="49">
        <f t="shared" si="64"/>
        <v>86</v>
      </c>
      <c r="K685" s="49" t="e">
        <f t="shared" si="65"/>
        <v>#N/A</v>
      </c>
    </row>
    <row r="686" spans="1:11">
      <c r="A686" s="74">
        <v>40574</v>
      </c>
      <c r="B686" s="75">
        <v>17</v>
      </c>
      <c r="C686" s="73">
        <v>161</v>
      </c>
      <c r="D686" s="72" cm="1">
        <f t="array" ref="D686">AVERAGE(_xlfn._xlws.FILTER(C:C,B:B=B686))</f>
        <v>140.20454545454547</v>
      </c>
      <c r="E686" s="61" cm="1">
        <f t="array" ref="E686">_xlfn.STDEV.S(_xlfn._xlws.FILTER(C:C,B:B=B686))</f>
        <v>54.067391000084555</v>
      </c>
      <c r="F686" s="61">
        <f t="shared" si="61"/>
        <v>32.069763454376357</v>
      </c>
      <c r="G686" s="61">
        <f t="shared" si="62"/>
        <v>248.33932745471458</v>
      </c>
      <c r="H686" s="61">
        <f t="shared" si="60"/>
        <v>0.38462101020228645</v>
      </c>
      <c r="I686" s="28" t="str">
        <f t="shared" si="63"/>
        <v>Normal</v>
      </c>
      <c r="J686" s="49">
        <f t="shared" si="64"/>
        <v>161</v>
      </c>
      <c r="K686" s="49" t="e">
        <f t="shared" si="65"/>
        <v>#N/A</v>
      </c>
    </row>
    <row r="687" spans="1:11">
      <c r="A687" s="74">
        <v>40574</v>
      </c>
      <c r="B687" s="75">
        <v>18</v>
      </c>
      <c r="C687" s="73">
        <v>156</v>
      </c>
      <c r="D687" s="72" cm="1">
        <f t="array" ref="D687">AVERAGE(_xlfn._xlws.FILTER(C:C,B:B=B687))</f>
        <v>122.86046511627907</v>
      </c>
      <c r="E687" s="61" cm="1">
        <f t="array" ref="E687">_xlfn.STDEV.S(_xlfn._xlws.FILTER(C:C,B:B=B687))</f>
        <v>48.613432101949932</v>
      </c>
      <c r="F687" s="61">
        <f t="shared" si="61"/>
        <v>25.633600912379208</v>
      </c>
      <c r="G687" s="61">
        <f t="shared" si="62"/>
        <v>220.08732932017892</v>
      </c>
      <c r="H687" s="61">
        <f t="shared" si="60"/>
        <v>0.68169502647379776</v>
      </c>
      <c r="I687" s="28" t="str">
        <f t="shared" si="63"/>
        <v>Normal</v>
      </c>
      <c r="J687" s="49">
        <f t="shared" si="64"/>
        <v>156</v>
      </c>
      <c r="K687" s="49" t="e">
        <f t="shared" si="65"/>
        <v>#N/A</v>
      </c>
    </row>
    <row r="688" spans="1:11">
      <c r="A688" s="74">
        <v>40574</v>
      </c>
      <c r="B688" s="75">
        <v>19</v>
      </c>
      <c r="C688" s="73">
        <v>111</v>
      </c>
      <c r="D688" s="72" cm="1">
        <f t="array" ref="D688">AVERAGE(_xlfn._xlws.FILTER(C:C,B:B=B688))</f>
        <v>85.139534883720927</v>
      </c>
      <c r="E688" s="61" cm="1">
        <f t="array" ref="E688">_xlfn.STDEV.S(_xlfn._xlws.FILTER(C:C,B:B=B688))</f>
        <v>31.690904054294752</v>
      </c>
      <c r="F688" s="61">
        <f t="shared" si="61"/>
        <v>21.757726775131424</v>
      </c>
      <c r="G688" s="61">
        <f t="shared" si="62"/>
        <v>148.52134299231042</v>
      </c>
      <c r="H688" s="61">
        <f t="shared" si="60"/>
        <v>0.81602169101813493</v>
      </c>
      <c r="I688" s="28" t="str">
        <f t="shared" si="63"/>
        <v>Normal</v>
      </c>
      <c r="J688" s="49">
        <f t="shared" si="64"/>
        <v>111</v>
      </c>
      <c r="K688" s="49" t="e">
        <f t="shared" si="65"/>
        <v>#N/A</v>
      </c>
    </row>
    <row r="689" spans="1:11">
      <c r="A689" s="74">
        <v>40574</v>
      </c>
      <c r="B689" s="75">
        <v>20</v>
      </c>
      <c r="C689" s="73">
        <v>78</v>
      </c>
      <c r="D689" s="72" cm="1">
        <f t="array" ref="D689">AVERAGE(_xlfn._xlws.FILTER(C:C,B:B=B689))</f>
        <v>61.767441860465119</v>
      </c>
      <c r="E689" s="61" cm="1">
        <f t="array" ref="E689">_xlfn.STDEV.S(_xlfn._xlws.FILTER(C:C,B:B=B689))</f>
        <v>24.632380169685593</v>
      </c>
      <c r="F689" s="61">
        <f t="shared" si="61"/>
        <v>12.502681521093933</v>
      </c>
      <c r="G689" s="61">
        <f t="shared" si="62"/>
        <v>111.03220219983631</v>
      </c>
      <c r="H689" s="61">
        <f t="shared" si="60"/>
        <v>0.65899267661968997</v>
      </c>
      <c r="I689" s="28" t="str">
        <f t="shared" si="63"/>
        <v>Normal</v>
      </c>
      <c r="J689" s="49">
        <f t="shared" si="64"/>
        <v>78</v>
      </c>
      <c r="K689" s="49" t="e">
        <f t="shared" si="65"/>
        <v>#N/A</v>
      </c>
    </row>
    <row r="690" spans="1:11">
      <c r="A690" s="74">
        <v>40574</v>
      </c>
      <c r="B690" s="75">
        <v>21</v>
      </c>
      <c r="C690" s="73">
        <v>56</v>
      </c>
      <c r="D690" s="72" cm="1">
        <f t="array" ref="D690">AVERAGE(_xlfn._xlws.FILTER(C:C,B:B=B690))</f>
        <v>46.418604651162788</v>
      </c>
      <c r="E690" s="61" cm="1">
        <f t="array" ref="E690">_xlfn.STDEV.S(_xlfn._xlws.FILTER(C:C,B:B=B690))</f>
        <v>14.656759464719496</v>
      </c>
      <c r="F690" s="61">
        <f t="shared" si="61"/>
        <v>17.105085721723796</v>
      </c>
      <c r="G690" s="61">
        <f t="shared" si="62"/>
        <v>75.73212358060178</v>
      </c>
      <c r="H690" s="61">
        <f t="shared" si="60"/>
        <v>0.65371853661791557</v>
      </c>
      <c r="I690" s="28" t="str">
        <f t="shared" si="63"/>
        <v>Normal</v>
      </c>
      <c r="J690" s="49">
        <f t="shared" si="64"/>
        <v>56</v>
      </c>
      <c r="K690" s="49" t="e">
        <f t="shared" si="65"/>
        <v>#N/A</v>
      </c>
    </row>
    <row r="691" spans="1:11">
      <c r="A691" s="74">
        <v>40574</v>
      </c>
      <c r="B691" s="75">
        <v>22</v>
      </c>
      <c r="C691" s="73">
        <v>34</v>
      </c>
      <c r="D691" s="72" cm="1">
        <f t="array" ref="D691">AVERAGE(_xlfn._xlws.FILTER(C:C,B:B=B691))</f>
        <v>35.069767441860463</v>
      </c>
      <c r="E691" s="61" cm="1">
        <f t="array" ref="E691">_xlfn.STDEV.S(_xlfn._xlws.FILTER(C:C,B:B=B691))</f>
        <v>11.95506537162667</v>
      </c>
      <c r="F691" s="61">
        <f t="shared" si="61"/>
        <v>11.159636698607123</v>
      </c>
      <c r="G691" s="61">
        <f t="shared" si="62"/>
        <v>58.979898185113804</v>
      </c>
      <c r="H691" s="61">
        <f t="shared" si="60"/>
        <v>-8.948235819767042E-2</v>
      </c>
      <c r="I691" s="28" t="str">
        <f t="shared" si="63"/>
        <v>Normal</v>
      </c>
      <c r="J691" s="49">
        <f t="shared" si="64"/>
        <v>34</v>
      </c>
      <c r="K691" s="49" t="e">
        <f t="shared" si="65"/>
        <v>#N/A</v>
      </c>
    </row>
    <row r="692" spans="1:11">
      <c r="A692" s="74">
        <v>40574</v>
      </c>
      <c r="B692" s="75">
        <v>23</v>
      </c>
      <c r="C692" s="73">
        <v>17</v>
      </c>
      <c r="D692" s="72" cm="1">
        <f t="array" ref="D692">AVERAGE(_xlfn._xlws.FILTER(C:C,B:B=B692))</f>
        <v>25.186046511627907</v>
      </c>
      <c r="E692" s="61" cm="1">
        <f t="array" ref="E692">_xlfn.STDEV.S(_xlfn._xlws.FILTER(C:C,B:B=B692))</f>
        <v>11.751911321656188</v>
      </c>
      <c r="F692" s="61">
        <f t="shared" si="61"/>
        <v>1.6822238683155319</v>
      </c>
      <c r="G692" s="61">
        <f t="shared" si="62"/>
        <v>48.689869154940283</v>
      </c>
      <c r="H692" s="61">
        <f t="shared" si="60"/>
        <v>-0.69657150122830014</v>
      </c>
      <c r="I692" s="28" t="str">
        <f t="shared" si="63"/>
        <v>Normal</v>
      </c>
      <c r="J692" s="49">
        <f t="shared" si="64"/>
        <v>17</v>
      </c>
      <c r="K692" s="49" t="e">
        <f t="shared" si="65"/>
        <v>#N/A</v>
      </c>
    </row>
    <row r="693" spans="1:11">
      <c r="A693" s="74">
        <v>40575</v>
      </c>
      <c r="B693" s="75">
        <v>0</v>
      </c>
      <c r="C693" s="73">
        <v>8</v>
      </c>
      <c r="D693" s="72" cm="1">
        <f t="array" ref="D693">AVERAGE(_xlfn._xlws.FILTER(C:C,B:B=B693))</f>
        <v>16.348837209302324</v>
      </c>
      <c r="E693" s="61" cm="1">
        <f t="array" ref="E693">_xlfn.STDEV.S(_xlfn._xlws.FILTER(C:C,B:B=B693))</f>
        <v>10.44232167427621</v>
      </c>
      <c r="F693" s="61">
        <f t="shared" si="61"/>
        <v>-4.535806139250095</v>
      </c>
      <c r="G693" s="61">
        <f t="shared" si="62"/>
        <v>37.233480557854747</v>
      </c>
      <c r="H693" s="61">
        <f t="shared" si="60"/>
        <v>-0.79951925153474157</v>
      </c>
      <c r="I693" s="28" t="str">
        <f t="shared" si="63"/>
        <v>Normal</v>
      </c>
      <c r="J693" s="49">
        <f t="shared" si="64"/>
        <v>8</v>
      </c>
      <c r="K693" s="49" t="e">
        <f t="shared" si="65"/>
        <v>#N/A</v>
      </c>
    </row>
    <row r="694" spans="1:11">
      <c r="A694" s="74">
        <v>40575</v>
      </c>
      <c r="B694" s="75">
        <v>1</v>
      </c>
      <c r="C694" s="73">
        <v>3</v>
      </c>
      <c r="D694" s="72" cm="1">
        <f t="array" ref="D694">AVERAGE(_xlfn._xlws.FILTER(C:C,B:B=B694))</f>
        <v>10.697674418604651</v>
      </c>
      <c r="E694" s="61" cm="1">
        <f t="array" ref="E694">_xlfn.STDEV.S(_xlfn._xlws.FILTER(C:C,B:B=B694))</f>
        <v>10.060613641515801</v>
      </c>
      <c r="F694" s="61">
        <f t="shared" si="61"/>
        <v>-9.4235528644269504</v>
      </c>
      <c r="G694" s="61">
        <f t="shared" si="62"/>
        <v>30.81890170163625</v>
      </c>
      <c r="H694" s="61">
        <f t="shared" si="60"/>
        <v>-0.76512971205252112</v>
      </c>
      <c r="I694" s="28" t="str">
        <f t="shared" si="63"/>
        <v>Normal</v>
      </c>
      <c r="J694" s="49">
        <f t="shared" si="64"/>
        <v>3</v>
      </c>
      <c r="K694" s="49" t="e">
        <f t="shared" si="65"/>
        <v>#N/A</v>
      </c>
    </row>
    <row r="695" spans="1:11">
      <c r="A695" s="74">
        <v>40575</v>
      </c>
      <c r="B695" s="75">
        <v>2</v>
      </c>
      <c r="C695" s="73">
        <v>2</v>
      </c>
      <c r="D695" s="72" cm="1">
        <f t="array" ref="D695">AVERAGE(_xlfn._xlws.FILTER(C:C,B:B=B695))</f>
        <v>7.1707317073170733</v>
      </c>
      <c r="E695" s="61" cm="1">
        <f t="array" ref="E695">_xlfn.STDEV.S(_xlfn._xlws.FILTER(C:C,B:B=B695))</f>
        <v>7.3685223723090854</v>
      </c>
      <c r="F695" s="61">
        <f t="shared" si="61"/>
        <v>-7.5663130373010974</v>
      </c>
      <c r="G695" s="61">
        <f t="shared" si="62"/>
        <v>21.907776451935245</v>
      </c>
      <c r="H695" s="61">
        <f t="shared" si="60"/>
        <v>-0.70173251108644097</v>
      </c>
      <c r="I695" s="28" t="str">
        <f t="shared" si="63"/>
        <v>Normal</v>
      </c>
      <c r="J695" s="49">
        <f t="shared" si="64"/>
        <v>2</v>
      </c>
      <c r="K695" s="49" t="e">
        <f t="shared" si="65"/>
        <v>#N/A</v>
      </c>
    </row>
    <row r="696" spans="1:11">
      <c r="A696" s="74">
        <v>40575</v>
      </c>
      <c r="B696" s="75">
        <v>3</v>
      </c>
      <c r="C696" s="73">
        <v>2</v>
      </c>
      <c r="D696" s="72" cm="1">
        <f t="array" ref="D696">AVERAGE(_xlfn._xlws.FILTER(C:C,B:B=B696))</f>
        <v>4.870967741935484</v>
      </c>
      <c r="E696" s="61" cm="1">
        <f t="array" ref="E696">_xlfn.STDEV.S(_xlfn._xlws.FILTER(C:C,B:B=B696))</f>
        <v>4.4702120418303126</v>
      </c>
      <c r="F696" s="61">
        <f t="shared" si="61"/>
        <v>-4.0694563417251413</v>
      </c>
      <c r="G696" s="61">
        <f t="shared" si="62"/>
        <v>13.811391825596109</v>
      </c>
      <c r="H696" s="61">
        <f t="shared" si="60"/>
        <v>-0.64224419671152255</v>
      </c>
      <c r="I696" s="28" t="str">
        <f t="shared" si="63"/>
        <v>Normal</v>
      </c>
      <c r="J696" s="49">
        <f t="shared" si="64"/>
        <v>2</v>
      </c>
      <c r="K696" s="49" t="e">
        <f t="shared" si="65"/>
        <v>#N/A</v>
      </c>
    </row>
    <row r="697" spans="1:11">
      <c r="A697" s="74">
        <v>40575</v>
      </c>
      <c r="B697" s="75">
        <v>5</v>
      </c>
      <c r="C697" s="73">
        <v>3</v>
      </c>
      <c r="D697" s="72" cm="1">
        <f t="array" ref="D697">AVERAGE(_xlfn._xlws.FILTER(C:C,B:B=B697))</f>
        <v>4.2051282051282053</v>
      </c>
      <c r="E697" s="61" cm="1">
        <f t="array" ref="E697">_xlfn.STDEV.S(_xlfn._xlws.FILTER(C:C,B:B=B697))</f>
        <v>2.5358429220352288</v>
      </c>
      <c r="F697" s="61">
        <f t="shared" si="61"/>
        <v>-0.86655763894225224</v>
      </c>
      <c r="G697" s="61">
        <f t="shared" si="62"/>
        <v>9.2768140491986628</v>
      </c>
      <c r="H697" s="61">
        <f t="shared" si="60"/>
        <v>-0.47523771865214265</v>
      </c>
      <c r="I697" s="28" t="str">
        <f t="shared" si="63"/>
        <v>Normal</v>
      </c>
      <c r="J697" s="49">
        <f t="shared" si="64"/>
        <v>3</v>
      </c>
      <c r="K697" s="49" t="e">
        <f t="shared" si="65"/>
        <v>#N/A</v>
      </c>
    </row>
    <row r="698" spans="1:11">
      <c r="A698" s="74">
        <v>40575</v>
      </c>
      <c r="B698" s="75">
        <v>6</v>
      </c>
      <c r="C698" s="73">
        <v>22</v>
      </c>
      <c r="D698" s="72" cm="1">
        <f t="array" ref="D698">AVERAGE(_xlfn._xlws.FILTER(C:C,B:B=B698))</f>
        <v>19.571428571428573</v>
      </c>
      <c r="E698" s="61" cm="1">
        <f t="array" ref="E698">_xlfn.STDEV.S(_xlfn._xlws.FILTER(C:C,B:B=B698))</f>
        <v>14.202615453298934</v>
      </c>
      <c r="F698" s="61">
        <f t="shared" si="61"/>
        <v>-8.8338023351692954</v>
      </c>
      <c r="G698" s="61">
        <f t="shared" si="62"/>
        <v>47.976659478026441</v>
      </c>
      <c r="H698" s="61">
        <f t="shared" si="60"/>
        <v>0.17099466197314572</v>
      </c>
      <c r="I698" s="28" t="str">
        <f t="shared" si="63"/>
        <v>Normal</v>
      </c>
      <c r="J698" s="49">
        <f t="shared" si="64"/>
        <v>22</v>
      </c>
      <c r="K698" s="49" t="e">
        <f t="shared" si="65"/>
        <v>#N/A</v>
      </c>
    </row>
    <row r="699" spans="1:11">
      <c r="A699" s="74">
        <v>40575</v>
      </c>
      <c r="B699" s="75">
        <v>7</v>
      </c>
      <c r="C699" s="73">
        <v>52</v>
      </c>
      <c r="D699" s="72" cm="1">
        <f t="array" ref="D699">AVERAGE(_xlfn._xlws.FILTER(C:C,B:B=B699))</f>
        <v>54.395348837209305</v>
      </c>
      <c r="E699" s="61" cm="1">
        <f t="array" ref="E699">_xlfn.STDEV.S(_xlfn._xlws.FILTER(C:C,B:B=B699))</f>
        <v>39.112864486352777</v>
      </c>
      <c r="F699" s="61">
        <f t="shared" si="61"/>
        <v>-23.830380135496249</v>
      </c>
      <c r="G699" s="61">
        <f t="shared" si="62"/>
        <v>132.62107780991485</v>
      </c>
      <c r="H699" s="61">
        <f t="shared" si="60"/>
        <v>-6.1241969072479661E-2</v>
      </c>
      <c r="I699" s="28" t="str">
        <f t="shared" si="63"/>
        <v>Normal</v>
      </c>
      <c r="J699" s="49">
        <f t="shared" si="64"/>
        <v>52</v>
      </c>
      <c r="K699" s="49" t="e">
        <f t="shared" si="65"/>
        <v>#N/A</v>
      </c>
    </row>
    <row r="700" spans="1:11">
      <c r="A700" s="74">
        <v>40575</v>
      </c>
      <c r="B700" s="75">
        <v>8</v>
      </c>
      <c r="C700" s="73">
        <v>135</v>
      </c>
      <c r="D700" s="72" cm="1">
        <f t="array" ref="D700">AVERAGE(_xlfn._xlws.FILTER(C:C,B:B=B700))</f>
        <v>128.28571428571428</v>
      </c>
      <c r="E700" s="61" cm="1">
        <f t="array" ref="E700">_xlfn.STDEV.S(_xlfn._xlws.FILTER(C:C,B:B=B700))</f>
        <v>88.551565717048547</v>
      </c>
      <c r="F700" s="61">
        <f t="shared" si="61"/>
        <v>-48.817417148382816</v>
      </c>
      <c r="G700" s="61">
        <f t="shared" si="62"/>
        <v>305.38884571981134</v>
      </c>
      <c r="H700" s="61">
        <f t="shared" si="60"/>
        <v>7.5823455631943079E-2</v>
      </c>
      <c r="I700" s="28" t="str">
        <f t="shared" si="63"/>
        <v>Normal</v>
      </c>
      <c r="J700" s="49">
        <f t="shared" si="64"/>
        <v>135</v>
      </c>
      <c r="K700" s="49" t="e">
        <f t="shared" si="65"/>
        <v>#N/A</v>
      </c>
    </row>
    <row r="701" spans="1:11">
      <c r="A701" s="74">
        <v>40575</v>
      </c>
      <c r="B701" s="75">
        <v>9</v>
      </c>
      <c r="C701" s="73">
        <v>116</v>
      </c>
      <c r="D701" s="72" cm="1">
        <f t="array" ref="D701">AVERAGE(_xlfn._xlws.FILTER(C:C,B:B=B701))</f>
        <v>87.428571428571431</v>
      </c>
      <c r="E701" s="61" cm="1">
        <f t="array" ref="E701">_xlfn.STDEV.S(_xlfn._xlws.FILTER(C:C,B:B=B701))</f>
        <v>45.93852884078624</v>
      </c>
      <c r="F701" s="61">
        <f t="shared" si="61"/>
        <v>-4.4484862530010503</v>
      </c>
      <c r="G701" s="61">
        <f t="shared" si="62"/>
        <v>179.30562911014391</v>
      </c>
      <c r="H701" s="61">
        <f t="shared" si="60"/>
        <v>0.62194914143749425</v>
      </c>
      <c r="I701" s="28" t="str">
        <f t="shared" si="63"/>
        <v>Normal</v>
      </c>
      <c r="J701" s="49">
        <f t="shared" si="64"/>
        <v>116</v>
      </c>
      <c r="K701" s="49" t="e">
        <f t="shared" si="65"/>
        <v>#N/A</v>
      </c>
    </row>
    <row r="702" spans="1:11">
      <c r="A702" s="74">
        <v>40575</v>
      </c>
      <c r="B702" s="75">
        <v>10</v>
      </c>
      <c r="C702" s="73">
        <v>47</v>
      </c>
      <c r="D702" s="72" cm="1">
        <f t="array" ref="D702">AVERAGE(_xlfn._xlws.FILTER(C:C,B:B=B702))</f>
        <v>53.642857142857146</v>
      </c>
      <c r="E702" s="61" cm="1">
        <f t="array" ref="E702">_xlfn.STDEV.S(_xlfn._xlws.FILTER(C:C,B:B=B702))</f>
        <v>15.395313554536934</v>
      </c>
      <c r="F702" s="61">
        <f t="shared" si="61"/>
        <v>22.852230033783279</v>
      </c>
      <c r="G702" s="61">
        <f t="shared" si="62"/>
        <v>84.43348425193102</v>
      </c>
      <c r="H702" s="61">
        <f t="shared" si="60"/>
        <v>-0.43148566733150584</v>
      </c>
      <c r="I702" s="28" t="str">
        <f t="shared" si="63"/>
        <v>Normal</v>
      </c>
      <c r="J702" s="49">
        <f t="shared" si="64"/>
        <v>47</v>
      </c>
      <c r="K702" s="49" t="e">
        <f t="shared" si="65"/>
        <v>#N/A</v>
      </c>
    </row>
    <row r="703" spans="1:11">
      <c r="A703" s="74">
        <v>40575</v>
      </c>
      <c r="B703" s="75">
        <v>11</v>
      </c>
      <c r="C703" s="73">
        <v>51</v>
      </c>
      <c r="D703" s="72" cm="1">
        <f t="array" ref="D703">AVERAGE(_xlfn._xlws.FILTER(C:C,B:B=B703))</f>
        <v>59.38095238095238</v>
      </c>
      <c r="E703" s="61" cm="1">
        <f t="array" ref="E703">_xlfn.STDEV.S(_xlfn._xlws.FILTER(C:C,B:B=B703))</f>
        <v>20.89573696860419</v>
      </c>
      <c r="F703" s="61">
        <f t="shared" si="61"/>
        <v>17.589478443743999</v>
      </c>
      <c r="G703" s="61">
        <f t="shared" si="62"/>
        <v>101.17242631816076</v>
      </c>
      <c r="H703" s="61">
        <f t="shared" si="60"/>
        <v>-0.4010843165543645</v>
      </c>
      <c r="I703" s="28" t="str">
        <f t="shared" si="63"/>
        <v>Normal</v>
      </c>
      <c r="J703" s="49">
        <f t="shared" si="64"/>
        <v>51</v>
      </c>
      <c r="K703" s="49" t="e">
        <f t="shared" si="65"/>
        <v>#N/A</v>
      </c>
    </row>
    <row r="704" spans="1:11">
      <c r="A704" s="74">
        <v>40575</v>
      </c>
      <c r="B704" s="75">
        <v>12</v>
      </c>
      <c r="C704" s="73">
        <v>55</v>
      </c>
      <c r="D704" s="72" cm="1">
        <f t="array" ref="D704">AVERAGE(_xlfn._xlws.FILTER(C:C,B:B=B704))</f>
        <v>76.348837209302332</v>
      </c>
      <c r="E704" s="61" cm="1">
        <f t="array" ref="E704">_xlfn.STDEV.S(_xlfn._xlws.FILTER(C:C,B:B=B704))</f>
        <v>29.034366927857054</v>
      </c>
      <c r="F704" s="61">
        <f t="shared" si="61"/>
        <v>18.280103353588224</v>
      </c>
      <c r="G704" s="61">
        <f t="shared" si="62"/>
        <v>134.41757106501643</v>
      </c>
      <c r="H704" s="61">
        <f t="shared" si="60"/>
        <v>-0.73529542635968992</v>
      </c>
      <c r="I704" s="28" t="str">
        <f t="shared" si="63"/>
        <v>Normal</v>
      </c>
      <c r="J704" s="49">
        <f t="shared" si="64"/>
        <v>55</v>
      </c>
      <c r="K704" s="49" t="e">
        <f t="shared" si="65"/>
        <v>#N/A</v>
      </c>
    </row>
    <row r="705" spans="1:11">
      <c r="A705" s="74">
        <v>40575</v>
      </c>
      <c r="B705" s="75">
        <v>13</v>
      </c>
      <c r="C705" s="73">
        <v>52</v>
      </c>
      <c r="D705" s="72" cm="1">
        <f t="array" ref="D705">AVERAGE(_xlfn._xlws.FILTER(C:C,B:B=B705))</f>
        <v>78.511627906976742</v>
      </c>
      <c r="E705" s="61" cm="1">
        <f t="array" ref="E705">_xlfn.STDEV.S(_xlfn._xlws.FILTER(C:C,B:B=B705))</f>
        <v>30.072430098825187</v>
      </c>
      <c r="F705" s="61">
        <f t="shared" si="61"/>
        <v>18.366767709326368</v>
      </c>
      <c r="G705" s="61">
        <f t="shared" si="62"/>
        <v>138.6564881046271</v>
      </c>
      <c r="H705" s="61">
        <f t="shared" si="60"/>
        <v>-0.88159246924352974</v>
      </c>
      <c r="I705" s="28" t="str">
        <f t="shared" si="63"/>
        <v>Normal</v>
      </c>
      <c r="J705" s="49">
        <f t="shared" si="64"/>
        <v>52</v>
      </c>
      <c r="K705" s="49" t="e">
        <f t="shared" si="65"/>
        <v>#N/A</v>
      </c>
    </row>
    <row r="706" spans="1:11">
      <c r="A706" s="74">
        <v>40575</v>
      </c>
      <c r="B706" s="75">
        <v>14</v>
      </c>
      <c r="C706" s="73">
        <v>54</v>
      </c>
      <c r="D706" s="72" cm="1">
        <f t="array" ref="D706">AVERAGE(_xlfn._xlws.FILTER(C:C,B:B=B706))</f>
        <v>74.418604651162795</v>
      </c>
      <c r="E706" s="61" cm="1">
        <f t="array" ref="E706">_xlfn.STDEV.S(_xlfn._xlws.FILTER(C:C,B:B=B706))</f>
        <v>30.30576918056515</v>
      </c>
      <c r="F706" s="61">
        <f t="shared" si="61"/>
        <v>13.807066290032495</v>
      </c>
      <c r="G706" s="61">
        <f t="shared" si="62"/>
        <v>135.03014301229308</v>
      </c>
      <c r="H706" s="61">
        <f t="shared" si="60"/>
        <v>-0.67375305769361848</v>
      </c>
      <c r="I706" s="28" t="str">
        <f t="shared" si="63"/>
        <v>Normal</v>
      </c>
      <c r="J706" s="49">
        <f t="shared" si="64"/>
        <v>54</v>
      </c>
      <c r="K706" s="49" t="e">
        <f t="shared" si="65"/>
        <v>#N/A</v>
      </c>
    </row>
    <row r="707" spans="1:11">
      <c r="A707" s="74">
        <v>40575</v>
      </c>
      <c r="B707" s="75">
        <v>15</v>
      </c>
      <c r="C707" s="73">
        <v>52</v>
      </c>
      <c r="D707" s="72" cm="1">
        <f t="array" ref="D707">AVERAGE(_xlfn._xlws.FILTER(C:C,B:B=B707))</f>
        <v>77.95348837209302</v>
      </c>
      <c r="E707" s="61" cm="1">
        <f t="array" ref="E707">_xlfn.STDEV.S(_xlfn._xlws.FILTER(C:C,B:B=B707))</f>
        <v>34.481156681772681</v>
      </c>
      <c r="F707" s="61">
        <f t="shared" si="61"/>
        <v>8.9911750085476569</v>
      </c>
      <c r="G707" s="61">
        <f t="shared" si="62"/>
        <v>146.91580173563838</v>
      </c>
      <c r="H707" s="61">
        <f t="shared" si="60"/>
        <v>-0.75268612974959948</v>
      </c>
      <c r="I707" s="28" t="str">
        <f t="shared" si="63"/>
        <v>Normal</v>
      </c>
      <c r="J707" s="49">
        <f t="shared" si="64"/>
        <v>52</v>
      </c>
      <c r="K707" s="49" t="e">
        <f t="shared" si="65"/>
        <v>#N/A</v>
      </c>
    </row>
    <row r="708" spans="1:11">
      <c r="A708" s="74">
        <v>40575</v>
      </c>
      <c r="B708" s="75">
        <v>16</v>
      </c>
      <c r="C708" s="73">
        <v>64</v>
      </c>
      <c r="D708" s="72" cm="1">
        <f t="array" ref="D708">AVERAGE(_xlfn._xlws.FILTER(C:C,B:B=B708))</f>
        <v>89.272727272727266</v>
      </c>
      <c r="E708" s="61" cm="1">
        <f t="array" ref="E708">_xlfn.STDEV.S(_xlfn._xlws.FILTER(C:C,B:B=B708))</f>
        <v>25.461657115880758</v>
      </c>
      <c r="F708" s="61">
        <f t="shared" si="61"/>
        <v>38.34941304096575</v>
      </c>
      <c r="G708" s="61">
        <f t="shared" si="62"/>
        <v>140.19604150448879</v>
      </c>
      <c r="H708" s="61">
        <f t="shared" si="60"/>
        <v>-0.99257982925880917</v>
      </c>
      <c r="I708" s="28" t="str">
        <f t="shared" si="63"/>
        <v>Normal</v>
      </c>
      <c r="J708" s="49">
        <f t="shared" si="64"/>
        <v>64</v>
      </c>
      <c r="K708" s="49" t="e">
        <f t="shared" si="65"/>
        <v>#N/A</v>
      </c>
    </row>
    <row r="709" spans="1:11">
      <c r="A709" s="74">
        <v>40575</v>
      </c>
      <c r="B709" s="75">
        <v>17</v>
      </c>
      <c r="C709" s="73">
        <v>176</v>
      </c>
      <c r="D709" s="72" cm="1">
        <f t="array" ref="D709">AVERAGE(_xlfn._xlws.FILTER(C:C,B:B=B709))</f>
        <v>140.20454545454547</v>
      </c>
      <c r="E709" s="61" cm="1">
        <f t="array" ref="E709">_xlfn.STDEV.S(_xlfn._xlws.FILTER(C:C,B:B=B709))</f>
        <v>54.067391000084555</v>
      </c>
      <c r="F709" s="61">
        <f t="shared" si="61"/>
        <v>32.069763454376357</v>
      </c>
      <c r="G709" s="61">
        <f t="shared" si="62"/>
        <v>248.33932745471458</v>
      </c>
      <c r="H709" s="61">
        <f t="shared" ref="H709:H772" si="66">(C709-D709)/E709</f>
        <v>0.66205255854491951</v>
      </c>
      <c r="I709" s="28" t="str">
        <f t="shared" si="63"/>
        <v>Normal</v>
      </c>
      <c r="J709" s="49">
        <f t="shared" si="64"/>
        <v>176</v>
      </c>
      <c r="K709" s="49" t="e">
        <f t="shared" si="65"/>
        <v>#N/A</v>
      </c>
    </row>
    <row r="710" spans="1:11">
      <c r="A710" s="74">
        <v>40575</v>
      </c>
      <c r="B710" s="75">
        <v>18</v>
      </c>
      <c r="C710" s="73">
        <v>168</v>
      </c>
      <c r="D710" s="72" cm="1">
        <f t="array" ref="D710">AVERAGE(_xlfn._xlws.FILTER(C:C,B:B=B710))</f>
        <v>122.86046511627907</v>
      </c>
      <c r="E710" s="61" cm="1">
        <f t="array" ref="E710">_xlfn.STDEV.S(_xlfn._xlws.FILTER(C:C,B:B=B710))</f>
        <v>48.613432101949932</v>
      </c>
      <c r="F710" s="61">
        <f t="shared" ref="F710:F773" si="67">D710-(2*E710)</f>
        <v>25.633600912379208</v>
      </c>
      <c r="G710" s="61">
        <f t="shared" ref="G710:G773" si="68">D710+(2*E710)</f>
        <v>220.08732932017892</v>
      </c>
      <c r="H710" s="61">
        <f t="shared" si="66"/>
        <v>0.9285403834285203</v>
      </c>
      <c r="I710" s="28" t="str">
        <f t="shared" ref="I710:I773" si="69">IF(H710&gt;=2,"High Anomaly",IF(H710&lt;=-2,"Low Anomaly","Normal"))</f>
        <v>Normal</v>
      </c>
      <c r="J710" s="49">
        <f t="shared" ref="J710:J773" si="70">IF(I710="Normal",C710,NA())</f>
        <v>168</v>
      </c>
      <c r="K710" s="49" t="e">
        <f t="shared" ref="K710:K773" si="71">IF(I710&lt;&gt;"Normal",C710,NA())</f>
        <v>#N/A</v>
      </c>
    </row>
    <row r="711" spans="1:11">
      <c r="A711" s="74">
        <v>40575</v>
      </c>
      <c r="B711" s="75">
        <v>19</v>
      </c>
      <c r="C711" s="73">
        <v>108</v>
      </c>
      <c r="D711" s="72" cm="1">
        <f t="array" ref="D711">AVERAGE(_xlfn._xlws.FILTER(C:C,B:B=B711))</f>
        <v>85.139534883720927</v>
      </c>
      <c r="E711" s="61" cm="1">
        <f t="array" ref="E711">_xlfn.STDEV.S(_xlfn._xlws.FILTER(C:C,B:B=B711))</f>
        <v>31.690904054294752</v>
      </c>
      <c r="F711" s="61">
        <f t="shared" si="67"/>
        <v>21.757726775131424</v>
      </c>
      <c r="G711" s="61">
        <f t="shared" si="68"/>
        <v>148.52134299231042</v>
      </c>
      <c r="H711" s="61">
        <f t="shared" si="66"/>
        <v>0.72135730420038369</v>
      </c>
      <c r="I711" s="28" t="str">
        <f t="shared" si="69"/>
        <v>Normal</v>
      </c>
      <c r="J711" s="49">
        <f t="shared" si="70"/>
        <v>108</v>
      </c>
      <c r="K711" s="49" t="e">
        <f t="shared" si="71"/>
        <v>#N/A</v>
      </c>
    </row>
    <row r="712" spans="1:11">
      <c r="A712" s="74">
        <v>40575</v>
      </c>
      <c r="B712" s="75">
        <v>20</v>
      </c>
      <c r="C712" s="73">
        <v>74</v>
      </c>
      <c r="D712" s="72" cm="1">
        <f t="array" ref="D712">AVERAGE(_xlfn._xlws.FILTER(C:C,B:B=B712))</f>
        <v>61.767441860465119</v>
      </c>
      <c r="E712" s="61" cm="1">
        <f t="array" ref="E712">_xlfn.STDEV.S(_xlfn._xlws.FILTER(C:C,B:B=B712))</f>
        <v>24.632380169685593</v>
      </c>
      <c r="F712" s="61">
        <f t="shared" si="67"/>
        <v>12.502681521093933</v>
      </c>
      <c r="G712" s="61">
        <f t="shared" si="68"/>
        <v>111.03220219983631</v>
      </c>
      <c r="H712" s="61">
        <f t="shared" si="66"/>
        <v>0.49660479642114164</v>
      </c>
      <c r="I712" s="28" t="str">
        <f t="shared" si="69"/>
        <v>Normal</v>
      </c>
      <c r="J712" s="49">
        <f t="shared" si="70"/>
        <v>74</v>
      </c>
      <c r="K712" s="49" t="e">
        <f t="shared" si="71"/>
        <v>#N/A</v>
      </c>
    </row>
    <row r="713" spans="1:11">
      <c r="A713" s="74">
        <v>40575</v>
      </c>
      <c r="B713" s="75">
        <v>21</v>
      </c>
      <c r="C713" s="73">
        <v>64</v>
      </c>
      <c r="D713" s="72" cm="1">
        <f t="array" ref="D713">AVERAGE(_xlfn._xlws.FILTER(C:C,B:B=B713))</f>
        <v>46.418604651162788</v>
      </c>
      <c r="E713" s="61" cm="1">
        <f t="array" ref="E713">_xlfn.STDEV.S(_xlfn._xlws.FILTER(C:C,B:B=B713))</f>
        <v>14.656759464719496</v>
      </c>
      <c r="F713" s="61">
        <f t="shared" si="67"/>
        <v>17.105085721723796</v>
      </c>
      <c r="G713" s="61">
        <f t="shared" si="68"/>
        <v>75.73212358060178</v>
      </c>
      <c r="H713" s="61">
        <f t="shared" si="66"/>
        <v>1.1995417807843303</v>
      </c>
      <c r="I713" s="28" t="str">
        <f t="shared" si="69"/>
        <v>Normal</v>
      </c>
      <c r="J713" s="49">
        <f t="shared" si="70"/>
        <v>64</v>
      </c>
      <c r="K713" s="49" t="e">
        <f t="shared" si="71"/>
        <v>#N/A</v>
      </c>
    </row>
    <row r="714" spans="1:11">
      <c r="A714" s="74">
        <v>40575</v>
      </c>
      <c r="B714" s="75">
        <v>22</v>
      </c>
      <c r="C714" s="73">
        <v>36</v>
      </c>
      <c r="D714" s="72" cm="1">
        <f t="array" ref="D714">AVERAGE(_xlfn._xlws.FILTER(C:C,B:B=B714))</f>
        <v>35.069767441860463</v>
      </c>
      <c r="E714" s="61" cm="1">
        <f t="array" ref="E714">_xlfn.STDEV.S(_xlfn._xlws.FILTER(C:C,B:B=B714))</f>
        <v>11.95506537162667</v>
      </c>
      <c r="F714" s="61">
        <f t="shared" si="67"/>
        <v>11.159636698607123</v>
      </c>
      <c r="G714" s="61">
        <f t="shared" si="68"/>
        <v>58.979898185113804</v>
      </c>
      <c r="H714" s="61">
        <f t="shared" si="66"/>
        <v>7.7810746258844099E-2</v>
      </c>
      <c r="I714" s="28" t="str">
        <f t="shared" si="69"/>
        <v>Normal</v>
      </c>
      <c r="J714" s="49">
        <f t="shared" si="70"/>
        <v>36</v>
      </c>
      <c r="K714" s="49" t="e">
        <f t="shared" si="71"/>
        <v>#N/A</v>
      </c>
    </row>
    <row r="715" spans="1:11">
      <c r="A715" s="74">
        <v>40575</v>
      </c>
      <c r="B715" s="75">
        <v>23</v>
      </c>
      <c r="C715" s="73">
        <v>16</v>
      </c>
      <c r="D715" s="72" cm="1">
        <f t="array" ref="D715">AVERAGE(_xlfn._xlws.FILTER(C:C,B:B=B715))</f>
        <v>25.186046511627907</v>
      </c>
      <c r="E715" s="61" cm="1">
        <f t="array" ref="E715">_xlfn.STDEV.S(_xlfn._xlws.FILTER(C:C,B:B=B715))</f>
        <v>11.751911321656188</v>
      </c>
      <c r="F715" s="61">
        <f t="shared" si="67"/>
        <v>1.6822238683155319</v>
      </c>
      <c r="G715" s="61">
        <f t="shared" si="68"/>
        <v>48.689869154940283</v>
      </c>
      <c r="H715" s="61">
        <f t="shared" si="66"/>
        <v>-0.78166404257152999</v>
      </c>
      <c r="I715" s="28" t="str">
        <f t="shared" si="69"/>
        <v>Normal</v>
      </c>
      <c r="J715" s="49">
        <f t="shared" si="70"/>
        <v>16</v>
      </c>
      <c r="K715" s="49" t="e">
        <f t="shared" si="71"/>
        <v>#N/A</v>
      </c>
    </row>
    <row r="716" spans="1:11">
      <c r="A716" s="74">
        <v>40576</v>
      </c>
      <c r="B716" s="75">
        <v>0</v>
      </c>
      <c r="C716" s="73">
        <v>2</v>
      </c>
      <c r="D716" s="72" cm="1">
        <f t="array" ref="D716">AVERAGE(_xlfn._xlws.FILTER(C:C,B:B=B716))</f>
        <v>16.348837209302324</v>
      </c>
      <c r="E716" s="61" cm="1">
        <f t="array" ref="E716">_xlfn.STDEV.S(_xlfn._xlws.FILTER(C:C,B:B=B716))</f>
        <v>10.44232167427621</v>
      </c>
      <c r="F716" s="61">
        <f t="shared" si="67"/>
        <v>-4.535806139250095</v>
      </c>
      <c r="G716" s="61">
        <f t="shared" si="68"/>
        <v>37.233480557854747</v>
      </c>
      <c r="H716" s="61">
        <f t="shared" si="66"/>
        <v>-1.3741041175402104</v>
      </c>
      <c r="I716" s="28" t="str">
        <f t="shared" si="69"/>
        <v>Normal</v>
      </c>
      <c r="J716" s="49">
        <f t="shared" si="70"/>
        <v>2</v>
      </c>
      <c r="K716" s="49" t="e">
        <f t="shared" si="71"/>
        <v>#N/A</v>
      </c>
    </row>
    <row r="717" spans="1:11">
      <c r="A717" s="74">
        <v>40576</v>
      </c>
      <c r="B717" s="75">
        <v>1</v>
      </c>
      <c r="C717" s="73">
        <v>3</v>
      </c>
      <c r="D717" s="72" cm="1">
        <f t="array" ref="D717">AVERAGE(_xlfn._xlws.FILTER(C:C,B:B=B717))</f>
        <v>10.697674418604651</v>
      </c>
      <c r="E717" s="61" cm="1">
        <f t="array" ref="E717">_xlfn.STDEV.S(_xlfn._xlws.FILTER(C:C,B:B=B717))</f>
        <v>10.060613641515801</v>
      </c>
      <c r="F717" s="61">
        <f t="shared" si="67"/>
        <v>-9.4235528644269504</v>
      </c>
      <c r="G717" s="61">
        <f t="shared" si="68"/>
        <v>30.81890170163625</v>
      </c>
      <c r="H717" s="61">
        <f t="shared" si="66"/>
        <v>-0.76512971205252112</v>
      </c>
      <c r="I717" s="28" t="str">
        <f t="shared" si="69"/>
        <v>Normal</v>
      </c>
      <c r="J717" s="49">
        <f t="shared" si="70"/>
        <v>3</v>
      </c>
      <c r="K717" s="49" t="e">
        <f t="shared" si="71"/>
        <v>#N/A</v>
      </c>
    </row>
    <row r="718" spans="1:11">
      <c r="A718" s="74">
        <v>40576</v>
      </c>
      <c r="B718" s="75">
        <v>2</v>
      </c>
      <c r="C718" s="73">
        <v>4</v>
      </c>
      <c r="D718" s="72" cm="1">
        <f t="array" ref="D718">AVERAGE(_xlfn._xlws.FILTER(C:C,B:B=B718))</f>
        <v>7.1707317073170733</v>
      </c>
      <c r="E718" s="61" cm="1">
        <f t="array" ref="E718">_xlfn.STDEV.S(_xlfn._xlws.FILTER(C:C,B:B=B718))</f>
        <v>7.3685223723090854</v>
      </c>
      <c r="F718" s="61">
        <f t="shared" si="67"/>
        <v>-7.5663130373010974</v>
      </c>
      <c r="G718" s="61">
        <f t="shared" si="68"/>
        <v>21.907776451935245</v>
      </c>
      <c r="H718" s="61">
        <f t="shared" si="66"/>
        <v>-0.43030767189262886</v>
      </c>
      <c r="I718" s="28" t="str">
        <f t="shared" si="69"/>
        <v>Normal</v>
      </c>
      <c r="J718" s="49">
        <f t="shared" si="70"/>
        <v>4</v>
      </c>
      <c r="K718" s="49" t="e">
        <f t="shared" si="71"/>
        <v>#N/A</v>
      </c>
    </row>
    <row r="719" spans="1:11">
      <c r="A719" s="74">
        <v>40576</v>
      </c>
      <c r="B719" s="75">
        <v>3</v>
      </c>
      <c r="C719" s="73">
        <v>1</v>
      </c>
      <c r="D719" s="72" cm="1">
        <f t="array" ref="D719">AVERAGE(_xlfn._xlws.FILTER(C:C,B:B=B719))</f>
        <v>4.870967741935484</v>
      </c>
      <c r="E719" s="61" cm="1">
        <f t="array" ref="E719">_xlfn.STDEV.S(_xlfn._xlws.FILTER(C:C,B:B=B719))</f>
        <v>4.4702120418303126</v>
      </c>
      <c r="F719" s="61">
        <f t="shared" si="67"/>
        <v>-4.0694563417251413</v>
      </c>
      <c r="G719" s="61">
        <f t="shared" si="68"/>
        <v>13.811391825596109</v>
      </c>
      <c r="H719" s="61">
        <f t="shared" si="66"/>
        <v>-0.86594723152115394</v>
      </c>
      <c r="I719" s="28" t="str">
        <f t="shared" si="69"/>
        <v>Normal</v>
      </c>
      <c r="J719" s="49">
        <f t="shared" si="70"/>
        <v>1</v>
      </c>
      <c r="K719" s="49" t="e">
        <f t="shared" si="71"/>
        <v>#N/A</v>
      </c>
    </row>
    <row r="720" spans="1:11">
      <c r="A720" s="74">
        <v>40576</v>
      </c>
      <c r="B720" s="75">
        <v>4</v>
      </c>
      <c r="C720" s="73">
        <v>1</v>
      </c>
      <c r="D720" s="72" cm="1">
        <f t="array" ref="D720">AVERAGE(_xlfn._xlws.FILTER(C:C,B:B=B720))</f>
        <v>2.15625</v>
      </c>
      <c r="E720" s="61" cm="1">
        <f t="array" ref="E720">_xlfn.STDEV.S(_xlfn._xlws.FILTER(C:C,B:B=B720))</f>
        <v>1.5263148747143209</v>
      </c>
      <c r="F720" s="61">
        <f t="shared" si="67"/>
        <v>-0.89637974942864185</v>
      </c>
      <c r="G720" s="61">
        <f t="shared" si="68"/>
        <v>5.2088797494286414</v>
      </c>
      <c r="H720" s="61">
        <f t="shared" si="66"/>
        <v>-0.75754355746314428</v>
      </c>
      <c r="I720" s="28" t="str">
        <f t="shared" si="69"/>
        <v>Normal</v>
      </c>
      <c r="J720" s="49">
        <f t="shared" si="70"/>
        <v>1</v>
      </c>
      <c r="K720" s="49" t="e">
        <f t="shared" si="71"/>
        <v>#N/A</v>
      </c>
    </row>
    <row r="721" spans="1:11">
      <c r="A721" s="74">
        <v>40576</v>
      </c>
      <c r="B721" s="75">
        <v>5</v>
      </c>
      <c r="C721" s="73">
        <v>3</v>
      </c>
      <c r="D721" s="72" cm="1">
        <f t="array" ref="D721">AVERAGE(_xlfn._xlws.FILTER(C:C,B:B=B721))</f>
        <v>4.2051282051282053</v>
      </c>
      <c r="E721" s="61" cm="1">
        <f t="array" ref="E721">_xlfn.STDEV.S(_xlfn._xlws.FILTER(C:C,B:B=B721))</f>
        <v>2.5358429220352288</v>
      </c>
      <c r="F721" s="61">
        <f t="shared" si="67"/>
        <v>-0.86655763894225224</v>
      </c>
      <c r="G721" s="61">
        <f t="shared" si="68"/>
        <v>9.2768140491986628</v>
      </c>
      <c r="H721" s="61">
        <f t="shared" si="66"/>
        <v>-0.47523771865214265</v>
      </c>
      <c r="I721" s="28" t="str">
        <f t="shared" si="69"/>
        <v>Normal</v>
      </c>
      <c r="J721" s="49">
        <f t="shared" si="70"/>
        <v>3</v>
      </c>
      <c r="K721" s="49" t="e">
        <f t="shared" si="71"/>
        <v>#N/A</v>
      </c>
    </row>
    <row r="722" spans="1:11">
      <c r="A722" s="74">
        <v>40576</v>
      </c>
      <c r="B722" s="75">
        <v>6</v>
      </c>
      <c r="C722" s="73">
        <v>18</v>
      </c>
      <c r="D722" s="72" cm="1">
        <f t="array" ref="D722">AVERAGE(_xlfn._xlws.FILTER(C:C,B:B=B722))</f>
        <v>19.571428571428573</v>
      </c>
      <c r="E722" s="61" cm="1">
        <f t="array" ref="E722">_xlfn.STDEV.S(_xlfn._xlws.FILTER(C:C,B:B=B722))</f>
        <v>14.202615453298934</v>
      </c>
      <c r="F722" s="61">
        <f t="shared" si="67"/>
        <v>-8.8338023351692954</v>
      </c>
      <c r="G722" s="61">
        <f t="shared" si="68"/>
        <v>47.976659478026441</v>
      </c>
      <c r="H722" s="61">
        <f t="shared" si="66"/>
        <v>-0.11064360480615329</v>
      </c>
      <c r="I722" s="28" t="str">
        <f t="shared" si="69"/>
        <v>Normal</v>
      </c>
      <c r="J722" s="49">
        <f t="shared" si="70"/>
        <v>18</v>
      </c>
      <c r="K722" s="49" t="e">
        <f t="shared" si="71"/>
        <v>#N/A</v>
      </c>
    </row>
    <row r="723" spans="1:11">
      <c r="A723" s="74">
        <v>40576</v>
      </c>
      <c r="B723" s="75">
        <v>7</v>
      </c>
      <c r="C723" s="73">
        <v>49</v>
      </c>
      <c r="D723" s="72" cm="1">
        <f t="array" ref="D723">AVERAGE(_xlfn._xlws.FILTER(C:C,B:B=B723))</f>
        <v>54.395348837209305</v>
      </c>
      <c r="E723" s="61" cm="1">
        <f t="array" ref="E723">_xlfn.STDEV.S(_xlfn._xlws.FILTER(C:C,B:B=B723))</f>
        <v>39.112864486352777</v>
      </c>
      <c r="F723" s="61">
        <f t="shared" si="67"/>
        <v>-23.830380135496249</v>
      </c>
      <c r="G723" s="61">
        <f t="shared" si="68"/>
        <v>132.62107780991485</v>
      </c>
      <c r="H723" s="61">
        <f t="shared" si="66"/>
        <v>-0.13794307596908031</v>
      </c>
      <c r="I723" s="28" t="str">
        <f t="shared" si="69"/>
        <v>Normal</v>
      </c>
      <c r="J723" s="49">
        <f t="shared" si="70"/>
        <v>49</v>
      </c>
      <c r="K723" s="49" t="e">
        <f t="shared" si="71"/>
        <v>#N/A</v>
      </c>
    </row>
    <row r="724" spans="1:11">
      <c r="A724" s="74">
        <v>40576</v>
      </c>
      <c r="B724" s="75">
        <v>8</v>
      </c>
      <c r="C724" s="73">
        <v>155</v>
      </c>
      <c r="D724" s="72" cm="1">
        <f t="array" ref="D724">AVERAGE(_xlfn._xlws.FILTER(C:C,B:B=B724))</f>
        <v>128.28571428571428</v>
      </c>
      <c r="E724" s="61" cm="1">
        <f t="array" ref="E724">_xlfn.STDEV.S(_xlfn._xlws.FILTER(C:C,B:B=B724))</f>
        <v>88.551565717048547</v>
      </c>
      <c r="F724" s="61">
        <f t="shared" si="67"/>
        <v>-48.817417148382816</v>
      </c>
      <c r="G724" s="61">
        <f t="shared" si="68"/>
        <v>305.38884571981134</v>
      </c>
      <c r="H724" s="61">
        <f t="shared" si="66"/>
        <v>0.30168055751432643</v>
      </c>
      <c r="I724" s="28" t="str">
        <f t="shared" si="69"/>
        <v>Normal</v>
      </c>
      <c r="J724" s="49">
        <f t="shared" si="70"/>
        <v>155</v>
      </c>
      <c r="K724" s="49" t="e">
        <f t="shared" si="71"/>
        <v>#N/A</v>
      </c>
    </row>
    <row r="725" spans="1:11">
      <c r="A725" s="74">
        <v>40576</v>
      </c>
      <c r="B725" s="75">
        <v>9</v>
      </c>
      <c r="C725" s="73">
        <v>123</v>
      </c>
      <c r="D725" s="72" cm="1">
        <f t="array" ref="D725">AVERAGE(_xlfn._xlws.FILTER(C:C,B:B=B725))</f>
        <v>87.428571428571431</v>
      </c>
      <c r="E725" s="61" cm="1">
        <f t="array" ref="E725">_xlfn.STDEV.S(_xlfn._xlws.FILTER(C:C,B:B=B725))</f>
        <v>45.93852884078624</v>
      </c>
      <c r="F725" s="61">
        <f t="shared" si="67"/>
        <v>-4.4484862530010503</v>
      </c>
      <c r="G725" s="61">
        <f t="shared" si="68"/>
        <v>179.30562911014391</v>
      </c>
      <c r="H725" s="61">
        <f t="shared" si="66"/>
        <v>0.77432668108968028</v>
      </c>
      <c r="I725" s="28" t="str">
        <f t="shared" si="69"/>
        <v>Normal</v>
      </c>
      <c r="J725" s="49">
        <f t="shared" si="70"/>
        <v>123</v>
      </c>
      <c r="K725" s="49" t="e">
        <f t="shared" si="71"/>
        <v>#N/A</v>
      </c>
    </row>
    <row r="726" spans="1:11">
      <c r="A726" s="74">
        <v>40576</v>
      </c>
      <c r="B726" s="75">
        <v>10</v>
      </c>
      <c r="C726" s="73">
        <v>61</v>
      </c>
      <c r="D726" s="72" cm="1">
        <f t="array" ref="D726">AVERAGE(_xlfn._xlws.FILTER(C:C,B:B=B726))</f>
        <v>53.642857142857146</v>
      </c>
      <c r="E726" s="61" cm="1">
        <f t="array" ref="E726">_xlfn.STDEV.S(_xlfn._xlws.FILTER(C:C,B:B=B726))</f>
        <v>15.395313554536934</v>
      </c>
      <c r="F726" s="61">
        <f t="shared" si="67"/>
        <v>22.852230033783279</v>
      </c>
      <c r="G726" s="61">
        <f t="shared" si="68"/>
        <v>84.43348425193102</v>
      </c>
      <c r="H726" s="61">
        <f t="shared" si="66"/>
        <v>0.47788197564672108</v>
      </c>
      <c r="I726" s="28" t="str">
        <f t="shared" si="69"/>
        <v>Normal</v>
      </c>
      <c r="J726" s="49">
        <f t="shared" si="70"/>
        <v>61</v>
      </c>
      <c r="K726" s="49" t="e">
        <f t="shared" si="71"/>
        <v>#N/A</v>
      </c>
    </row>
    <row r="727" spans="1:11">
      <c r="A727" s="74">
        <v>40576</v>
      </c>
      <c r="B727" s="75">
        <v>11</v>
      </c>
      <c r="C727" s="73">
        <v>52</v>
      </c>
      <c r="D727" s="72" cm="1">
        <f t="array" ref="D727">AVERAGE(_xlfn._xlws.FILTER(C:C,B:B=B727))</f>
        <v>59.38095238095238</v>
      </c>
      <c r="E727" s="61" cm="1">
        <f t="array" ref="E727">_xlfn.STDEV.S(_xlfn._xlws.FILTER(C:C,B:B=B727))</f>
        <v>20.89573696860419</v>
      </c>
      <c r="F727" s="61">
        <f t="shared" si="67"/>
        <v>17.589478443743999</v>
      </c>
      <c r="G727" s="61">
        <f t="shared" si="68"/>
        <v>101.17242631816076</v>
      </c>
      <c r="H727" s="61">
        <f t="shared" si="66"/>
        <v>-0.35322766514730963</v>
      </c>
      <c r="I727" s="28" t="str">
        <f t="shared" si="69"/>
        <v>Normal</v>
      </c>
      <c r="J727" s="49">
        <f t="shared" si="70"/>
        <v>52</v>
      </c>
      <c r="K727" s="49" t="e">
        <f t="shared" si="71"/>
        <v>#N/A</v>
      </c>
    </row>
    <row r="728" spans="1:11">
      <c r="A728" s="74">
        <v>40576</v>
      </c>
      <c r="B728" s="75">
        <v>12</v>
      </c>
      <c r="C728" s="73">
        <v>64</v>
      </c>
      <c r="D728" s="72" cm="1">
        <f t="array" ref="D728">AVERAGE(_xlfn._xlws.FILTER(C:C,B:B=B728))</f>
        <v>76.348837209302332</v>
      </c>
      <c r="E728" s="61" cm="1">
        <f t="array" ref="E728">_xlfn.STDEV.S(_xlfn._xlws.FILTER(C:C,B:B=B728))</f>
        <v>29.034366927857054</v>
      </c>
      <c r="F728" s="61">
        <f t="shared" si="67"/>
        <v>18.280103353588224</v>
      </c>
      <c r="G728" s="61">
        <f t="shared" si="68"/>
        <v>134.41757106501643</v>
      </c>
      <c r="H728" s="61">
        <f t="shared" si="66"/>
        <v>-0.42531794269825207</v>
      </c>
      <c r="I728" s="28" t="str">
        <f t="shared" si="69"/>
        <v>Normal</v>
      </c>
      <c r="J728" s="49">
        <f t="shared" si="70"/>
        <v>64</v>
      </c>
      <c r="K728" s="49" t="e">
        <f t="shared" si="71"/>
        <v>#N/A</v>
      </c>
    </row>
    <row r="729" spans="1:11">
      <c r="A729" s="74">
        <v>40576</v>
      </c>
      <c r="B729" s="75">
        <v>13</v>
      </c>
      <c r="C729" s="73">
        <v>75</v>
      </c>
      <c r="D729" s="72" cm="1">
        <f t="array" ref="D729">AVERAGE(_xlfn._xlws.FILTER(C:C,B:B=B729))</f>
        <v>78.511627906976742</v>
      </c>
      <c r="E729" s="61" cm="1">
        <f t="array" ref="E729">_xlfn.STDEV.S(_xlfn._xlws.FILTER(C:C,B:B=B729))</f>
        <v>30.072430098825187</v>
      </c>
      <c r="F729" s="61">
        <f t="shared" si="67"/>
        <v>18.366767709326368</v>
      </c>
      <c r="G729" s="61">
        <f t="shared" si="68"/>
        <v>138.6564881046271</v>
      </c>
      <c r="H729" s="61">
        <f t="shared" si="66"/>
        <v>-0.11677233583839729</v>
      </c>
      <c r="I729" s="28" t="str">
        <f t="shared" si="69"/>
        <v>Normal</v>
      </c>
      <c r="J729" s="49">
        <f t="shared" si="70"/>
        <v>75</v>
      </c>
      <c r="K729" s="49" t="e">
        <f t="shared" si="71"/>
        <v>#N/A</v>
      </c>
    </row>
    <row r="730" spans="1:11">
      <c r="A730" s="74">
        <v>40576</v>
      </c>
      <c r="B730" s="75">
        <v>14</v>
      </c>
      <c r="C730" s="73">
        <v>63</v>
      </c>
      <c r="D730" s="72" cm="1">
        <f t="array" ref="D730">AVERAGE(_xlfn._xlws.FILTER(C:C,B:B=B730))</f>
        <v>74.418604651162795</v>
      </c>
      <c r="E730" s="61" cm="1">
        <f t="array" ref="E730">_xlfn.STDEV.S(_xlfn._xlws.FILTER(C:C,B:B=B730))</f>
        <v>30.30576918056515</v>
      </c>
      <c r="F730" s="61">
        <f t="shared" si="67"/>
        <v>13.807066290032495</v>
      </c>
      <c r="G730" s="61">
        <f t="shared" si="68"/>
        <v>135.03014301229308</v>
      </c>
      <c r="H730" s="61">
        <f t="shared" si="66"/>
        <v>-0.37677989900634024</v>
      </c>
      <c r="I730" s="28" t="str">
        <f t="shared" si="69"/>
        <v>Normal</v>
      </c>
      <c r="J730" s="49">
        <f t="shared" si="70"/>
        <v>63</v>
      </c>
      <c r="K730" s="49" t="e">
        <f t="shared" si="71"/>
        <v>#N/A</v>
      </c>
    </row>
    <row r="731" spans="1:11">
      <c r="A731" s="74">
        <v>40576</v>
      </c>
      <c r="B731" s="75">
        <v>15</v>
      </c>
      <c r="C731" s="73">
        <v>76</v>
      </c>
      <c r="D731" s="72" cm="1">
        <f t="array" ref="D731">AVERAGE(_xlfn._xlws.FILTER(C:C,B:B=B731))</f>
        <v>77.95348837209302</v>
      </c>
      <c r="E731" s="61" cm="1">
        <f t="array" ref="E731">_xlfn.STDEV.S(_xlfn._xlws.FILTER(C:C,B:B=B731))</f>
        <v>34.481156681772681</v>
      </c>
      <c r="F731" s="61">
        <f t="shared" si="67"/>
        <v>8.9911750085476569</v>
      </c>
      <c r="G731" s="61">
        <f t="shared" si="68"/>
        <v>146.91580173563838</v>
      </c>
      <c r="H731" s="61">
        <f t="shared" si="66"/>
        <v>-5.6653794712335344E-2</v>
      </c>
      <c r="I731" s="28" t="str">
        <f t="shared" si="69"/>
        <v>Normal</v>
      </c>
      <c r="J731" s="49">
        <f t="shared" si="70"/>
        <v>76</v>
      </c>
      <c r="K731" s="49" t="e">
        <f t="shared" si="71"/>
        <v>#N/A</v>
      </c>
    </row>
    <row r="732" spans="1:11">
      <c r="A732" s="74">
        <v>40576</v>
      </c>
      <c r="B732" s="75">
        <v>16</v>
      </c>
      <c r="C732" s="73">
        <v>103</v>
      </c>
      <c r="D732" s="72" cm="1">
        <f t="array" ref="D732">AVERAGE(_xlfn._xlws.FILTER(C:C,B:B=B732))</f>
        <v>89.272727272727266</v>
      </c>
      <c r="E732" s="61" cm="1">
        <f t="array" ref="E732">_xlfn.STDEV.S(_xlfn._xlws.FILTER(C:C,B:B=B732))</f>
        <v>25.461657115880758</v>
      </c>
      <c r="F732" s="61">
        <f t="shared" si="67"/>
        <v>38.34941304096575</v>
      </c>
      <c r="G732" s="61">
        <f t="shared" si="68"/>
        <v>140.19604150448879</v>
      </c>
      <c r="H732" s="61">
        <f t="shared" si="66"/>
        <v>0.53913508711539671</v>
      </c>
      <c r="I732" s="28" t="str">
        <f t="shared" si="69"/>
        <v>Normal</v>
      </c>
      <c r="J732" s="49">
        <f t="shared" si="70"/>
        <v>103</v>
      </c>
      <c r="K732" s="49" t="e">
        <f t="shared" si="71"/>
        <v>#N/A</v>
      </c>
    </row>
    <row r="733" spans="1:11">
      <c r="A733" s="74">
        <v>40576</v>
      </c>
      <c r="B733" s="75">
        <v>17</v>
      </c>
      <c r="C733" s="73">
        <v>190</v>
      </c>
      <c r="D733" s="72" cm="1">
        <f t="array" ref="D733">AVERAGE(_xlfn._xlws.FILTER(C:C,B:B=B733))</f>
        <v>140.20454545454547</v>
      </c>
      <c r="E733" s="61" cm="1">
        <f t="array" ref="E733">_xlfn.STDEV.S(_xlfn._xlws.FILTER(C:C,B:B=B733))</f>
        <v>54.067391000084555</v>
      </c>
      <c r="F733" s="61">
        <f t="shared" si="67"/>
        <v>32.069763454376357</v>
      </c>
      <c r="G733" s="61">
        <f t="shared" si="68"/>
        <v>248.33932745471458</v>
      </c>
      <c r="H733" s="61">
        <f t="shared" si="66"/>
        <v>0.92098867033137699</v>
      </c>
      <c r="I733" s="28" t="str">
        <f t="shared" si="69"/>
        <v>Normal</v>
      </c>
      <c r="J733" s="49">
        <f t="shared" si="70"/>
        <v>190</v>
      </c>
      <c r="K733" s="49" t="e">
        <f t="shared" si="71"/>
        <v>#N/A</v>
      </c>
    </row>
    <row r="734" spans="1:11">
      <c r="A734" s="74">
        <v>40576</v>
      </c>
      <c r="B734" s="75">
        <v>18</v>
      </c>
      <c r="C734" s="73">
        <v>182</v>
      </c>
      <c r="D734" s="72" cm="1">
        <f t="array" ref="D734">AVERAGE(_xlfn._xlws.FILTER(C:C,B:B=B734))</f>
        <v>122.86046511627907</v>
      </c>
      <c r="E734" s="61" cm="1">
        <f t="array" ref="E734">_xlfn.STDEV.S(_xlfn._xlws.FILTER(C:C,B:B=B734))</f>
        <v>48.613432101949932</v>
      </c>
      <c r="F734" s="61">
        <f t="shared" si="67"/>
        <v>25.633600912379208</v>
      </c>
      <c r="G734" s="61">
        <f t="shared" si="68"/>
        <v>220.08732932017892</v>
      </c>
      <c r="H734" s="61">
        <f t="shared" si="66"/>
        <v>1.2165266332090299</v>
      </c>
      <c r="I734" s="28" t="str">
        <f t="shared" si="69"/>
        <v>Normal</v>
      </c>
      <c r="J734" s="49">
        <f t="shared" si="70"/>
        <v>182</v>
      </c>
      <c r="K734" s="49" t="e">
        <f t="shared" si="71"/>
        <v>#N/A</v>
      </c>
    </row>
    <row r="735" spans="1:11">
      <c r="A735" s="74">
        <v>40576</v>
      </c>
      <c r="B735" s="75">
        <v>19</v>
      </c>
      <c r="C735" s="73">
        <v>91</v>
      </c>
      <c r="D735" s="72" cm="1">
        <f t="array" ref="D735">AVERAGE(_xlfn._xlws.FILTER(C:C,B:B=B735))</f>
        <v>85.139534883720927</v>
      </c>
      <c r="E735" s="61" cm="1">
        <f t="array" ref="E735">_xlfn.STDEV.S(_xlfn._xlws.FILTER(C:C,B:B=B735))</f>
        <v>31.690904054294752</v>
      </c>
      <c r="F735" s="61">
        <f t="shared" si="67"/>
        <v>21.757726775131424</v>
      </c>
      <c r="G735" s="61">
        <f t="shared" si="68"/>
        <v>148.52134299231042</v>
      </c>
      <c r="H735" s="61">
        <f t="shared" si="66"/>
        <v>0.18492577889979325</v>
      </c>
      <c r="I735" s="28" t="str">
        <f t="shared" si="69"/>
        <v>Normal</v>
      </c>
      <c r="J735" s="49">
        <f t="shared" si="70"/>
        <v>91</v>
      </c>
      <c r="K735" s="49" t="e">
        <f t="shared" si="71"/>
        <v>#N/A</v>
      </c>
    </row>
    <row r="736" spans="1:11">
      <c r="A736" s="74">
        <v>40576</v>
      </c>
      <c r="B736" s="75">
        <v>20</v>
      </c>
      <c r="C736" s="73">
        <v>75</v>
      </c>
      <c r="D736" s="72" cm="1">
        <f t="array" ref="D736">AVERAGE(_xlfn._xlws.FILTER(C:C,B:B=B736))</f>
        <v>61.767441860465119</v>
      </c>
      <c r="E736" s="61" cm="1">
        <f t="array" ref="E736">_xlfn.STDEV.S(_xlfn._xlws.FILTER(C:C,B:B=B736))</f>
        <v>24.632380169685593</v>
      </c>
      <c r="F736" s="61">
        <f t="shared" si="67"/>
        <v>12.502681521093933</v>
      </c>
      <c r="G736" s="61">
        <f t="shared" si="68"/>
        <v>111.03220219983631</v>
      </c>
      <c r="H736" s="61">
        <f t="shared" si="66"/>
        <v>0.53720176647077866</v>
      </c>
      <c r="I736" s="28" t="str">
        <f t="shared" si="69"/>
        <v>Normal</v>
      </c>
      <c r="J736" s="49">
        <f t="shared" si="70"/>
        <v>75</v>
      </c>
      <c r="K736" s="49" t="e">
        <f t="shared" si="71"/>
        <v>#N/A</v>
      </c>
    </row>
    <row r="737" spans="1:11">
      <c r="A737" s="74">
        <v>40576</v>
      </c>
      <c r="B737" s="75">
        <v>21</v>
      </c>
      <c r="C737" s="73">
        <v>63</v>
      </c>
      <c r="D737" s="72" cm="1">
        <f t="array" ref="D737">AVERAGE(_xlfn._xlws.FILTER(C:C,B:B=B737))</f>
        <v>46.418604651162788</v>
      </c>
      <c r="E737" s="61" cm="1">
        <f t="array" ref="E737">_xlfn.STDEV.S(_xlfn._xlws.FILTER(C:C,B:B=B737))</f>
        <v>14.656759464719496</v>
      </c>
      <c r="F737" s="61">
        <f t="shared" si="67"/>
        <v>17.105085721723796</v>
      </c>
      <c r="G737" s="61">
        <f t="shared" si="68"/>
        <v>75.73212358060178</v>
      </c>
      <c r="H737" s="61">
        <f t="shared" si="66"/>
        <v>1.1313138752635286</v>
      </c>
      <c r="I737" s="28" t="str">
        <f t="shared" si="69"/>
        <v>Normal</v>
      </c>
      <c r="J737" s="49">
        <f t="shared" si="70"/>
        <v>63</v>
      </c>
      <c r="K737" s="49" t="e">
        <f t="shared" si="71"/>
        <v>#N/A</v>
      </c>
    </row>
    <row r="738" spans="1:11">
      <c r="A738" s="74">
        <v>40576</v>
      </c>
      <c r="B738" s="75">
        <v>22</v>
      </c>
      <c r="C738" s="73">
        <v>40</v>
      </c>
      <c r="D738" s="72" cm="1">
        <f t="array" ref="D738">AVERAGE(_xlfn._xlws.FILTER(C:C,B:B=B738))</f>
        <v>35.069767441860463</v>
      </c>
      <c r="E738" s="61" cm="1">
        <f t="array" ref="E738">_xlfn.STDEV.S(_xlfn._xlws.FILTER(C:C,B:B=B738))</f>
        <v>11.95506537162667</v>
      </c>
      <c r="F738" s="61">
        <f t="shared" si="67"/>
        <v>11.159636698607123</v>
      </c>
      <c r="G738" s="61">
        <f t="shared" si="68"/>
        <v>58.979898185113804</v>
      </c>
      <c r="H738" s="61">
        <f t="shared" si="66"/>
        <v>0.41239695517187314</v>
      </c>
      <c r="I738" s="28" t="str">
        <f t="shared" si="69"/>
        <v>Normal</v>
      </c>
      <c r="J738" s="49">
        <f t="shared" si="70"/>
        <v>40</v>
      </c>
      <c r="K738" s="49" t="e">
        <f t="shared" si="71"/>
        <v>#N/A</v>
      </c>
    </row>
    <row r="739" spans="1:11">
      <c r="A739" s="74">
        <v>40576</v>
      </c>
      <c r="B739" s="75">
        <v>23</v>
      </c>
      <c r="C739" s="73">
        <v>32</v>
      </c>
      <c r="D739" s="72" cm="1">
        <f t="array" ref="D739">AVERAGE(_xlfn._xlws.FILTER(C:C,B:B=B739))</f>
        <v>25.186046511627907</v>
      </c>
      <c r="E739" s="61" cm="1">
        <f t="array" ref="E739">_xlfn.STDEV.S(_xlfn._xlws.FILTER(C:C,B:B=B739))</f>
        <v>11.751911321656188</v>
      </c>
      <c r="F739" s="61">
        <f t="shared" si="67"/>
        <v>1.6822238683155319</v>
      </c>
      <c r="G739" s="61">
        <f t="shared" si="68"/>
        <v>48.689869154940283</v>
      </c>
      <c r="H739" s="61">
        <f t="shared" si="66"/>
        <v>0.57981661892014746</v>
      </c>
      <c r="I739" s="28" t="str">
        <f t="shared" si="69"/>
        <v>Normal</v>
      </c>
      <c r="J739" s="49">
        <f t="shared" si="70"/>
        <v>32</v>
      </c>
      <c r="K739" s="49" t="e">
        <f t="shared" si="71"/>
        <v>#N/A</v>
      </c>
    </row>
    <row r="740" spans="1:11">
      <c r="A740" s="74">
        <v>40577</v>
      </c>
      <c r="B740" s="75">
        <v>0</v>
      </c>
      <c r="C740" s="73">
        <v>12</v>
      </c>
      <c r="D740" s="72" cm="1">
        <f t="array" ref="D740">AVERAGE(_xlfn._xlws.FILTER(C:C,B:B=B740))</f>
        <v>16.348837209302324</v>
      </c>
      <c r="E740" s="61" cm="1">
        <f t="array" ref="E740">_xlfn.STDEV.S(_xlfn._xlws.FILTER(C:C,B:B=B740))</f>
        <v>10.44232167427621</v>
      </c>
      <c r="F740" s="61">
        <f t="shared" si="67"/>
        <v>-4.535806139250095</v>
      </c>
      <c r="G740" s="61">
        <f t="shared" si="68"/>
        <v>37.233480557854747</v>
      </c>
      <c r="H740" s="61">
        <f t="shared" si="66"/>
        <v>-0.41646267419776228</v>
      </c>
      <c r="I740" s="28" t="str">
        <f t="shared" si="69"/>
        <v>Normal</v>
      </c>
      <c r="J740" s="49">
        <f t="shared" si="70"/>
        <v>12</v>
      </c>
      <c r="K740" s="49" t="e">
        <f t="shared" si="71"/>
        <v>#N/A</v>
      </c>
    </row>
    <row r="741" spans="1:11">
      <c r="A741" s="74">
        <v>40577</v>
      </c>
      <c r="B741" s="75">
        <v>1</v>
      </c>
      <c r="C741" s="73">
        <v>5</v>
      </c>
      <c r="D741" s="72" cm="1">
        <f t="array" ref="D741">AVERAGE(_xlfn._xlws.FILTER(C:C,B:B=B741))</f>
        <v>10.697674418604651</v>
      </c>
      <c r="E741" s="61" cm="1">
        <f t="array" ref="E741">_xlfn.STDEV.S(_xlfn._xlws.FILTER(C:C,B:B=B741))</f>
        <v>10.060613641515801</v>
      </c>
      <c r="F741" s="61">
        <f t="shared" si="67"/>
        <v>-9.4235528644269504</v>
      </c>
      <c r="G741" s="61">
        <f t="shared" si="68"/>
        <v>30.81890170163625</v>
      </c>
      <c r="H741" s="61">
        <f t="shared" si="66"/>
        <v>-0.56633468112648844</v>
      </c>
      <c r="I741" s="28" t="str">
        <f t="shared" si="69"/>
        <v>Normal</v>
      </c>
      <c r="J741" s="49">
        <f t="shared" si="70"/>
        <v>5</v>
      </c>
      <c r="K741" s="49" t="e">
        <f t="shared" si="71"/>
        <v>#N/A</v>
      </c>
    </row>
    <row r="742" spans="1:11">
      <c r="A742" s="74">
        <v>40577</v>
      </c>
      <c r="B742" s="75">
        <v>2</v>
      </c>
      <c r="C742" s="73">
        <v>2</v>
      </c>
      <c r="D742" s="72" cm="1">
        <f t="array" ref="D742">AVERAGE(_xlfn._xlws.FILTER(C:C,B:B=B742))</f>
        <v>7.1707317073170733</v>
      </c>
      <c r="E742" s="61" cm="1">
        <f t="array" ref="E742">_xlfn.STDEV.S(_xlfn._xlws.FILTER(C:C,B:B=B742))</f>
        <v>7.3685223723090854</v>
      </c>
      <c r="F742" s="61">
        <f t="shared" si="67"/>
        <v>-7.5663130373010974</v>
      </c>
      <c r="G742" s="61">
        <f t="shared" si="68"/>
        <v>21.907776451935245</v>
      </c>
      <c r="H742" s="61">
        <f t="shared" si="66"/>
        <v>-0.70173251108644097</v>
      </c>
      <c r="I742" s="28" t="str">
        <f t="shared" si="69"/>
        <v>Normal</v>
      </c>
      <c r="J742" s="49">
        <f t="shared" si="70"/>
        <v>2</v>
      </c>
      <c r="K742" s="49" t="e">
        <f t="shared" si="71"/>
        <v>#N/A</v>
      </c>
    </row>
    <row r="743" spans="1:11">
      <c r="A743" s="74">
        <v>40577</v>
      </c>
      <c r="B743" s="75">
        <v>3</v>
      </c>
      <c r="C743" s="73">
        <v>1</v>
      </c>
      <c r="D743" s="72" cm="1">
        <f t="array" ref="D743">AVERAGE(_xlfn._xlws.FILTER(C:C,B:B=B743))</f>
        <v>4.870967741935484</v>
      </c>
      <c r="E743" s="61" cm="1">
        <f t="array" ref="E743">_xlfn.STDEV.S(_xlfn._xlws.FILTER(C:C,B:B=B743))</f>
        <v>4.4702120418303126</v>
      </c>
      <c r="F743" s="61">
        <f t="shared" si="67"/>
        <v>-4.0694563417251413</v>
      </c>
      <c r="G743" s="61">
        <f t="shared" si="68"/>
        <v>13.811391825596109</v>
      </c>
      <c r="H743" s="61">
        <f t="shared" si="66"/>
        <v>-0.86594723152115394</v>
      </c>
      <c r="I743" s="28" t="str">
        <f t="shared" si="69"/>
        <v>Normal</v>
      </c>
      <c r="J743" s="49">
        <f t="shared" si="70"/>
        <v>1</v>
      </c>
      <c r="K743" s="49" t="e">
        <f t="shared" si="71"/>
        <v>#N/A</v>
      </c>
    </row>
    <row r="744" spans="1:11">
      <c r="A744" s="74">
        <v>40577</v>
      </c>
      <c r="B744" s="75">
        <v>5</v>
      </c>
      <c r="C744" s="73">
        <v>2</v>
      </c>
      <c r="D744" s="72" cm="1">
        <f t="array" ref="D744">AVERAGE(_xlfn._xlws.FILTER(C:C,B:B=B744))</f>
        <v>4.2051282051282053</v>
      </c>
      <c r="E744" s="61" cm="1">
        <f t="array" ref="E744">_xlfn.STDEV.S(_xlfn._xlws.FILTER(C:C,B:B=B744))</f>
        <v>2.5358429220352288</v>
      </c>
      <c r="F744" s="61">
        <f t="shared" si="67"/>
        <v>-0.86655763894225224</v>
      </c>
      <c r="G744" s="61">
        <f t="shared" si="68"/>
        <v>9.2768140491986628</v>
      </c>
      <c r="H744" s="61">
        <f t="shared" si="66"/>
        <v>-0.86958391072519714</v>
      </c>
      <c r="I744" s="28" t="str">
        <f t="shared" si="69"/>
        <v>Normal</v>
      </c>
      <c r="J744" s="49">
        <f t="shared" si="70"/>
        <v>2</v>
      </c>
      <c r="K744" s="49" t="e">
        <f t="shared" si="71"/>
        <v>#N/A</v>
      </c>
    </row>
    <row r="745" spans="1:11">
      <c r="A745" s="74">
        <v>40577</v>
      </c>
      <c r="B745" s="75">
        <v>6</v>
      </c>
      <c r="C745" s="73">
        <v>39</v>
      </c>
      <c r="D745" s="72" cm="1">
        <f t="array" ref="D745">AVERAGE(_xlfn._xlws.FILTER(C:C,B:B=B745))</f>
        <v>19.571428571428573</v>
      </c>
      <c r="E745" s="61" cm="1">
        <f t="array" ref="E745">_xlfn.STDEV.S(_xlfn._xlws.FILTER(C:C,B:B=B745))</f>
        <v>14.202615453298934</v>
      </c>
      <c r="F745" s="61">
        <f t="shared" si="67"/>
        <v>-8.8338023351692954</v>
      </c>
      <c r="G745" s="61">
        <f t="shared" si="68"/>
        <v>47.976659478026441</v>
      </c>
      <c r="H745" s="61">
        <f t="shared" si="66"/>
        <v>1.3679572957851664</v>
      </c>
      <c r="I745" s="28" t="str">
        <f t="shared" si="69"/>
        <v>Normal</v>
      </c>
      <c r="J745" s="49">
        <f t="shared" si="70"/>
        <v>39</v>
      </c>
      <c r="K745" s="49" t="e">
        <f t="shared" si="71"/>
        <v>#N/A</v>
      </c>
    </row>
    <row r="746" spans="1:11">
      <c r="A746" s="74">
        <v>40577</v>
      </c>
      <c r="B746" s="75">
        <v>7</v>
      </c>
      <c r="C746" s="73">
        <v>87</v>
      </c>
      <c r="D746" s="72" cm="1">
        <f t="array" ref="D746">AVERAGE(_xlfn._xlws.FILTER(C:C,B:B=B746))</f>
        <v>54.395348837209305</v>
      </c>
      <c r="E746" s="61" cm="1">
        <f t="array" ref="E746">_xlfn.STDEV.S(_xlfn._xlws.FILTER(C:C,B:B=B746))</f>
        <v>39.112864486352777</v>
      </c>
      <c r="F746" s="61">
        <f t="shared" si="67"/>
        <v>-23.830380135496249</v>
      </c>
      <c r="G746" s="61">
        <f t="shared" si="68"/>
        <v>132.62107780991485</v>
      </c>
      <c r="H746" s="61">
        <f t="shared" si="66"/>
        <v>0.83360427805452808</v>
      </c>
      <c r="I746" s="28" t="str">
        <f t="shared" si="69"/>
        <v>Normal</v>
      </c>
      <c r="J746" s="49">
        <f t="shared" si="70"/>
        <v>87</v>
      </c>
      <c r="K746" s="49" t="e">
        <f t="shared" si="71"/>
        <v>#N/A</v>
      </c>
    </row>
    <row r="747" spans="1:11">
      <c r="A747" s="74">
        <v>40577</v>
      </c>
      <c r="B747" s="75">
        <v>8</v>
      </c>
      <c r="C747" s="73">
        <v>188</v>
      </c>
      <c r="D747" s="72" cm="1">
        <f t="array" ref="D747">AVERAGE(_xlfn._xlws.FILTER(C:C,B:B=B747))</f>
        <v>128.28571428571428</v>
      </c>
      <c r="E747" s="61" cm="1">
        <f t="array" ref="E747">_xlfn.STDEV.S(_xlfn._xlws.FILTER(C:C,B:B=B747))</f>
        <v>88.551565717048547</v>
      </c>
      <c r="F747" s="61">
        <f t="shared" si="67"/>
        <v>-48.817417148382816</v>
      </c>
      <c r="G747" s="61">
        <f t="shared" si="68"/>
        <v>305.38884571981134</v>
      </c>
      <c r="H747" s="61">
        <f t="shared" si="66"/>
        <v>0.67434477562025896</v>
      </c>
      <c r="I747" s="28" t="str">
        <f t="shared" si="69"/>
        <v>Normal</v>
      </c>
      <c r="J747" s="49">
        <f t="shared" si="70"/>
        <v>188</v>
      </c>
      <c r="K747" s="49" t="e">
        <f t="shared" si="71"/>
        <v>#N/A</v>
      </c>
    </row>
    <row r="748" spans="1:11">
      <c r="A748" s="74">
        <v>40577</v>
      </c>
      <c r="B748" s="75">
        <v>9</v>
      </c>
      <c r="C748" s="73">
        <v>133</v>
      </c>
      <c r="D748" s="72" cm="1">
        <f t="array" ref="D748">AVERAGE(_xlfn._xlws.FILTER(C:C,B:B=B748))</f>
        <v>87.428571428571431</v>
      </c>
      <c r="E748" s="61" cm="1">
        <f t="array" ref="E748">_xlfn.STDEV.S(_xlfn._xlws.FILTER(C:C,B:B=B748))</f>
        <v>45.93852884078624</v>
      </c>
      <c r="F748" s="61">
        <f t="shared" si="67"/>
        <v>-4.4484862530010503</v>
      </c>
      <c r="G748" s="61">
        <f t="shared" si="68"/>
        <v>179.30562911014391</v>
      </c>
      <c r="H748" s="61">
        <f t="shared" si="66"/>
        <v>0.99200888059280334</v>
      </c>
      <c r="I748" s="28" t="str">
        <f t="shared" si="69"/>
        <v>Normal</v>
      </c>
      <c r="J748" s="49">
        <f t="shared" si="70"/>
        <v>133</v>
      </c>
      <c r="K748" s="49" t="e">
        <f t="shared" si="71"/>
        <v>#N/A</v>
      </c>
    </row>
    <row r="749" spans="1:11">
      <c r="A749" s="74">
        <v>40577</v>
      </c>
      <c r="B749" s="75">
        <v>10</v>
      </c>
      <c r="C749" s="73">
        <v>52</v>
      </c>
      <c r="D749" s="72" cm="1">
        <f t="array" ref="D749">AVERAGE(_xlfn._xlws.FILTER(C:C,B:B=B749))</f>
        <v>53.642857142857146</v>
      </c>
      <c r="E749" s="61" cm="1">
        <f t="array" ref="E749">_xlfn.STDEV.S(_xlfn._xlws.FILTER(C:C,B:B=B749))</f>
        <v>15.395313554536934</v>
      </c>
      <c r="F749" s="61">
        <f t="shared" si="67"/>
        <v>22.852230033783279</v>
      </c>
      <c r="G749" s="61">
        <f t="shared" si="68"/>
        <v>84.43348425193102</v>
      </c>
      <c r="H749" s="61">
        <f t="shared" si="66"/>
        <v>-0.10671150912499622</v>
      </c>
      <c r="I749" s="28" t="str">
        <f t="shared" si="69"/>
        <v>Normal</v>
      </c>
      <c r="J749" s="49">
        <f t="shared" si="70"/>
        <v>52</v>
      </c>
      <c r="K749" s="49" t="e">
        <f t="shared" si="71"/>
        <v>#N/A</v>
      </c>
    </row>
    <row r="750" spans="1:11">
      <c r="A750" s="74">
        <v>40577</v>
      </c>
      <c r="B750" s="75">
        <v>11</v>
      </c>
      <c r="C750" s="73">
        <v>64</v>
      </c>
      <c r="D750" s="72" cm="1">
        <f t="array" ref="D750">AVERAGE(_xlfn._xlws.FILTER(C:C,B:B=B750))</f>
        <v>59.38095238095238</v>
      </c>
      <c r="E750" s="61" cm="1">
        <f t="array" ref="E750">_xlfn.STDEV.S(_xlfn._xlws.FILTER(C:C,B:B=B750))</f>
        <v>20.89573696860419</v>
      </c>
      <c r="F750" s="61">
        <f t="shared" si="67"/>
        <v>17.589478443743999</v>
      </c>
      <c r="G750" s="61">
        <f t="shared" si="68"/>
        <v>101.17242631816076</v>
      </c>
      <c r="H750" s="61">
        <f t="shared" si="66"/>
        <v>0.22105215173734871</v>
      </c>
      <c r="I750" s="28" t="str">
        <f t="shared" si="69"/>
        <v>Normal</v>
      </c>
      <c r="J750" s="49">
        <f t="shared" si="70"/>
        <v>64</v>
      </c>
      <c r="K750" s="49" t="e">
        <f t="shared" si="71"/>
        <v>#N/A</v>
      </c>
    </row>
    <row r="751" spans="1:11">
      <c r="A751" s="74">
        <v>40577</v>
      </c>
      <c r="B751" s="75">
        <v>12</v>
      </c>
      <c r="C751" s="73">
        <v>69</v>
      </c>
      <c r="D751" s="72" cm="1">
        <f t="array" ref="D751">AVERAGE(_xlfn._xlws.FILTER(C:C,B:B=B751))</f>
        <v>76.348837209302332</v>
      </c>
      <c r="E751" s="61" cm="1">
        <f t="array" ref="E751">_xlfn.STDEV.S(_xlfn._xlws.FILTER(C:C,B:B=B751))</f>
        <v>29.034366927857054</v>
      </c>
      <c r="F751" s="61">
        <f t="shared" si="67"/>
        <v>18.280103353588224</v>
      </c>
      <c r="G751" s="61">
        <f t="shared" si="68"/>
        <v>134.41757106501643</v>
      </c>
      <c r="H751" s="61">
        <f t="shared" si="66"/>
        <v>-0.25310822955300882</v>
      </c>
      <c r="I751" s="28" t="str">
        <f t="shared" si="69"/>
        <v>Normal</v>
      </c>
      <c r="J751" s="49">
        <f t="shared" si="70"/>
        <v>69</v>
      </c>
      <c r="K751" s="49" t="e">
        <f t="shared" si="71"/>
        <v>#N/A</v>
      </c>
    </row>
    <row r="752" spans="1:11">
      <c r="A752" s="74">
        <v>40577</v>
      </c>
      <c r="B752" s="75">
        <v>13</v>
      </c>
      <c r="C752" s="73">
        <v>51</v>
      </c>
      <c r="D752" s="72" cm="1">
        <f t="array" ref="D752">AVERAGE(_xlfn._xlws.FILTER(C:C,B:B=B752))</f>
        <v>78.511627906976742</v>
      </c>
      <c r="E752" s="61" cm="1">
        <f t="array" ref="E752">_xlfn.STDEV.S(_xlfn._xlws.FILTER(C:C,B:B=B752))</f>
        <v>30.072430098825187</v>
      </c>
      <c r="F752" s="61">
        <f t="shared" si="67"/>
        <v>18.366767709326368</v>
      </c>
      <c r="G752" s="61">
        <f t="shared" si="68"/>
        <v>138.6564881046271</v>
      </c>
      <c r="H752" s="61">
        <f t="shared" si="66"/>
        <v>-0.91484551852201379</v>
      </c>
      <c r="I752" s="28" t="str">
        <f t="shared" si="69"/>
        <v>Normal</v>
      </c>
      <c r="J752" s="49">
        <f t="shared" si="70"/>
        <v>51</v>
      </c>
      <c r="K752" s="49" t="e">
        <f t="shared" si="71"/>
        <v>#N/A</v>
      </c>
    </row>
    <row r="753" spans="1:11">
      <c r="A753" s="74">
        <v>40577</v>
      </c>
      <c r="B753" s="75">
        <v>14</v>
      </c>
      <c r="C753" s="73">
        <v>47</v>
      </c>
      <c r="D753" s="72" cm="1">
        <f t="array" ref="D753">AVERAGE(_xlfn._xlws.FILTER(C:C,B:B=B753))</f>
        <v>74.418604651162795</v>
      </c>
      <c r="E753" s="61" cm="1">
        <f t="array" ref="E753">_xlfn.STDEV.S(_xlfn._xlws.FILTER(C:C,B:B=B753))</f>
        <v>30.30576918056515</v>
      </c>
      <c r="F753" s="61">
        <f t="shared" si="67"/>
        <v>13.807066290032495</v>
      </c>
      <c r="G753" s="61">
        <f t="shared" si="68"/>
        <v>135.03014301229308</v>
      </c>
      <c r="H753" s="61">
        <f t="shared" si="66"/>
        <v>-0.904732181117057</v>
      </c>
      <c r="I753" s="28" t="str">
        <f t="shared" si="69"/>
        <v>Normal</v>
      </c>
      <c r="J753" s="49">
        <f t="shared" si="70"/>
        <v>47</v>
      </c>
      <c r="K753" s="49" t="e">
        <f t="shared" si="71"/>
        <v>#N/A</v>
      </c>
    </row>
    <row r="754" spans="1:11">
      <c r="A754" s="74">
        <v>40577</v>
      </c>
      <c r="B754" s="75">
        <v>15</v>
      </c>
      <c r="C754" s="73">
        <v>60</v>
      </c>
      <c r="D754" s="72" cm="1">
        <f t="array" ref="D754">AVERAGE(_xlfn._xlws.FILTER(C:C,B:B=B754))</f>
        <v>77.95348837209302</v>
      </c>
      <c r="E754" s="61" cm="1">
        <f t="array" ref="E754">_xlfn.STDEV.S(_xlfn._xlws.FILTER(C:C,B:B=B754))</f>
        <v>34.481156681772681</v>
      </c>
      <c r="F754" s="61">
        <f t="shared" si="67"/>
        <v>8.9911750085476569</v>
      </c>
      <c r="G754" s="61">
        <f t="shared" si="68"/>
        <v>146.91580173563838</v>
      </c>
      <c r="H754" s="61">
        <f t="shared" si="66"/>
        <v>-0.52067535140384469</v>
      </c>
      <c r="I754" s="28" t="str">
        <f t="shared" si="69"/>
        <v>Normal</v>
      </c>
      <c r="J754" s="49">
        <f t="shared" si="70"/>
        <v>60</v>
      </c>
      <c r="K754" s="49" t="e">
        <f t="shared" si="71"/>
        <v>#N/A</v>
      </c>
    </row>
    <row r="755" spans="1:11">
      <c r="A755" s="74">
        <v>40577</v>
      </c>
      <c r="B755" s="75">
        <v>16</v>
      </c>
      <c r="C755" s="73">
        <v>78</v>
      </c>
      <c r="D755" s="72" cm="1">
        <f t="array" ref="D755">AVERAGE(_xlfn._xlws.FILTER(C:C,B:B=B755))</f>
        <v>89.272727272727266</v>
      </c>
      <c r="E755" s="61" cm="1">
        <f t="array" ref="E755">_xlfn.STDEV.S(_xlfn._xlws.FILTER(C:C,B:B=B755))</f>
        <v>25.461657115880758</v>
      </c>
      <c r="F755" s="61">
        <f t="shared" si="67"/>
        <v>38.34941304096575</v>
      </c>
      <c r="G755" s="61">
        <f t="shared" si="68"/>
        <v>140.19604150448879</v>
      </c>
      <c r="H755" s="61">
        <f t="shared" si="66"/>
        <v>-0.44273344902191475</v>
      </c>
      <c r="I755" s="28" t="str">
        <f t="shared" si="69"/>
        <v>Normal</v>
      </c>
      <c r="J755" s="49">
        <f t="shared" si="70"/>
        <v>78</v>
      </c>
      <c r="K755" s="49" t="e">
        <f t="shared" si="71"/>
        <v>#N/A</v>
      </c>
    </row>
    <row r="756" spans="1:11">
      <c r="A756" s="74">
        <v>40577</v>
      </c>
      <c r="B756" s="75">
        <v>17</v>
      </c>
      <c r="C756" s="73">
        <v>175</v>
      </c>
      <c r="D756" s="72" cm="1">
        <f t="array" ref="D756">AVERAGE(_xlfn._xlws.FILTER(C:C,B:B=B756))</f>
        <v>140.20454545454547</v>
      </c>
      <c r="E756" s="61" cm="1">
        <f t="array" ref="E756">_xlfn.STDEV.S(_xlfn._xlws.FILTER(C:C,B:B=B756))</f>
        <v>54.067391000084555</v>
      </c>
      <c r="F756" s="61">
        <f t="shared" si="67"/>
        <v>32.069763454376357</v>
      </c>
      <c r="G756" s="61">
        <f t="shared" si="68"/>
        <v>248.33932745471458</v>
      </c>
      <c r="H756" s="61">
        <f t="shared" si="66"/>
        <v>0.64355712198874393</v>
      </c>
      <c r="I756" s="28" t="str">
        <f t="shared" si="69"/>
        <v>Normal</v>
      </c>
      <c r="J756" s="49">
        <f t="shared" si="70"/>
        <v>175</v>
      </c>
      <c r="K756" s="49" t="e">
        <f t="shared" si="71"/>
        <v>#N/A</v>
      </c>
    </row>
    <row r="757" spans="1:11">
      <c r="A757" s="74">
        <v>40577</v>
      </c>
      <c r="B757" s="75">
        <v>18</v>
      </c>
      <c r="C757" s="73">
        <v>147</v>
      </c>
      <c r="D757" s="72" cm="1">
        <f t="array" ref="D757">AVERAGE(_xlfn._xlws.FILTER(C:C,B:B=B757))</f>
        <v>122.86046511627907</v>
      </c>
      <c r="E757" s="61" cm="1">
        <f t="array" ref="E757">_xlfn.STDEV.S(_xlfn._xlws.FILTER(C:C,B:B=B757))</f>
        <v>48.613432101949932</v>
      </c>
      <c r="F757" s="61">
        <f t="shared" si="67"/>
        <v>25.633600912379208</v>
      </c>
      <c r="G757" s="61">
        <f t="shared" si="68"/>
        <v>220.08732932017892</v>
      </c>
      <c r="H757" s="61">
        <f t="shared" si="66"/>
        <v>0.49656100875775577</v>
      </c>
      <c r="I757" s="28" t="str">
        <f t="shared" si="69"/>
        <v>Normal</v>
      </c>
      <c r="J757" s="49">
        <f t="shared" si="70"/>
        <v>147</v>
      </c>
      <c r="K757" s="49" t="e">
        <f t="shared" si="71"/>
        <v>#N/A</v>
      </c>
    </row>
    <row r="758" spans="1:11">
      <c r="A758" s="74">
        <v>40577</v>
      </c>
      <c r="B758" s="75">
        <v>19</v>
      </c>
      <c r="C758" s="73">
        <v>96</v>
      </c>
      <c r="D758" s="72" cm="1">
        <f t="array" ref="D758">AVERAGE(_xlfn._xlws.FILTER(C:C,B:B=B758))</f>
        <v>85.139534883720927</v>
      </c>
      <c r="E758" s="61" cm="1">
        <f t="array" ref="E758">_xlfn.STDEV.S(_xlfn._xlws.FILTER(C:C,B:B=B758))</f>
        <v>31.690904054294752</v>
      </c>
      <c r="F758" s="61">
        <f t="shared" si="67"/>
        <v>21.757726775131424</v>
      </c>
      <c r="G758" s="61">
        <f t="shared" si="68"/>
        <v>148.52134299231042</v>
      </c>
      <c r="H758" s="61">
        <f t="shared" si="66"/>
        <v>0.34269975692937871</v>
      </c>
      <c r="I758" s="28" t="str">
        <f t="shared" si="69"/>
        <v>Normal</v>
      </c>
      <c r="J758" s="49">
        <f t="shared" si="70"/>
        <v>96</v>
      </c>
      <c r="K758" s="49" t="e">
        <f t="shared" si="71"/>
        <v>#N/A</v>
      </c>
    </row>
    <row r="759" spans="1:11">
      <c r="A759" s="74">
        <v>40577</v>
      </c>
      <c r="B759" s="75">
        <v>20</v>
      </c>
      <c r="C759" s="73">
        <v>109</v>
      </c>
      <c r="D759" s="72" cm="1">
        <f t="array" ref="D759">AVERAGE(_xlfn._xlws.FILTER(C:C,B:B=B759))</f>
        <v>61.767441860465119</v>
      </c>
      <c r="E759" s="61" cm="1">
        <f t="array" ref="E759">_xlfn.STDEV.S(_xlfn._xlws.FILTER(C:C,B:B=B759))</f>
        <v>24.632380169685593</v>
      </c>
      <c r="F759" s="61">
        <f t="shared" si="67"/>
        <v>12.502681521093933</v>
      </c>
      <c r="G759" s="61">
        <f t="shared" si="68"/>
        <v>111.03220219983631</v>
      </c>
      <c r="H759" s="61">
        <f t="shared" si="66"/>
        <v>1.9174987481584389</v>
      </c>
      <c r="I759" s="28" t="str">
        <f t="shared" si="69"/>
        <v>Normal</v>
      </c>
      <c r="J759" s="49">
        <f t="shared" si="70"/>
        <v>109</v>
      </c>
      <c r="K759" s="49" t="e">
        <f t="shared" si="71"/>
        <v>#N/A</v>
      </c>
    </row>
    <row r="760" spans="1:11">
      <c r="A760" s="74">
        <v>40577</v>
      </c>
      <c r="B760" s="75">
        <v>21</v>
      </c>
      <c r="C760" s="73">
        <v>54</v>
      </c>
      <c r="D760" s="72" cm="1">
        <f t="array" ref="D760">AVERAGE(_xlfn._xlws.FILTER(C:C,B:B=B760))</f>
        <v>46.418604651162788</v>
      </c>
      <c r="E760" s="61" cm="1">
        <f t="array" ref="E760">_xlfn.STDEV.S(_xlfn._xlws.FILTER(C:C,B:B=B760))</f>
        <v>14.656759464719496</v>
      </c>
      <c r="F760" s="61">
        <f t="shared" si="67"/>
        <v>17.105085721723796</v>
      </c>
      <c r="G760" s="61">
        <f t="shared" si="68"/>
        <v>75.73212358060178</v>
      </c>
      <c r="H760" s="61">
        <f t="shared" si="66"/>
        <v>0.51726272557631181</v>
      </c>
      <c r="I760" s="28" t="str">
        <f t="shared" si="69"/>
        <v>Normal</v>
      </c>
      <c r="J760" s="49">
        <f t="shared" si="70"/>
        <v>54</v>
      </c>
      <c r="K760" s="49" t="e">
        <f t="shared" si="71"/>
        <v>#N/A</v>
      </c>
    </row>
    <row r="761" spans="1:11">
      <c r="A761" s="74">
        <v>40577</v>
      </c>
      <c r="B761" s="75">
        <v>22</v>
      </c>
      <c r="C761" s="73">
        <v>41</v>
      </c>
      <c r="D761" s="72" cm="1">
        <f t="array" ref="D761">AVERAGE(_xlfn._xlws.FILTER(C:C,B:B=B761))</f>
        <v>35.069767441860463</v>
      </c>
      <c r="E761" s="61" cm="1">
        <f t="array" ref="E761">_xlfn.STDEV.S(_xlfn._xlws.FILTER(C:C,B:B=B761))</f>
        <v>11.95506537162667</v>
      </c>
      <c r="F761" s="61">
        <f t="shared" si="67"/>
        <v>11.159636698607123</v>
      </c>
      <c r="G761" s="61">
        <f t="shared" si="68"/>
        <v>58.979898185113804</v>
      </c>
      <c r="H761" s="61">
        <f t="shared" si="66"/>
        <v>0.49604350740013037</v>
      </c>
      <c r="I761" s="28" t="str">
        <f t="shared" si="69"/>
        <v>Normal</v>
      </c>
      <c r="J761" s="49">
        <f t="shared" si="70"/>
        <v>41</v>
      </c>
      <c r="K761" s="49" t="e">
        <f t="shared" si="71"/>
        <v>#N/A</v>
      </c>
    </row>
    <row r="762" spans="1:11">
      <c r="A762" s="74">
        <v>40577</v>
      </c>
      <c r="B762" s="75">
        <v>23</v>
      </c>
      <c r="C762" s="73">
        <v>38</v>
      </c>
      <c r="D762" s="72" cm="1">
        <f t="array" ref="D762">AVERAGE(_xlfn._xlws.FILTER(C:C,B:B=B762))</f>
        <v>25.186046511627907</v>
      </c>
      <c r="E762" s="61" cm="1">
        <f t="array" ref="E762">_xlfn.STDEV.S(_xlfn._xlws.FILTER(C:C,B:B=B762))</f>
        <v>11.751911321656188</v>
      </c>
      <c r="F762" s="61">
        <f t="shared" si="67"/>
        <v>1.6822238683155319</v>
      </c>
      <c r="G762" s="61">
        <f t="shared" si="68"/>
        <v>48.689869154940283</v>
      </c>
      <c r="H762" s="61">
        <f t="shared" si="66"/>
        <v>1.0903718669795266</v>
      </c>
      <c r="I762" s="28" t="str">
        <f t="shared" si="69"/>
        <v>Normal</v>
      </c>
      <c r="J762" s="49">
        <f t="shared" si="70"/>
        <v>38</v>
      </c>
      <c r="K762" s="49" t="e">
        <f t="shared" si="71"/>
        <v>#N/A</v>
      </c>
    </row>
    <row r="763" spans="1:11">
      <c r="A763" s="74">
        <v>40578</v>
      </c>
      <c r="B763" s="75">
        <v>0</v>
      </c>
      <c r="C763" s="73">
        <v>13</v>
      </c>
      <c r="D763" s="72" cm="1">
        <f t="array" ref="D763">AVERAGE(_xlfn._xlws.FILTER(C:C,B:B=B763))</f>
        <v>16.348837209302324</v>
      </c>
      <c r="E763" s="61" cm="1">
        <f t="array" ref="E763">_xlfn.STDEV.S(_xlfn._xlws.FILTER(C:C,B:B=B763))</f>
        <v>10.44232167427621</v>
      </c>
      <c r="F763" s="61">
        <f t="shared" si="67"/>
        <v>-4.535806139250095</v>
      </c>
      <c r="G763" s="61">
        <f t="shared" si="68"/>
        <v>37.233480557854747</v>
      </c>
      <c r="H763" s="61">
        <f t="shared" si="66"/>
        <v>-0.32069852986351743</v>
      </c>
      <c r="I763" s="28" t="str">
        <f t="shared" si="69"/>
        <v>Normal</v>
      </c>
      <c r="J763" s="49">
        <f t="shared" si="70"/>
        <v>13</v>
      </c>
      <c r="K763" s="49" t="e">
        <f t="shared" si="71"/>
        <v>#N/A</v>
      </c>
    </row>
    <row r="764" spans="1:11">
      <c r="A764" s="74">
        <v>40578</v>
      </c>
      <c r="B764" s="75">
        <v>1</v>
      </c>
      <c r="C764" s="73">
        <v>7</v>
      </c>
      <c r="D764" s="72" cm="1">
        <f t="array" ref="D764">AVERAGE(_xlfn._xlws.FILTER(C:C,B:B=B764))</f>
        <v>10.697674418604651</v>
      </c>
      <c r="E764" s="61" cm="1">
        <f t="array" ref="E764">_xlfn.STDEV.S(_xlfn._xlws.FILTER(C:C,B:B=B764))</f>
        <v>10.060613641515801</v>
      </c>
      <c r="F764" s="61">
        <f t="shared" si="67"/>
        <v>-9.4235528644269504</v>
      </c>
      <c r="G764" s="61">
        <f t="shared" si="68"/>
        <v>30.81890170163625</v>
      </c>
      <c r="H764" s="61">
        <f t="shared" si="66"/>
        <v>-0.36753965020045576</v>
      </c>
      <c r="I764" s="28" t="str">
        <f t="shared" si="69"/>
        <v>Normal</v>
      </c>
      <c r="J764" s="49">
        <f t="shared" si="70"/>
        <v>7</v>
      </c>
      <c r="K764" s="49" t="e">
        <f t="shared" si="71"/>
        <v>#N/A</v>
      </c>
    </row>
    <row r="765" spans="1:11">
      <c r="A765" s="74">
        <v>40578</v>
      </c>
      <c r="B765" s="75">
        <v>2</v>
      </c>
      <c r="C765" s="73">
        <v>1</v>
      </c>
      <c r="D765" s="72" cm="1">
        <f t="array" ref="D765">AVERAGE(_xlfn._xlws.FILTER(C:C,B:B=B765))</f>
        <v>7.1707317073170733</v>
      </c>
      <c r="E765" s="61" cm="1">
        <f t="array" ref="E765">_xlfn.STDEV.S(_xlfn._xlws.FILTER(C:C,B:B=B765))</f>
        <v>7.3685223723090854</v>
      </c>
      <c r="F765" s="61">
        <f t="shared" si="67"/>
        <v>-7.5663130373010974</v>
      </c>
      <c r="G765" s="61">
        <f t="shared" si="68"/>
        <v>21.907776451935245</v>
      </c>
      <c r="H765" s="61">
        <f t="shared" si="66"/>
        <v>-0.83744493068334691</v>
      </c>
      <c r="I765" s="28" t="str">
        <f t="shared" si="69"/>
        <v>Normal</v>
      </c>
      <c r="J765" s="49">
        <f t="shared" si="70"/>
        <v>1</v>
      </c>
      <c r="K765" s="49" t="e">
        <f t="shared" si="71"/>
        <v>#N/A</v>
      </c>
    </row>
    <row r="766" spans="1:11">
      <c r="A766" s="74">
        <v>40578</v>
      </c>
      <c r="B766" s="75">
        <v>3</v>
      </c>
      <c r="C766" s="73">
        <v>1</v>
      </c>
      <c r="D766" s="72" cm="1">
        <f t="array" ref="D766">AVERAGE(_xlfn._xlws.FILTER(C:C,B:B=B766))</f>
        <v>4.870967741935484</v>
      </c>
      <c r="E766" s="61" cm="1">
        <f t="array" ref="E766">_xlfn.STDEV.S(_xlfn._xlws.FILTER(C:C,B:B=B766))</f>
        <v>4.4702120418303126</v>
      </c>
      <c r="F766" s="61">
        <f t="shared" si="67"/>
        <v>-4.0694563417251413</v>
      </c>
      <c r="G766" s="61">
        <f t="shared" si="68"/>
        <v>13.811391825596109</v>
      </c>
      <c r="H766" s="61">
        <f t="shared" si="66"/>
        <v>-0.86594723152115394</v>
      </c>
      <c r="I766" s="28" t="str">
        <f t="shared" si="69"/>
        <v>Normal</v>
      </c>
      <c r="J766" s="49">
        <f t="shared" si="70"/>
        <v>1</v>
      </c>
      <c r="K766" s="49" t="e">
        <f t="shared" si="71"/>
        <v>#N/A</v>
      </c>
    </row>
    <row r="767" spans="1:11">
      <c r="A767" s="74">
        <v>40578</v>
      </c>
      <c r="B767" s="75">
        <v>5</v>
      </c>
      <c r="C767" s="73">
        <v>7</v>
      </c>
      <c r="D767" s="72" cm="1">
        <f t="array" ref="D767">AVERAGE(_xlfn._xlws.FILTER(C:C,B:B=B767))</f>
        <v>4.2051282051282053</v>
      </c>
      <c r="E767" s="61" cm="1">
        <f t="array" ref="E767">_xlfn.STDEV.S(_xlfn._xlws.FILTER(C:C,B:B=B767))</f>
        <v>2.5358429220352288</v>
      </c>
      <c r="F767" s="61">
        <f t="shared" si="67"/>
        <v>-0.86655763894225224</v>
      </c>
      <c r="G767" s="61">
        <f t="shared" si="68"/>
        <v>9.2768140491986628</v>
      </c>
      <c r="H767" s="61">
        <f t="shared" si="66"/>
        <v>1.1021470496400751</v>
      </c>
      <c r="I767" s="28" t="str">
        <f t="shared" si="69"/>
        <v>Normal</v>
      </c>
      <c r="J767" s="49">
        <f t="shared" si="70"/>
        <v>7</v>
      </c>
      <c r="K767" s="49" t="e">
        <f t="shared" si="71"/>
        <v>#N/A</v>
      </c>
    </row>
    <row r="768" spans="1:11">
      <c r="A768" s="74">
        <v>40578</v>
      </c>
      <c r="B768" s="75">
        <v>6</v>
      </c>
      <c r="C768" s="73">
        <v>28</v>
      </c>
      <c r="D768" s="72" cm="1">
        <f t="array" ref="D768">AVERAGE(_xlfn._xlws.FILTER(C:C,B:B=B768))</f>
        <v>19.571428571428573</v>
      </c>
      <c r="E768" s="61" cm="1">
        <f t="array" ref="E768">_xlfn.STDEV.S(_xlfn._xlws.FILTER(C:C,B:B=B768))</f>
        <v>14.202615453298934</v>
      </c>
      <c r="F768" s="61">
        <f t="shared" si="67"/>
        <v>-8.8338023351692954</v>
      </c>
      <c r="G768" s="61">
        <f t="shared" si="68"/>
        <v>47.976659478026441</v>
      </c>
      <c r="H768" s="61">
        <f t="shared" si="66"/>
        <v>0.59345206214209423</v>
      </c>
      <c r="I768" s="28" t="str">
        <f t="shared" si="69"/>
        <v>Normal</v>
      </c>
      <c r="J768" s="49">
        <f t="shared" si="70"/>
        <v>28</v>
      </c>
      <c r="K768" s="49" t="e">
        <f t="shared" si="71"/>
        <v>#N/A</v>
      </c>
    </row>
    <row r="769" spans="1:11">
      <c r="A769" s="74">
        <v>40578</v>
      </c>
      <c r="B769" s="75">
        <v>7</v>
      </c>
      <c r="C769" s="73">
        <v>87</v>
      </c>
      <c r="D769" s="72" cm="1">
        <f t="array" ref="D769">AVERAGE(_xlfn._xlws.FILTER(C:C,B:B=B769))</f>
        <v>54.395348837209305</v>
      </c>
      <c r="E769" s="61" cm="1">
        <f t="array" ref="E769">_xlfn.STDEV.S(_xlfn._xlws.FILTER(C:C,B:B=B769))</f>
        <v>39.112864486352777</v>
      </c>
      <c r="F769" s="61">
        <f t="shared" si="67"/>
        <v>-23.830380135496249</v>
      </c>
      <c r="G769" s="61">
        <f t="shared" si="68"/>
        <v>132.62107780991485</v>
      </c>
      <c r="H769" s="61">
        <f t="shared" si="66"/>
        <v>0.83360427805452808</v>
      </c>
      <c r="I769" s="28" t="str">
        <f t="shared" si="69"/>
        <v>Normal</v>
      </c>
      <c r="J769" s="49">
        <f t="shared" si="70"/>
        <v>87</v>
      </c>
      <c r="K769" s="49" t="e">
        <f t="shared" si="71"/>
        <v>#N/A</v>
      </c>
    </row>
    <row r="770" spans="1:11">
      <c r="A770" s="74">
        <v>40578</v>
      </c>
      <c r="B770" s="75">
        <v>8</v>
      </c>
      <c r="C770" s="73">
        <v>220</v>
      </c>
      <c r="D770" s="72" cm="1">
        <f t="array" ref="D770">AVERAGE(_xlfn._xlws.FILTER(C:C,B:B=B770))</f>
        <v>128.28571428571428</v>
      </c>
      <c r="E770" s="61" cm="1">
        <f t="array" ref="E770">_xlfn.STDEV.S(_xlfn._xlws.FILTER(C:C,B:B=B770))</f>
        <v>88.551565717048547</v>
      </c>
      <c r="F770" s="61">
        <f t="shared" si="67"/>
        <v>-48.817417148382816</v>
      </c>
      <c r="G770" s="61">
        <f t="shared" si="68"/>
        <v>305.38884571981134</v>
      </c>
      <c r="H770" s="61">
        <f t="shared" si="66"/>
        <v>1.0357161386320723</v>
      </c>
      <c r="I770" s="28" t="str">
        <f t="shared" si="69"/>
        <v>Normal</v>
      </c>
      <c r="J770" s="49">
        <f t="shared" si="70"/>
        <v>220</v>
      </c>
      <c r="K770" s="49" t="e">
        <f t="shared" si="71"/>
        <v>#N/A</v>
      </c>
    </row>
    <row r="771" spans="1:11">
      <c r="A771" s="74">
        <v>40578</v>
      </c>
      <c r="B771" s="75">
        <v>9</v>
      </c>
      <c r="C771" s="73">
        <v>127</v>
      </c>
      <c r="D771" s="72" cm="1">
        <f t="array" ref="D771">AVERAGE(_xlfn._xlws.FILTER(C:C,B:B=B771))</f>
        <v>87.428571428571431</v>
      </c>
      <c r="E771" s="61" cm="1">
        <f t="array" ref="E771">_xlfn.STDEV.S(_xlfn._xlws.FILTER(C:C,B:B=B771))</f>
        <v>45.93852884078624</v>
      </c>
      <c r="F771" s="61">
        <f t="shared" si="67"/>
        <v>-4.4484862530010503</v>
      </c>
      <c r="G771" s="61">
        <f t="shared" si="68"/>
        <v>179.30562911014391</v>
      </c>
      <c r="H771" s="61">
        <f t="shared" si="66"/>
        <v>0.86139956089092951</v>
      </c>
      <c r="I771" s="28" t="str">
        <f t="shared" si="69"/>
        <v>Normal</v>
      </c>
      <c r="J771" s="49">
        <f t="shared" si="70"/>
        <v>127</v>
      </c>
      <c r="K771" s="49" t="e">
        <f t="shared" si="71"/>
        <v>#N/A</v>
      </c>
    </row>
    <row r="772" spans="1:11">
      <c r="A772" s="74">
        <v>40578</v>
      </c>
      <c r="B772" s="75">
        <v>10</v>
      </c>
      <c r="C772" s="73">
        <v>51</v>
      </c>
      <c r="D772" s="72" cm="1">
        <f t="array" ref="D772">AVERAGE(_xlfn._xlws.FILTER(C:C,B:B=B772))</f>
        <v>53.642857142857146</v>
      </c>
      <c r="E772" s="61" cm="1">
        <f t="array" ref="E772">_xlfn.STDEV.S(_xlfn._xlws.FILTER(C:C,B:B=B772))</f>
        <v>15.395313554536934</v>
      </c>
      <c r="F772" s="61">
        <f t="shared" si="67"/>
        <v>22.852230033783279</v>
      </c>
      <c r="G772" s="61">
        <f t="shared" si="68"/>
        <v>84.43348425193102</v>
      </c>
      <c r="H772" s="61">
        <f t="shared" si="66"/>
        <v>-0.17166634076629814</v>
      </c>
      <c r="I772" s="28" t="str">
        <f t="shared" si="69"/>
        <v>Normal</v>
      </c>
      <c r="J772" s="49">
        <f t="shared" si="70"/>
        <v>51</v>
      </c>
      <c r="K772" s="49" t="e">
        <f t="shared" si="71"/>
        <v>#N/A</v>
      </c>
    </row>
    <row r="773" spans="1:11">
      <c r="A773" s="74">
        <v>40578</v>
      </c>
      <c r="B773" s="75">
        <v>11</v>
      </c>
      <c r="C773" s="73">
        <v>64</v>
      </c>
      <c r="D773" s="72" cm="1">
        <f t="array" ref="D773">AVERAGE(_xlfn._xlws.FILTER(C:C,B:B=B773))</f>
        <v>59.38095238095238</v>
      </c>
      <c r="E773" s="61" cm="1">
        <f t="array" ref="E773">_xlfn.STDEV.S(_xlfn._xlws.FILTER(C:C,B:B=B773))</f>
        <v>20.89573696860419</v>
      </c>
      <c r="F773" s="61">
        <f t="shared" si="67"/>
        <v>17.589478443743999</v>
      </c>
      <c r="G773" s="61">
        <f t="shared" si="68"/>
        <v>101.17242631816076</v>
      </c>
      <c r="H773" s="61">
        <f t="shared" ref="H773:H836" si="72">(C773-D773)/E773</f>
        <v>0.22105215173734871</v>
      </c>
      <c r="I773" s="28" t="str">
        <f t="shared" si="69"/>
        <v>Normal</v>
      </c>
      <c r="J773" s="49">
        <f t="shared" si="70"/>
        <v>64</v>
      </c>
      <c r="K773" s="49" t="e">
        <f t="shared" si="71"/>
        <v>#N/A</v>
      </c>
    </row>
    <row r="774" spans="1:11">
      <c r="A774" s="74">
        <v>40578</v>
      </c>
      <c r="B774" s="75">
        <v>12</v>
      </c>
      <c r="C774" s="73">
        <v>86</v>
      </c>
      <c r="D774" s="72" cm="1">
        <f t="array" ref="D774">AVERAGE(_xlfn._xlws.FILTER(C:C,B:B=B774))</f>
        <v>76.348837209302332</v>
      </c>
      <c r="E774" s="61" cm="1">
        <f t="array" ref="E774">_xlfn.STDEV.S(_xlfn._xlws.FILTER(C:C,B:B=B774))</f>
        <v>29.034366927857054</v>
      </c>
      <c r="F774" s="61">
        <f t="shared" ref="F774:F837" si="73">D774-(2*E774)</f>
        <v>18.280103353588224</v>
      </c>
      <c r="G774" s="61">
        <f t="shared" ref="G774:G837" si="74">D774+(2*E774)</f>
        <v>134.41757106501643</v>
      </c>
      <c r="H774" s="61">
        <f t="shared" si="72"/>
        <v>0.33240479514081811</v>
      </c>
      <c r="I774" s="28" t="str">
        <f t="shared" ref="I774:I837" si="75">IF(H774&gt;=2,"High Anomaly",IF(H774&lt;=-2,"Low Anomaly","Normal"))</f>
        <v>Normal</v>
      </c>
      <c r="J774" s="49">
        <f t="shared" ref="J774:J837" si="76">IF(I774="Normal",C774,NA())</f>
        <v>86</v>
      </c>
      <c r="K774" s="49" t="e">
        <f t="shared" ref="K774:K837" si="77">IF(I774&lt;&gt;"Normal",C774,NA())</f>
        <v>#N/A</v>
      </c>
    </row>
    <row r="775" spans="1:11">
      <c r="A775" s="74">
        <v>40578</v>
      </c>
      <c r="B775" s="75">
        <v>13</v>
      </c>
      <c r="C775" s="73">
        <v>82</v>
      </c>
      <c r="D775" s="72" cm="1">
        <f t="array" ref="D775">AVERAGE(_xlfn._xlws.FILTER(C:C,B:B=B775))</f>
        <v>78.511627906976742</v>
      </c>
      <c r="E775" s="61" cm="1">
        <f t="array" ref="E775">_xlfn.STDEV.S(_xlfn._xlws.FILTER(C:C,B:B=B775))</f>
        <v>30.072430098825187</v>
      </c>
      <c r="F775" s="61">
        <f t="shared" si="73"/>
        <v>18.366767709326368</v>
      </c>
      <c r="G775" s="61">
        <f t="shared" si="74"/>
        <v>138.6564881046271</v>
      </c>
      <c r="H775" s="61">
        <f t="shared" si="72"/>
        <v>0.11599900911099086</v>
      </c>
      <c r="I775" s="28" t="str">
        <f t="shared" si="75"/>
        <v>Normal</v>
      </c>
      <c r="J775" s="49">
        <f t="shared" si="76"/>
        <v>82</v>
      </c>
      <c r="K775" s="49" t="e">
        <f t="shared" si="77"/>
        <v>#N/A</v>
      </c>
    </row>
    <row r="776" spans="1:11">
      <c r="A776" s="74">
        <v>40578</v>
      </c>
      <c r="B776" s="75">
        <v>14</v>
      </c>
      <c r="C776" s="73">
        <v>91</v>
      </c>
      <c r="D776" s="72" cm="1">
        <f t="array" ref="D776">AVERAGE(_xlfn._xlws.FILTER(C:C,B:B=B776))</f>
        <v>74.418604651162795</v>
      </c>
      <c r="E776" s="61" cm="1">
        <f t="array" ref="E776">_xlfn.STDEV.S(_xlfn._xlws.FILTER(C:C,B:B=B776))</f>
        <v>30.30576918056515</v>
      </c>
      <c r="F776" s="61">
        <f t="shared" si="73"/>
        <v>13.807066290032495</v>
      </c>
      <c r="G776" s="61">
        <f t="shared" si="74"/>
        <v>135.03014301229308</v>
      </c>
      <c r="H776" s="61">
        <f t="shared" si="72"/>
        <v>0.54713659468741427</v>
      </c>
      <c r="I776" s="28" t="str">
        <f t="shared" si="75"/>
        <v>Normal</v>
      </c>
      <c r="J776" s="49">
        <f t="shared" si="76"/>
        <v>91</v>
      </c>
      <c r="K776" s="49" t="e">
        <f t="shared" si="77"/>
        <v>#N/A</v>
      </c>
    </row>
    <row r="777" spans="1:11">
      <c r="A777" s="74">
        <v>40578</v>
      </c>
      <c r="B777" s="75">
        <v>15</v>
      </c>
      <c r="C777" s="73">
        <v>90</v>
      </c>
      <c r="D777" s="72" cm="1">
        <f t="array" ref="D777">AVERAGE(_xlfn._xlws.FILTER(C:C,B:B=B777))</f>
        <v>77.95348837209302</v>
      </c>
      <c r="E777" s="61" cm="1">
        <f t="array" ref="E777">_xlfn.STDEV.S(_xlfn._xlws.FILTER(C:C,B:B=B777))</f>
        <v>34.481156681772681</v>
      </c>
      <c r="F777" s="61">
        <f t="shared" si="73"/>
        <v>8.9911750085476569</v>
      </c>
      <c r="G777" s="61">
        <f t="shared" si="74"/>
        <v>146.91580173563838</v>
      </c>
      <c r="H777" s="61">
        <f t="shared" si="72"/>
        <v>0.34936506739273537</v>
      </c>
      <c r="I777" s="28" t="str">
        <f t="shared" si="75"/>
        <v>Normal</v>
      </c>
      <c r="J777" s="49">
        <f t="shared" si="76"/>
        <v>90</v>
      </c>
      <c r="K777" s="49" t="e">
        <f t="shared" si="77"/>
        <v>#N/A</v>
      </c>
    </row>
    <row r="778" spans="1:11">
      <c r="A778" s="74">
        <v>40578</v>
      </c>
      <c r="B778" s="75">
        <v>16</v>
      </c>
      <c r="C778" s="73">
        <v>99</v>
      </c>
      <c r="D778" s="72" cm="1">
        <f t="array" ref="D778">AVERAGE(_xlfn._xlws.FILTER(C:C,B:B=B778))</f>
        <v>89.272727272727266</v>
      </c>
      <c r="E778" s="61" cm="1">
        <f t="array" ref="E778">_xlfn.STDEV.S(_xlfn._xlws.FILTER(C:C,B:B=B778))</f>
        <v>25.461657115880758</v>
      </c>
      <c r="F778" s="61">
        <f t="shared" si="73"/>
        <v>38.34941304096575</v>
      </c>
      <c r="G778" s="61">
        <f t="shared" si="74"/>
        <v>140.19604150448879</v>
      </c>
      <c r="H778" s="61">
        <f t="shared" si="72"/>
        <v>0.3820361213334269</v>
      </c>
      <c r="I778" s="28" t="str">
        <f t="shared" si="75"/>
        <v>Normal</v>
      </c>
      <c r="J778" s="49">
        <f t="shared" si="76"/>
        <v>99</v>
      </c>
      <c r="K778" s="49" t="e">
        <f t="shared" si="77"/>
        <v>#N/A</v>
      </c>
    </row>
    <row r="779" spans="1:11">
      <c r="A779" s="74">
        <v>40578</v>
      </c>
      <c r="B779" s="75">
        <v>17</v>
      </c>
      <c r="C779" s="73">
        <v>205</v>
      </c>
      <c r="D779" s="72" cm="1">
        <f t="array" ref="D779">AVERAGE(_xlfn._xlws.FILTER(C:C,B:B=B779))</f>
        <v>140.20454545454547</v>
      </c>
      <c r="E779" s="61" cm="1">
        <f t="array" ref="E779">_xlfn.STDEV.S(_xlfn._xlws.FILTER(C:C,B:B=B779))</f>
        <v>54.067391000084555</v>
      </c>
      <c r="F779" s="61">
        <f t="shared" si="73"/>
        <v>32.069763454376357</v>
      </c>
      <c r="G779" s="61">
        <f t="shared" si="74"/>
        <v>248.33932745471458</v>
      </c>
      <c r="H779" s="61">
        <f t="shared" si="72"/>
        <v>1.1984202186740101</v>
      </c>
      <c r="I779" s="28" t="str">
        <f t="shared" si="75"/>
        <v>Normal</v>
      </c>
      <c r="J779" s="49">
        <f t="shared" si="76"/>
        <v>205</v>
      </c>
      <c r="K779" s="49" t="e">
        <f t="shared" si="77"/>
        <v>#N/A</v>
      </c>
    </row>
    <row r="780" spans="1:11">
      <c r="A780" s="74">
        <v>40578</v>
      </c>
      <c r="B780" s="75">
        <v>18</v>
      </c>
      <c r="C780" s="73">
        <v>155</v>
      </c>
      <c r="D780" s="72" cm="1">
        <f t="array" ref="D780">AVERAGE(_xlfn._xlws.FILTER(C:C,B:B=B780))</f>
        <v>122.86046511627907</v>
      </c>
      <c r="E780" s="61" cm="1">
        <f t="array" ref="E780">_xlfn.STDEV.S(_xlfn._xlws.FILTER(C:C,B:B=B780))</f>
        <v>48.613432101949932</v>
      </c>
      <c r="F780" s="61">
        <f t="shared" si="73"/>
        <v>25.633600912379208</v>
      </c>
      <c r="G780" s="61">
        <f t="shared" si="74"/>
        <v>220.08732932017892</v>
      </c>
      <c r="H780" s="61">
        <f t="shared" si="72"/>
        <v>0.66112458006090413</v>
      </c>
      <c r="I780" s="28" t="str">
        <f t="shared" si="75"/>
        <v>Normal</v>
      </c>
      <c r="J780" s="49">
        <f t="shared" si="76"/>
        <v>155</v>
      </c>
      <c r="K780" s="49" t="e">
        <f t="shared" si="77"/>
        <v>#N/A</v>
      </c>
    </row>
    <row r="781" spans="1:11">
      <c r="A781" s="74">
        <v>40578</v>
      </c>
      <c r="B781" s="75">
        <v>19</v>
      </c>
      <c r="C781" s="73">
        <v>103</v>
      </c>
      <c r="D781" s="72" cm="1">
        <f t="array" ref="D781">AVERAGE(_xlfn._xlws.FILTER(C:C,B:B=B781))</f>
        <v>85.139534883720927</v>
      </c>
      <c r="E781" s="61" cm="1">
        <f t="array" ref="E781">_xlfn.STDEV.S(_xlfn._xlws.FILTER(C:C,B:B=B781))</f>
        <v>31.690904054294752</v>
      </c>
      <c r="F781" s="61">
        <f t="shared" si="73"/>
        <v>21.757726775131424</v>
      </c>
      <c r="G781" s="61">
        <f t="shared" si="74"/>
        <v>148.52134299231042</v>
      </c>
      <c r="H781" s="61">
        <f t="shared" si="72"/>
        <v>0.56358332617079832</v>
      </c>
      <c r="I781" s="28" t="str">
        <f t="shared" si="75"/>
        <v>Normal</v>
      </c>
      <c r="J781" s="49">
        <f t="shared" si="76"/>
        <v>103</v>
      </c>
      <c r="K781" s="49" t="e">
        <f t="shared" si="77"/>
        <v>#N/A</v>
      </c>
    </row>
    <row r="782" spans="1:11">
      <c r="A782" s="74">
        <v>40578</v>
      </c>
      <c r="B782" s="75">
        <v>20</v>
      </c>
      <c r="C782" s="73">
        <v>71</v>
      </c>
      <c r="D782" s="72" cm="1">
        <f t="array" ref="D782">AVERAGE(_xlfn._xlws.FILTER(C:C,B:B=B782))</f>
        <v>61.767441860465119</v>
      </c>
      <c r="E782" s="61" cm="1">
        <f t="array" ref="E782">_xlfn.STDEV.S(_xlfn._xlws.FILTER(C:C,B:B=B782))</f>
        <v>24.632380169685593</v>
      </c>
      <c r="F782" s="61">
        <f t="shared" si="73"/>
        <v>12.502681521093933</v>
      </c>
      <c r="G782" s="61">
        <f t="shared" si="74"/>
        <v>111.03220219983631</v>
      </c>
      <c r="H782" s="61">
        <f t="shared" si="72"/>
        <v>0.37481388627223045</v>
      </c>
      <c r="I782" s="28" t="str">
        <f t="shared" si="75"/>
        <v>Normal</v>
      </c>
      <c r="J782" s="49">
        <f t="shared" si="76"/>
        <v>71</v>
      </c>
      <c r="K782" s="49" t="e">
        <f t="shared" si="77"/>
        <v>#N/A</v>
      </c>
    </row>
    <row r="783" spans="1:11">
      <c r="A783" s="74">
        <v>40578</v>
      </c>
      <c r="B783" s="75">
        <v>21</v>
      </c>
      <c r="C783" s="73">
        <v>43</v>
      </c>
      <c r="D783" s="72" cm="1">
        <f t="array" ref="D783">AVERAGE(_xlfn._xlws.FILTER(C:C,B:B=B783))</f>
        <v>46.418604651162788</v>
      </c>
      <c r="E783" s="61" cm="1">
        <f t="array" ref="E783">_xlfn.STDEV.S(_xlfn._xlws.FILTER(C:C,B:B=B783))</f>
        <v>14.656759464719496</v>
      </c>
      <c r="F783" s="61">
        <f t="shared" si="73"/>
        <v>17.105085721723796</v>
      </c>
      <c r="G783" s="61">
        <f t="shared" si="74"/>
        <v>75.73212358060178</v>
      </c>
      <c r="H783" s="61">
        <f t="shared" si="72"/>
        <v>-0.23324423515250844</v>
      </c>
      <c r="I783" s="28" t="str">
        <f t="shared" si="75"/>
        <v>Normal</v>
      </c>
      <c r="J783" s="49">
        <f t="shared" si="76"/>
        <v>43</v>
      </c>
      <c r="K783" s="49" t="e">
        <f t="shared" si="77"/>
        <v>#N/A</v>
      </c>
    </row>
    <row r="784" spans="1:11">
      <c r="A784" s="74">
        <v>40578</v>
      </c>
      <c r="B784" s="75">
        <v>22</v>
      </c>
      <c r="C784" s="73">
        <v>46</v>
      </c>
      <c r="D784" s="72" cm="1">
        <f t="array" ref="D784">AVERAGE(_xlfn._xlws.FILTER(C:C,B:B=B784))</f>
        <v>35.069767441860463</v>
      </c>
      <c r="E784" s="61" cm="1">
        <f t="array" ref="E784">_xlfn.STDEV.S(_xlfn._xlws.FILTER(C:C,B:B=B784))</f>
        <v>11.95506537162667</v>
      </c>
      <c r="F784" s="61">
        <f t="shared" si="73"/>
        <v>11.159636698607123</v>
      </c>
      <c r="G784" s="61">
        <f t="shared" si="74"/>
        <v>58.979898185113804</v>
      </c>
      <c r="H784" s="61">
        <f t="shared" si="72"/>
        <v>0.91427626854141664</v>
      </c>
      <c r="I784" s="28" t="str">
        <f t="shared" si="75"/>
        <v>Normal</v>
      </c>
      <c r="J784" s="49">
        <f t="shared" si="76"/>
        <v>46</v>
      </c>
      <c r="K784" s="49" t="e">
        <f t="shared" si="77"/>
        <v>#N/A</v>
      </c>
    </row>
    <row r="785" spans="1:11">
      <c r="A785" s="74">
        <v>40578</v>
      </c>
      <c r="B785" s="75">
        <v>23</v>
      </c>
      <c r="C785" s="73">
        <v>31</v>
      </c>
      <c r="D785" s="72" cm="1">
        <f t="array" ref="D785">AVERAGE(_xlfn._xlws.FILTER(C:C,B:B=B785))</f>
        <v>25.186046511627907</v>
      </c>
      <c r="E785" s="61" cm="1">
        <f t="array" ref="E785">_xlfn.STDEV.S(_xlfn._xlws.FILTER(C:C,B:B=B785))</f>
        <v>11.751911321656188</v>
      </c>
      <c r="F785" s="61">
        <f t="shared" si="73"/>
        <v>1.6822238683155319</v>
      </c>
      <c r="G785" s="61">
        <f t="shared" si="74"/>
        <v>48.689869154940283</v>
      </c>
      <c r="H785" s="61">
        <f t="shared" si="72"/>
        <v>0.49472407757691766</v>
      </c>
      <c r="I785" s="28" t="str">
        <f t="shared" si="75"/>
        <v>Normal</v>
      </c>
      <c r="J785" s="49">
        <f t="shared" si="76"/>
        <v>31</v>
      </c>
      <c r="K785" s="49" t="e">
        <f t="shared" si="77"/>
        <v>#N/A</v>
      </c>
    </row>
    <row r="786" spans="1:11">
      <c r="A786" s="74">
        <v>40579</v>
      </c>
      <c r="B786" s="75">
        <v>0</v>
      </c>
      <c r="C786" s="73">
        <v>39</v>
      </c>
      <c r="D786" s="72" cm="1">
        <f t="array" ref="D786">AVERAGE(_xlfn._xlws.FILTER(C:C,B:B=B786))</f>
        <v>16.348837209302324</v>
      </c>
      <c r="E786" s="61" cm="1">
        <f t="array" ref="E786">_xlfn.STDEV.S(_xlfn._xlws.FILTER(C:C,B:B=B786))</f>
        <v>10.44232167427621</v>
      </c>
      <c r="F786" s="61">
        <f t="shared" si="73"/>
        <v>-4.535806139250095</v>
      </c>
      <c r="G786" s="61">
        <f t="shared" si="74"/>
        <v>37.233480557854747</v>
      </c>
      <c r="H786" s="61">
        <f t="shared" si="72"/>
        <v>2.1691692228268478</v>
      </c>
      <c r="I786" s="28" t="str">
        <f t="shared" si="75"/>
        <v>High Anomaly</v>
      </c>
      <c r="J786" s="49" t="e">
        <f t="shared" si="76"/>
        <v>#N/A</v>
      </c>
      <c r="K786" s="49">
        <f t="shared" si="77"/>
        <v>39</v>
      </c>
    </row>
    <row r="787" spans="1:11">
      <c r="A787" s="74">
        <v>40579</v>
      </c>
      <c r="B787" s="75">
        <v>1</v>
      </c>
      <c r="C787" s="73">
        <v>18</v>
      </c>
      <c r="D787" s="72" cm="1">
        <f t="array" ref="D787">AVERAGE(_xlfn._xlws.FILTER(C:C,B:B=B787))</f>
        <v>10.697674418604651</v>
      </c>
      <c r="E787" s="61" cm="1">
        <f t="array" ref="E787">_xlfn.STDEV.S(_xlfn._xlws.FILTER(C:C,B:B=B787))</f>
        <v>10.060613641515801</v>
      </c>
      <c r="F787" s="61">
        <f t="shared" si="73"/>
        <v>-9.4235528644269504</v>
      </c>
      <c r="G787" s="61">
        <f t="shared" si="74"/>
        <v>30.81890170163625</v>
      </c>
      <c r="H787" s="61">
        <f t="shared" si="72"/>
        <v>0.72583301989272409</v>
      </c>
      <c r="I787" s="28" t="str">
        <f t="shared" si="75"/>
        <v>Normal</v>
      </c>
      <c r="J787" s="49">
        <f t="shared" si="76"/>
        <v>18</v>
      </c>
      <c r="K787" s="49" t="e">
        <f t="shared" si="77"/>
        <v>#N/A</v>
      </c>
    </row>
    <row r="788" spans="1:11">
      <c r="A788" s="74">
        <v>40579</v>
      </c>
      <c r="B788" s="75">
        <v>2</v>
      </c>
      <c r="C788" s="73">
        <v>17</v>
      </c>
      <c r="D788" s="72" cm="1">
        <f t="array" ref="D788">AVERAGE(_xlfn._xlws.FILTER(C:C,B:B=B788))</f>
        <v>7.1707317073170733</v>
      </c>
      <c r="E788" s="61" cm="1">
        <f t="array" ref="E788">_xlfn.STDEV.S(_xlfn._xlws.FILTER(C:C,B:B=B788))</f>
        <v>7.3685223723090854</v>
      </c>
      <c r="F788" s="61">
        <f t="shared" si="73"/>
        <v>-7.5663130373010974</v>
      </c>
      <c r="G788" s="61">
        <f t="shared" si="74"/>
        <v>21.907776451935245</v>
      </c>
      <c r="H788" s="61">
        <f t="shared" si="72"/>
        <v>1.3339537828671493</v>
      </c>
      <c r="I788" s="28" t="str">
        <f t="shared" si="75"/>
        <v>Normal</v>
      </c>
      <c r="J788" s="49">
        <f t="shared" si="76"/>
        <v>17</v>
      </c>
      <c r="K788" s="49" t="e">
        <f t="shared" si="77"/>
        <v>#N/A</v>
      </c>
    </row>
    <row r="789" spans="1:11">
      <c r="A789" s="74">
        <v>40579</v>
      </c>
      <c r="B789" s="75">
        <v>3</v>
      </c>
      <c r="C789" s="73">
        <v>11</v>
      </c>
      <c r="D789" s="72" cm="1">
        <f t="array" ref="D789">AVERAGE(_xlfn._xlws.FILTER(C:C,B:B=B789))</f>
        <v>4.870967741935484</v>
      </c>
      <c r="E789" s="61" cm="1">
        <f t="array" ref="E789">_xlfn.STDEV.S(_xlfn._xlws.FILTER(C:C,B:B=B789))</f>
        <v>4.4702120418303126</v>
      </c>
      <c r="F789" s="61">
        <f t="shared" si="73"/>
        <v>-4.0694563417251413</v>
      </c>
      <c r="G789" s="61">
        <f t="shared" si="74"/>
        <v>13.811391825596109</v>
      </c>
      <c r="H789" s="61">
        <f t="shared" si="72"/>
        <v>1.3710831165751602</v>
      </c>
      <c r="I789" s="28" t="str">
        <f t="shared" si="75"/>
        <v>Normal</v>
      </c>
      <c r="J789" s="49">
        <f t="shared" si="76"/>
        <v>11</v>
      </c>
      <c r="K789" s="49" t="e">
        <f t="shared" si="77"/>
        <v>#N/A</v>
      </c>
    </row>
    <row r="790" spans="1:11">
      <c r="A790" s="74">
        <v>40579</v>
      </c>
      <c r="B790" s="75">
        <v>4</v>
      </c>
      <c r="C790" s="73">
        <v>8</v>
      </c>
      <c r="D790" s="72" cm="1">
        <f t="array" ref="D790">AVERAGE(_xlfn._xlws.FILTER(C:C,B:B=B790))</f>
        <v>2.15625</v>
      </c>
      <c r="E790" s="61" cm="1">
        <f t="array" ref="E790">_xlfn.STDEV.S(_xlfn._xlws.FILTER(C:C,B:B=B790))</f>
        <v>1.5263148747143209</v>
      </c>
      <c r="F790" s="61">
        <f t="shared" si="73"/>
        <v>-0.89637974942864185</v>
      </c>
      <c r="G790" s="61">
        <f t="shared" si="74"/>
        <v>5.2088797494286414</v>
      </c>
      <c r="H790" s="61">
        <f t="shared" si="72"/>
        <v>3.8286660877191343</v>
      </c>
      <c r="I790" s="28" t="str">
        <f t="shared" si="75"/>
        <v>High Anomaly</v>
      </c>
      <c r="J790" s="49" t="e">
        <f t="shared" si="76"/>
        <v>#N/A</v>
      </c>
      <c r="K790" s="49">
        <f t="shared" si="77"/>
        <v>8</v>
      </c>
    </row>
    <row r="791" spans="1:11">
      <c r="A791" s="74">
        <v>40579</v>
      </c>
      <c r="B791" s="75">
        <v>5</v>
      </c>
      <c r="C791" s="73">
        <v>9</v>
      </c>
      <c r="D791" s="72" cm="1">
        <f t="array" ref="D791">AVERAGE(_xlfn._xlws.FILTER(C:C,B:B=B791))</f>
        <v>4.2051282051282053</v>
      </c>
      <c r="E791" s="61" cm="1">
        <f t="array" ref="E791">_xlfn.STDEV.S(_xlfn._xlws.FILTER(C:C,B:B=B791))</f>
        <v>2.5358429220352288</v>
      </c>
      <c r="F791" s="61">
        <f t="shared" si="73"/>
        <v>-0.86655763894225224</v>
      </c>
      <c r="G791" s="61">
        <f t="shared" si="74"/>
        <v>9.2768140491986628</v>
      </c>
      <c r="H791" s="61">
        <f t="shared" si="72"/>
        <v>1.8908394337861842</v>
      </c>
      <c r="I791" s="28" t="str">
        <f t="shared" si="75"/>
        <v>Normal</v>
      </c>
      <c r="J791" s="49">
        <f t="shared" si="76"/>
        <v>9</v>
      </c>
      <c r="K791" s="49" t="e">
        <f t="shared" si="77"/>
        <v>#N/A</v>
      </c>
    </row>
    <row r="792" spans="1:11">
      <c r="A792" s="74">
        <v>40579</v>
      </c>
      <c r="B792" s="75">
        <v>6</v>
      </c>
      <c r="C792" s="73">
        <v>4</v>
      </c>
      <c r="D792" s="72" cm="1">
        <f t="array" ref="D792">AVERAGE(_xlfn._xlws.FILTER(C:C,B:B=B792))</f>
        <v>19.571428571428573</v>
      </c>
      <c r="E792" s="61" cm="1">
        <f t="array" ref="E792">_xlfn.STDEV.S(_xlfn._xlws.FILTER(C:C,B:B=B792))</f>
        <v>14.202615453298934</v>
      </c>
      <c r="F792" s="61">
        <f t="shared" si="73"/>
        <v>-8.8338023351692954</v>
      </c>
      <c r="G792" s="61">
        <f t="shared" si="74"/>
        <v>47.976659478026441</v>
      </c>
      <c r="H792" s="61">
        <f t="shared" si="72"/>
        <v>-1.0963775385336998</v>
      </c>
      <c r="I792" s="28" t="str">
        <f t="shared" si="75"/>
        <v>Normal</v>
      </c>
      <c r="J792" s="49">
        <f t="shared" si="76"/>
        <v>4</v>
      </c>
      <c r="K792" s="49" t="e">
        <f t="shared" si="77"/>
        <v>#N/A</v>
      </c>
    </row>
    <row r="793" spans="1:11">
      <c r="A793" s="74">
        <v>40579</v>
      </c>
      <c r="B793" s="75">
        <v>7</v>
      </c>
      <c r="C793" s="73">
        <v>4</v>
      </c>
      <c r="D793" s="72" cm="1">
        <f t="array" ref="D793">AVERAGE(_xlfn._xlws.FILTER(C:C,B:B=B793))</f>
        <v>54.395348837209305</v>
      </c>
      <c r="E793" s="61" cm="1">
        <f t="array" ref="E793">_xlfn.STDEV.S(_xlfn._xlws.FILTER(C:C,B:B=B793))</f>
        <v>39.112864486352777</v>
      </c>
      <c r="F793" s="61">
        <f t="shared" si="73"/>
        <v>-23.830380135496249</v>
      </c>
      <c r="G793" s="61">
        <f t="shared" si="74"/>
        <v>132.62107780991485</v>
      </c>
      <c r="H793" s="61">
        <f t="shared" si="72"/>
        <v>-1.2884596794180903</v>
      </c>
      <c r="I793" s="28" t="str">
        <f t="shared" si="75"/>
        <v>Normal</v>
      </c>
      <c r="J793" s="49">
        <f t="shared" si="76"/>
        <v>4</v>
      </c>
      <c r="K793" s="49" t="e">
        <f t="shared" si="77"/>
        <v>#N/A</v>
      </c>
    </row>
    <row r="794" spans="1:11">
      <c r="A794" s="74">
        <v>40579</v>
      </c>
      <c r="B794" s="75">
        <v>8</v>
      </c>
      <c r="C794" s="73">
        <v>10</v>
      </c>
      <c r="D794" s="72" cm="1">
        <f t="array" ref="D794">AVERAGE(_xlfn._xlws.FILTER(C:C,B:B=B794))</f>
        <v>128.28571428571428</v>
      </c>
      <c r="E794" s="61" cm="1">
        <f t="array" ref="E794">_xlfn.STDEV.S(_xlfn._xlws.FILTER(C:C,B:B=B794))</f>
        <v>88.551565717048547</v>
      </c>
      <c r="F794" s="61">
        <f t="shared" si="73"/>
        <v>-48.817417148382816</v>
      </c>
      <c r="G794" s="61">
        <f t="shared" si="74"/>
        <v>305.38884571981134</v>
      </c>
      <c r="H794" s="61">
        <f t="shared" si="72"/>
        <v>-1.3357834311329531</v>
      </c>
      <c r="I794" s="28" t="str">
        <f t="shared" si="75"/>
        <v>Normal</v>
      </c>
      <c r="J794" s="49">
        <f t="shared" si="76"/>
        <v>10</v>
      </c>
      <c r="K794" s="49" t="e">
        <f t="shared" si="77"/>
        <v>#N/A</v>
      </c>
    </row>
    <row r="795" spans="1:11">
      <c r="A795" s="74">
        <v>40579</v>
      </c>
      <c r="B795" s="75">
        <v>9</v>
      </c>
      <c r="C795" s="73">
        <v>20</v>
      </c>
      <c r="D795" s="72" cm="1">
        <f t="array" ref="D795">AVERAGE(_xlfn._xlws.FILTER(C:C,B:B=B795))</f>
        <v>87.428571428571431</v>
      </c>
      <c r="E795" s="61" cm="1">
        <f t="array" ref="E795">_xlfn.STDEV.S(_xlfn._xlws.FILTER(C:C,B:B=B795))</f>
        <v>45.93852884078624</v>
      </c>
      <c r="F795" s="61">
        <f t="shared" si="73"/>
        <v>-4.4484862530010503</v>
      </c>
      <c r="G795" s="61">
        <f t="shared" si="74"/>
        <v>179.30562911014391</v>
      </c>
      <c r="H795" s="61">
        <f t="shared" si="72"/>
        <v>-1.4677999737924865</v>
      </c>
      <c r="I795" s="28" t="str">
        <f t="shared" si="75"/>
        <v>Normal</v>
      </c>
      <c r="J795" s="49">
        <f t="shared" si="76"/>
        <v>20</v>
      </c>
      <c r="K795" s="49" t="e">
        <f t="shared" si="77"/>
        <v>#N/A</v>
      </c>
    </row>
    <row r="796" spans="1:11">
      <c r="A796" s="74">
        <v>40579</v>
      </c>
      <c r="B796" s="75">
        <v>10</v>
      </c>
      <c r="C796" s="73">
        <v>34</v>
      </c>
      <c r="D796" s="72" cm="1">
        <f t="array" ref="D796">AVERAGE(_xlfn._xlws.FILTER(C:C,B:B=B796))</f>
        <v>53.642857142857146</v>
      </c>
      <c r="E796" s="61" cm="1">
        <f t="array" ref="E796">_xlfn.STDEV.S(_xlfn._xlws.FILTER(C:C,B:B=B796))</f>
        <v>15.395313554536934</v>
      </c>
      <c r="F796" s="61">
        <f t="shared" si="73"/>
        <v>22.852230033783279</v>
      </c>
      <c r="G796" s="61">
        <f t="shared" si="74"/>
        <v>84.43348425193102</v>
      </c>
      <c r="H796" s="61">
        <f t="shared" si="72"/>
        <v>-1.2758984786684309</v>
      </c>
      <c r="I796" s="28" t="str">
        <f t="shared" si="75"/>
        <v>Normal</v>
      </c>
      <c r="J796" s="49">
        <f t="shared" si="76"/>
        <v>34</v>
      </c>
      <c r="K796" s="49" t="e">
        <f t="shared" si="77"/>
        <v>#N/A</v>
      </c>
    </row>
    <row r="797" spans="1:11">
      <c r="A797" s="74">
        <v>40579</v>
      </c>
      <c r="B797" s="75">
        <v>11</v>
      </c>
      <c r="C797" s="73">
        <v>47</v>
      </c>
      <c r="D797" s="72" cm="1">
        <f t="array" ref="D797">AVERAGE(_xlfn._xlws.FILTER(C:C,B:B=B797))</f>
        <v>59.38095238095238</v>
      </c>
      <c r="E797" s="61" cm="1">
        <f t="array" ref="E797">_xlfn.STDEV.S(_xlfn._xlws.FILTER(C:C,B:B=B797))</f>
        <v>20.89573696860419</v>
      </c>
      <c r="F797" s="61">
        <f t="shared" si="73"/>
        <v>17.589478443743999</v>
      </c>
      <c r="G797" s="61">
        <f t="shared" si="74"/>
        <v>101.17242631816076</v>
      </c>
      <c r="H797" s="61">
        <f t="shared" si="72"/>
        <v>-0.59251092218258394</v>
      </c>
      <c r="I797" s="28" t="str">
        <f t="shared" si="75"/>
        <v>Normal</v>
      </c>
      <c r="J797" s="49">
        <f t="shared" si="76"/>
        <v>47</v>
      </c>
      <c r="K797" s="49" t="e">
        <f t="shared" si="77"/>
        <v>#N/A</v>
      </c>
    </row>
    <row r="798" spans="1:11">
      <c r="A798" s="74">
        <v>40579</v>
      </c>
      <c r="B798" s="75">
        <v>12</v>
      </c>
      <c r="C798" s="73">
        <v>52</v>
      </c>
      <c r="D798" s="72" cm="1">
        <f t="array" ref="D798">AVERAGE(_xlfn._xlws.FILTER(C:C,B:B=B798))</f>
        <v>76.348837209302332</v>
      </c>
      <c r="E798" s="61" cm="1">
        <f t="array" ref="E798">_xlfn.STDEV.S(_xlfn._xlws.FILTER(C:C,B:B=B798))</f>
        <v>29.034366927857054</v>
      </c>
      <c r="F798" s="61">
        <f t="shared" si="73"/>
        <v>18.280103353588224</v>
      </c>
      <c r="G798" s="61">
        <f t="shared" si="74"/>
        <v>134.41757106501643</v>
      </c>
      <c r="H798" s="61">
        <f t="shared" si="72"/>
        <v>-0.83862125424683587</v>
      </c>
      <c r="I798" s="28" t="str">
        <f t="shared" si="75"/>
        <v>Normal</v>
      </c>
      <c r="J798" s="49">
        <f t="shared" si="76"/>
        <v>52</v>
      </c>
      <c r="K798" s="49" t="e">
        <f t="shared" si="77"/>
        <v>#N/A</v>
      </c>
    </row>
    <row r="799" spans="1:11">
      <c r="A799" s="74">
        <v>40579</v>
      </c>
      <c r="B799" s="75">
        <v>13</v>
      </c>
      <c r="C799" s="73">
        <v>72</v>
      </c>
      <c r="D799" s="72" cm="1">
        <f t="array" ref="D799">AVERAGE(_xlfn._xlws.FILTER(C:C,B:B=B799))</f>
        <v>78.511627906976742</v>
      </c>
      <c r="E799" s="61" cm="1">
        <f t="array" ref="E799">_xlfn.STDEV.S(_xlfn._xlws.FILTER(C:C,B:B=B799))</f>
        <v>30.072430098825187</v>
      </c>
      <c r="F799" s="61">
        <f t="shared" si="73"/>
        <v>18.366767709326368</v>
      </c>
      <c r="G799" s="61">
        <f t="shared" si="74"/>
        <v>138.6564881046271</v>
      </c>
      <c r="H799" s="61">
        <f t="shared" si="72"/>
        <v>-0.21653148367384933</v>
      </c>
      <c r="I799" s="28" t="str">
        <f t="shared" si="75"/>
        <v>Normal</v>
      </c>
      <c r="J799" s="49">
        <f t="shared" si="76"/>
        <v>72</v>
      </c>
      <c r="K799" s="49" t="e">
        <f t="shared" si="77"/>
        <v>#N/A</v>
      </c>
    </row>
    <row r="800" spans="1:11">
      <c r="A800" s="74">
        <v>40579</v>
      </c>
      <c r="B800" s="75">
        <v>14</v>
      </c>
      <c r="C800" s="73">
        <v>55</v>
      </c>
      <c r="D800" s="72" cm="1">
        <f t="array" ref="D800">AVERAGE(_xlfn._xlws.FILTER(C:C,B:B=B800))</f>
        <v>74.418604651162795</v>
      </c>
      <c r="E800" s="61" cm="1">
        <f t="array" ref="E800">_xlfn.STDEV.S(_xlfn._xlws.FILTER(C:C,B:B=B800))</f>
        <v>30.30576918056515</v>
      </c>
      <c r="F800" s="61">
        <f t="shared" si="73"/>
        <v>13.807066290032495</v>
      </c>
      <c r="G800" s="61">
        <f t="shared" si="74"/>
        <v>135.03014301229308</v>
      </c>
      <c r="H800" s="61">
        <f t="shared" si="72"/>
        <v>-0.64075604006169862</v>
      </c>
      <c r="I800" s="28" t="str">
        <f t="shared" si="75"/>
        <v>Normal</v>
      </c>
      <c r="J800" s="49">
        <f t="shared" si="76"/>
        <v>55</v>
      </c>
      <c r="K800" s="49" t="e">
        <f t="shared" si="77"/>
        <v>#N/A</v>
      </c>
    </row>
    <row r="801" spans="1:11">
      <c r="A801" s="74">
        <v>40579</v>
      </c>
      <c r="B801" s="75">
        <v>15</v>
      </c>
      <c r="C801" s="73">
        <v>60</v>
      </c>
      <c r="D801" s="72" cm="1">
        <f t="array" ref="D801">AVERAGE(_xlfn._xlws.FILTER(C:C,B:B=B801))</f>
        <v>77.95348837209302</v>
      </c>
      <c r="E801" s="61" cm="1">
        <f t="array" ref="E801">_xlfn.STDEV.S(_xlfn._xlws.FILTER(C:C,B:B=B801))</f>
        <v>34.481156681772681</v>
      </c>
      <c r="F801" s="61">
        <f t="shared" si="73"/>
        <v>8.9911750085476569</v>
      </c>
      <c r="G801" s="61">
        <f t="shared" si="74"/>
        <v>146.91580173563838</v>
      </c>
      <c r="H801" s="61">
        <f t="shared" si="72"/>
        <v>-0.52067535140384469</v>
      </c>
      <c r="I801" s="28" t="str">
        <f t="shared" si="75"/>
        <v>Normal</v>
      </c>
      <c r="J801" s="49">
        <f t="shared" si="76"/>
        <v>60</v>
      </c>
      <c r="K801" s="49" t="e">
        <f t="shared" si="77"/>
        <v>#N/A</v>
      </c>
    </row>
    <row r="802" spans="1:11">
      <c r="A802" s="74">
        <v>40579</v>
      </c>
      <c r="B802" s="75">
        <v>16</v>
      </c>
      <c r="C802" s="73">
        <v>71</v>
      </c>
      <c r="D802" s="72" cm="1">
        <f t="array" ref="D802">AVERAGE(_xlfn._xlws.FILTER(C:C,B:B=B802))</f>
        <v>89.272727272727266</v>
      </c>
      <c r="E802" s="61" cm="1">
        <f t="array" ref="E802">_xlfn.STDEV.S(_xlfn._xlws.FILTER(C:C,B:B=B802))</f>
        <v>25.461657115880758</v>
      </c>
      <c r="F802" s="61">
        <f t="shared" si="73"/>
        <v>38.34941304096575</v>
      </c>
      <c r="G802" s="61">
        <f t="shared" si="74"/>
        <v>140.19604150448879</v>
      </c>
      <c r="H802" s="61">
        <f t="shared" si="72"/>
        <v>-0.71765663914036193</v>
      </c>
      <c r="I802" s="28" t="str">
        <f t="shared" si="75"/>
        <v>Normal</v>
      </c>
      <c r="J802" s="49">
        <f t="shared" si="76"/>
        <v>71</v>
      </c>
      <c r="K802" s="49" t="e">
        <f t="shared" si="77"/>
        <v>#N/A</v>
      </c>
    </row>
    <row r="803" spans="1:11">
      <c r="A803" s="74">
        <v>40579</v>
      </c>
      <c r="B803" s="75">
        <v>17</v>
      </c>
      <c r="C803" s="73">
        <v>78</v>
      </c>
      <c r="D803" s="72" cm="1">
        <f t="array" ref="D803">AVERAGE(_xlfn._xlws.FILTER(C:C,B:B=B803))</f>
        <v>140.20454545454547</v>
      </c>
      <c r="E803" s="61" cm="1">
        <f t="array" ref="E803">_xlfn.STDEV.S(_xlfn._xlws.FILTER(C:C,B:B=B803))</f>
        <v>54.067391000084555</v>
      </c>
      <c r="F803" s="61">
        <f t="shared" si="73"/>
        <v>32.069763454376357</v>
      </c>
      <c r="G803" s="61">
        <f t="shared" si="74"/>
        <v>248.33932745471458</v>
      </c>
      <c r="H803" s="61">
        <f t="shared" si="72"/>
        <v>-1.1505002239602828</v>
      </c>
      <c r="I803" s="28" t="str">
        <f t="shared" si="75"/>
        <v>Normal</v>
      </c>
      <c r="J803" s="49">
        <f t="shared" si="76"/>
        <v>78</v>
      </c>
      <c r="K803" s="49" t="e">
        <f t="shared" si="77"/>
        <v>#N/A</v>
      </c>
    </row>
    <row r="804" spans="1:11">
      <c r="A804" s="74">
        <v>40579</v>
      </c>
      <c r="B804" s="75">
        <v>18</v>
      </c>
      <c r="C804" s="73">
        <v>83</v>
      </c>
      <c r="D804" s="72" cm="1">
        <f t="array" ref="D804">AVERAGE(_xlfn._xlws.FILTER(C:C,B:B=B804))</f>
        <v>122.86046511627907</v>
      </c>
      <c r="E804" s="61" cm="1">
        <f t="array" ref="E804">_xlfn.STDEV.S(_xlfn._xlws.FILTER(C:C,B:B=B804))</f>
        <v>48.613432101949932</v>
      </c>
      <c r="F804" s="61">
        <f t="shared" si="73"/>
        <v>25.633600912379208</v>
      </c>
      <c r="G804" s="61">
        <f t="shared" si="74"/>
        <v>220.08732932017892</v>
      </c>
      <c r="H804" s="61">
        <f t="shared" si="72"/>
        <v>-0.81994756166743121</v>
      </c>
      <c r="I804" s="28" t="str">
        <f t="shared" si="75"/>
        <v>Normal</v>
      </c>
      <c r="J804" s="49">
        <f t="shared" si="76"/>
        <v>83</v>
      </c>
      <c r="K804" s="49" t="e">
        <f t="shared" si="77"/>
        <v>#N/A</v>
      </c>
    </row>
    <row r="805" spans="1:11">
      <c r="A805" s="74">
        <v>40579</v>
      </c>
      <c r="B805" s="75">
        <v>19</v>
      </c>
      <c r="C805" s="73">
        <v>84</v>
      </c>
      <c r="D805" s="72" cm="1">
        <f t="array" ref="D805">AVERAGE(_xlfn._xlws.FILTER(C:C,B:B=B805))</f>
        <v>85.139534883720927</v>
      </c>
      <c r="E805" s="61" cm="1">
        <f t="array" ref="E805">_xlfn.STDEV.S(_xlfn._xlws.FILTER(C:C,B:B=B805))</f>
        <v>31.690904054294752</v>
      </c>
      <c r="F805" s="61">
        <f t="shared" si="73"/>
        <v>21.757726775131424</v>
      </c>
      <c r="G805" s="61">
        <f t="shared" si="74"/>
        <v>148.52134299231042</v>
      </c>
      <c r="H805" s="61">
        <f t="shared" si="72"/>
        <v>-3.5957790341626342E-2</v>
      </c>
      <c r="I805" s="28" t="str">
        <f t="shared" si="75"/>
        <v>Normal</v>
      </c>
      <c r="J805" s="49">
        <f t="shared" si="76"/>
        <v>84</v>
      </c>
      <c r="K805" s="49" t="e">
        <f t="shared" si="77"/>
        <v>#N/A</v>
      </c>
    </row>
    <row r="806" spans="1:11">
      <c r="A806" s="74">
        <v>40579</v>
      </c>
      <c r="B806" s="75">
        <v>20</v>
      </c>
      <c r="C806" s="73">
        <v>69</v>
      </c>
      <c r="D806" s="72" cm="1">
        <f t="array" ref="D806">AVERAGE(_xlfn._xlws.FILTER(C:C,B:B=B806))</f>
        <v>61.767441860465119</v>
      </c>
      <c r="E806" s="61" cm="1">
        <f t="array" ref="E806">_xlfn.STDEV.S(_xlfn._xlws.FILTER(C:C,B:B=B806))</f>
        <v>24.632380169685593</v>
      </c>
      <c r="F806" s="61">
        <f t="shared" si="73"/>
        <v>12.502681521093933</v>
      </c>
      <c r="G806" s="61">
        <f t="shared" si="74"/>
        <v>111.03220219983631</v>
      </c>
      <c r="H806" s="61">
        <f t="shared" si="72"/>
        <v>0.29361994617295634</v>
      </c>
      <c r="I806" s="28" t="str">
        <f t="shared" si="75"/>
        <v>Normal</v>
      </c>
      <c r="J806" s="49">
        <f t="shared" si="76"/>
        <v>69</v>
      </c>
      <c r="K806" s="49" t="e">
        <f t="shared" si="77"/>
        <v>#N/A</v>
      </c>
    </row>
    <row r="807" spans="1:11">
      <c r="A807" s="74">
        <v>40579</v>
      </c>
      <c r="B807" s="75">
        <v>21</v>
      </c>
      <c r="C807" s="73">
        <v>56</v>
      </c>
      <c r="D807" s="72" cm="1">
        <f t="array" ref="D807">AVERAGE(_xlfn._xlws.FILTER(C:C,B:B=B807))</f>
        <v>46.418604651162788</v>
      </c>
      <c r="E807" s="61" cm="1">
        <f t="array" ref="E807">_xlfn.STDEV.S(_xlfn._xlws.FILTER(C:C,B:B=B807))</f>
        <v>14.656759464719496</v>
      </c>
      <c r="F807" s="61">
        <f t="shared" si="73"/>
        <v>17.105085721723796</v>
      </c>
      <c r="G807" s="61">
        <f t="shared" si="74"/>
        <v>75.73212358060178</v>
      </c>
      <c r="H807" s="61">
        <f t="shared" si="72"/>
        <v>0.65371853661791557</v>
      </c>
      <c r="I807" s="28" t="str">
        <f t="shared" si="75"/>
        <v>Normal</v>
      </c>
      <c r="J807" s="49">
        <f t="shared" si="76"/>
        <v>56</v>
      </c>
      <c r="K807" s="49" t="e">
        <f t="shared" si="77"/>
        <v>#N/A</v>
      </c>
    </row>
    <row r="808" spans="1:11">
      <c r="A808" s="74">
        <v>40579</v>
      </c>
      <c r="B808" s="75">
        <v>22</v>
      </c>
      <c r="C808" s="73">
        <v>45</v>
      </c>
      <c r="D808" s="72" cm="1">
        <f t="array" ref="D808">AVERAGE(_xlfn._xlws.FILTER(C:C,B:B=B808))</f>
        <v>35.069767441860463</v>
      </c>
      <c r="E808" s="61" cm="1">
        <f t="array" ref="E808">_xlfn.STDEV.S(_xlfn._xlws.FILTER(C:C,B:B=B808))</f>
        <v>11.95506537162667</v>
      </c>
      <c r="F808" s="61">
        <f t="shared" si="73"/>
        <v>11.159636698607123</v>
      </c>
      <c r="G808" s="61">
        <f t="shared" si="74"/>
        <v>58.979898185113804</v>
      </c>
      <c r="H808" s="61">
        <f t="shared" si="72"/>
        <v>0.83062971631315941</v>
      </c>
      <c r="I808" s="28" t="str">
        <f t="shared" si="75"/>
        <v>Normal</v>
      </c>
      <c r="J808" s="49">
        <f t="shared" si="76"/>
        <v>45</v>
      </c>
      <c r="K808" s="49" t="e">
        <f t="shared" si="77"/>
        <v>#N/A</v>
      </c>
    </row>
    <row r="809" spans="1:11">
      <c r="A809" s="74">
        <v>40579</v>
      </c>
      <c r="B809" s="75">
        <v>23</v>
      </c>
      <c r="C809" s="73">
        <v>59</v>
      </c>
      <c r="D809" s="72" cm="1">
        <f t="array" ref="D809">AVERAGE(_xlfn._xlws.FILTER(C:C,B:B=B809))</f>
        <v>25.186046511627907</v>
      </c>
      <c r="E809" s="61" cm="1">
        <f t="array" ref="E809">_xlfn.STDEV.S(_xlfn._xlws.FILTER(C:C,B:B=B809))</f>
        <v>11.751911321656188</v>
      </c>
      <c r="F809" s="61">
        <f t="shared" si="73"/>
        <v>1.6822238683155319</v>
      </c>
      <c r="G809" s="61">
        <f t="shared" si="74"/>
        <v>48.689869154940283</v>
      </c>
      <c r="H809" s="61">
        <f t="shared" si="72"/>
        <v>2.8773152351873534</v>
      </c>
      <c r="I809" s="28" t="str">
        <f t="shared" si="75"/>
        <v>High Anomaly</v>
      </c>
      <c r="J809" s="49" t="e">
        <f t="shared" si="76"/>
        <v>#N/A</v>
      </c>
      <c r="K809" s="49">
        <f t="shared" si="77"/>
        <v>59</v>
      </c>
    </row>
    <row r="810" spans="1:11">
      <c r="A810" s="74">
        <v>40580</v>
      </c>
      <c r="B810" s="75">
        <v>0</v>
      </c>
      <c r="C810" s="73">
        <v>39</v>
      </c>
      <c r="D810" s="72" cm="1">
        <f t="array" ref="D810">AVERAGE(_xlfn._xlws.FILTER(C:C,B:B=B810))</f>
        <v>16.348837209302324</v>
      </c>
      <c r="E810" s="61" cm="1">
        <f t="array" ref="E810">_xlfn.STDEV.S(_xlfn._xlws.FILTER(C:C,B:B=B810))</f>
        <v>10.44232167427621</v>
      </c>
      <c r="F810" s="61">
        <f t="shared" si="73"/>
        <v>-4.535806139250095</v>
      </c>
      <c r="G810" s="61">
        <f t="shared" si="74"/>
        <v>37.233480557854747</v>
      </c>
      <c r="H810" s="61">
        <f t="shared" si="72"/>
        <v>2.1691692228268478</v>
      </c>
      <c r="I810" s="28" t="str">
        <f t="shared" si="75"/>
        <v>High Anomaly</v>
      </c>
      <c r="J810" s="49" t="e">
        <f t="shared" si="76"/>
        <v>#N/A</v>
      </c>
      <c r="K810" s="49">
        <f t="shared" si="77"/>
        <v>39</v>
      </c>
    </row>
    <row r="811" spans="1:11">
      <c r="A811" s="74">
        <v>40580</v>
      </c>
      <c r="B811" s="75">
        <v>1</v>
      </c>
      <c r="C811" s="73">
        <v>44</v>
      </c>
      <c r="D811" s="72" cm="1">
        <f t="array" ref="D811">AVERAGE(_xlfn._xlws.FILTER(C:C,B:B=B811))</f>
        <v>10.697674418604651</v>
      </c>
      <c r="E811" s="61" cm="1">
        <f t="array" ref="E811">_xlfn.STDEV.S(_xlfn._xlws.FILTER(C:C,B:B=B811))</f>
        <v>10.060613641515801</v>
      </c>
      <c r="F811" s="61">
        <f t="shared" si="73"/>
        <v>-9.4235528644269504</v>
      </c>
      <c r="G811" s="61">
        <f t="shared" si="74"/>
        <v>30.81890170163625</v>
      </c>
      <c r="H811" s="61">
        <f t="shared" si="72"/>
        <v>3.3101684219311491</v>
      </c>
      <c r="I811" s="28" t="str">
        <f t="shared" si="75"/>
        <v>High Anomaly</v>
      </c>
      <c r="J811" s="49" t="e">
        <f t="shared" si="76"/>
        <v>#N/A</v>
      </c>
      <c r="K811" s="49">
        <f t="shared" si="77"/>
        <v>44</v>
      </c>
    </row>
    <row r="812" spans="1:11">
      <c r="A812" s="74">
        <v>40580</v>
      </c>
      <c r="B812" s="75">
        <v>2</v>
      </c>
      <c r="C812" s="73">
        <v>20</v>
      </c>
      <c r="D812" s="72" cm="1">
        <f t="array" ref="D812">AVERAGE(_xlfn._xlws.FILTER(C:C,B:B=B812))</f>
        <v>7.1707317073170733</v>
      </c>
      <c r="E812" s="61" cm="1">
        <f t="array" ref="E812">_xlfn.STDEV.S(_xlfn._xlws.FILTER(C:C,B:B=B812))</f>
        <v>7.3685223723090854</v>
      </c>
      <c r="F812" s="61">
        <f t="shared" si="73"/>
        <v>-7.5663130373010974</v>
      </c>
      <c r="G812" s="61">
        <f t="shared" si="74"/>
        <v>21.907776451935245</v>
      </c>
      <c r="H812" s="61">
        <f t="shared" si="72"/>
        <v>1.7410910416578673</v>
      </c>
      <c r="I812" s="28" t="str">
        <f t="shared" si="75"/>
        <v>Normal</v>
      </c>
      <c r="J812" s="49">
        <f t="shared" si="76"/>
        <v>20</v>
      </c>
      <c r="K812" s="49" t="e">
        <f t="shared" si="77"/>
        <v>#N/A</v>
      </c>
    </row>
    <row r="813" spans="1:11">
      <c r="A813" s="74">
        <v>40580</v>
      </c>
      <c r="B813" s="75">
        <v>3</v>
      </c>
      <c r="C813" s="73">
        <v>13</v>
      </c>
      <c r="D813" s="72" cm="1">
        <f t="array" ref="D813">AVERAGE(_xlfn._xlws.FILTER(C:C,B:B=B813))</f>
        <v>4.870967741935484</v>
      </c>
      <c r="E813" s="61" cm="1">
        <f t="array" ref="E813">_xlfn.STDEV.S(_xlfn._xlws.FILTER(C:C,B:B=B813))</f>
        <v>4.4702120418303126</v>
      </c>
      <c r="F813" s="61">
        <f t="shared" si="73"/>
        <v>-4.0694563417251413</v>
      </c>
      <c r="G813" s="61">
        <f t="shared" si="74"/>
        <v>13.811391825596109</v>
      </c>
      <c r="H813" s="61">
        <f t="shared" si="72"/>
        <v>1.8184891861944232</v>
      </c>
      <c r="I813" s="28" t="str">
        <f t="shared" si="75"/>
        <v>Normal</v>
      </c>
      <c r="J813" s="49">
        <f t="shared" si="76"/>
        <v>13</v>
      </c>
      <c r="K813" s="49" t="e">
        <f t="shared" si="77"/>
        <v>#N/A</v>
      </c>
    </row>
    <row r="814" spans="1:11">
      <c r="A814" s="74">
        <v>40580</v>
      </c>
      <c r="B814" s="75">
        <v>4</v>
      </c>
      <c r="C814" s="73">
        <v>2</v>
      </c>
      <c r="D814" s="72" cm="1">
        <f t="array" ref="D814">AVERAGE(_xlfn._xlws.FILTER(C:C,B:B=B814))</f>
        <v>2.15625</v>
      </c>
      <c r="E814" s="61" cm="1">
        <f t="array" ref="E814">_xlfn.STDEV.S(_xlfn._xlws.FILTER(C:C,B:B=B814))</f>
        <v>1.5263148747143209</v>
      </c>
      <c r="F814" s="61">
        <f t="shared" si="73"/>
        <v>-0.89637974942864185</v>
      </c>
      <c r="G814" s="61">
        <f t="shared" si="74"/>
        <v>5.2088797494286414</v>
      </c>
      <c r="H814" s="61">
        <f t="shared" si="72"/>
        <v>-0.102370751008533</v>
      </c>
      <c r="I814" s="28" t="str">
        <f t="shared" si="75"/>
        <v>Normal</v>
      </c>
      <c r="J814" s="49">
        <f t="shared" si="76"/>
        <v>2</v>
      </c>
      <c r="K814" s="49" t="e">
        <f t="shared" si="77"/>
        <v>#N/A</v>
      </c>
    </row>
    <row r="815" spans="1:11">
      <c r="A815" s="74">
        <v>40580</v>
      </c>
      <c r="B815" s="75">
        <v>5</v>
      </c>
      <c r="C815" s="73">
        <v>1</v>
      </c>
      <c r="D815" s="72" cm="1">
        <f t="array" ref="D815">AVERAGE(_xlfn._xlws.FILTER(C:C,B:B=B815))</f>
        <v>4.2051282051282053</v>
      </c>
      <c r="E815" s="61" cm="1">
        <f t="array" ref="E815">_xlfn.STDEV.S(_xlfn._xlws.FILTER(C:C,B:B=B815))</f>
        <v>2.5358429220352288</v>
      </c>
      <c r="F815" s="61">
        <f t="shared" si="73"/>
        <v>-0.86655763894225224</v>
      </c>
      <c r="G815" s="61">
        <f t="shared" si="74"/>
        <v>9.2768140491986628</v>
      </c>
      <c r="H815" s="61">
        <f t="shared" si="72"/>
        <v>-1.2639301027982515</v>
      </c>
      <c r="I815" s="28" t="str">
        <f t="shared" si="75"/>
        <v>Normal</v>
      </c>
      <c r="J815" s="49">
        <f t="shared" si="76"/>
        <v>1</v>
      </c>
      <c r="K815" s="49" t="e">
        <f t="shared" si="77"/>
        <v>#N/A</v>
      </c>
    </row>
    <row r="816" spans="1:11">
      <c r="A816" s="74">
        <v>40580</v>
      </c>
      <c r="B816" s="75">
        <v>6</v>
      </c>
      <c r="C816" s="73">
        <v>1</v>
      </c>
      <c r="D816" s="72" cm="1">
        <f t="array" ref="D816">AVERAGE(_xlfn._xlws.FILTER(C:C,B:B=B816))</f>
        <v>19.571428571428573</v>
      </c>
      <c r="E816" s="61" cm="1">
        <f t="array" ref="E816">_xlfn.STDEV.S(_xlfn._xlws.FILTER(C:C,B:B=B816))</f>
        <v>14.202615453298934</v>
      </c>
      <c r="F816" s="61">
        <f t="shared" si="73"/>
        <v>-8.8338023351692954</v>
      </c>
      <c r="G816" s="61">
        <f t="shared" si="74"/>
        <v>47.976659478026441</v>
      </c>
      <c r="H816" s="61">
        <f t="shared" si="72"/>
        <v>-1.3076062386181742</v>
      </c>
      <c r="I816" s="28" t="str">
        <f t="shared" si="75"/>
        <v>Normal</v>
      </c>
      <c r="J816" s="49">
        <f t="shared" si="76"/>
        <v>1</v>
      </c>
      <c r="K816" s="49" t="e">
        <f t="shared" si="77"/>
        <v>#N/A</v>
      </c>
    </row>
    <row r="817" spans="1:11">
      <c r="A817" s="74">
        <v>40580</v>
      </c>
      <c r="B817" s="75">
        <v>7</v>
      </c>
      <c r="C817" s="73">
        <v>8</v>
      </c>
      <c r="D817" s="72" cm="1">
        <f t="array" ref="D817">AVERAGE(_xlfn._xlws.FILTER(C:C,B:B=B817))</f>
        <v>54.395348837209305</v>
      </c>
      <c r="E817" s="61" cm="1">
        <f t="array" ref="E817">_xlfn.STDEV.S(_xlfn._xlws.FILTER(C:C,B:B=B817))</f>
        <v>39.112864486352777</v>
      </c>
      <c r="F817" s="61">
        <f t="shared" si="73"/>
        <v>-23.830380135496249</v>
      </c>
      <c r="G817" s="61">
        <f t="shared" si="74"/>
        <v>132.62107780991485</v>
      </c>
      <c r="H817" s="61">
        <f t="shared" si="72"/>
        <v>-1.1861915368892892</v>
      </c>
      <c r="I817" s="28" t="str">
        <f t="shared" si="75"/>
        <v>Normal</v>
      </c>
      <c r="J817" s="49">
        <f t="shared" si="76"/>
        <v>8</v>
      </c>
      <c r="K817" s="49" t="e">
        <f t="shared" si="77"/>
        <v>#N/A</v>
      </c>
    </row>
    <row r="818" spans="1:11">
      <c r="A818" s="74">
        <v>40580</v>
      </c>
      <c r="B818" s="75">
        <v>8</v>
      </c>
      <c r="C818" s="73">
        <v>23</v>
      </c>
      <c r="D818" s="72" cm="1">
        <f t="array" ref="D818">AVERAGE(_xlfn._xlws.FILTER(C:C,B:B=B818))</f>
        <v>128.28571428571428</v>
      </c>
      <c r="E818" s="61" cm="1">
        <f t="array" ref="E818">_xlfn.STDEV.S(_xlfn._xlws.FILTER(C:C,B:B=B818))</f>
        <v>88.551565717048547</v>
      </c>
      <c r="F818" s="61">
        <f t="shared" si="73"/>
        <v>-48.817417148382816</v>
      </c>
      <c r="G818" s="61">
        <f t="shared" si="74"/>
        <v>305.38884571981134</v>
      </c>
      <c r="H818" s="61">
        <f t="shared" si="72"/>
        <v>-1.1889763149094037</v>
      </c>
      <c r="I818" s="28" t="str">
        <f t="shared" si="75"/>
        <v>Normal</v>
      </c>
      <c r="J818" s="49">
        <f t="shared" si="76"/>
        <v>23</v>
      </c>
      <c r="K818" s="49" t="e">
        <f t="shared" si="77"/>
        <v>#N/A</v>
      </c>
    </row>
    <row r="819" spans="1:11">
      <c r="A819" s="74">
        <v>40580</v>
      </c>
      <c r="B819" s="75">
        <v>9</v>
      </c>
      <c r="C819" s="73">
        <v>45</v>
      </c>
      <c r="D819" s="72" cm="1">
        <f t="array" ref="D819">AVERAGE(_xlfn._xlws.FILTER(C:C,B:B=B819))</f>
        <v>87.428571428571431</v>
      </c>
      <c r="E819" s="61" cm="1">
        <f t="array" ref="E819">_xlfn.STDEV.S(_xlfn._xlws.FILTER(C:C,B:B=B819))</f>
        <v>45.93852884078624</v>
      </c>
      <c r="F819" s="61">
        <f t="shared" si="73"/>
        <v>-4.4484862530010503</v>
      </c>
      <c r="G819" s="61">
        <f t="shared" si="74"/>
        <v>179.30562911014391</v>
      </c>
      <c r="H819" s="61">
        <f t="shared" si="72"/>
        <v>-0.92359447503467906</v>
      </c>
      <c r="I819" s="28" t="str">
        <f t="shared" si="75"/>
        <v>Normal</v>
      </c>
      <c r="J819" s="49">
        <f t="shared" si="76"/>
        <v>45</v>
      </c>
      <c r="K819" s="49" t="e">
        <f t="shared" si="77"/>
        <v>#N/A</v>
      </c>
    </row>
    <row r="820" spans="1:11">
      <c r="A820" s="74">
        <v>40580</v>
      </c>
      <c r="B820" s="75">
        <v>10</v>
      </c>
      <c r="C820" s="73">
        <v>89</v>
      </c>
      <c r="D820" s="72" cm="1">
        <f t="array" ref="D820">AVERAGE(_xlfn._xlws.FILTER(C:C,B:B=B820))</f>
        <v>53.642857142857146</v>
      </c>
      <c r="E820" s="61" cm="1">
        <f t="array" ref="E820">_xlfn.STDEV.S(_xlfn._xlws.FILTER(C:C,B:B=B820))</f>
        <v>15.395313554536934</v>
      </c>
      <c r="F820" s="61">
        <f t="shared" si="73"/>
        <v>22.852230033783279</v>
      </c>
      <c r="G820" s="61">
        <f t="shared" si="74"/>
        <v>84.43348425193102</v>
      </c>
      <c r="H820" s="61">
        <f t="shared" si="72"/>
        <v>2.296617261603175</v>
      </c>
      <c r="I820" s="28" t="str">
        <f t="shared" si="75"/>
        <v>High Anomaly</v>
      </c>
      <c r="J820" s="49" t="e">
        <f t="shared" si="76"/>
        <v>#N/A</v>
      </c>
      <c r="K820" s="49">
        <f t="shared" si="77"/>
        <v>89</v>
      </c>
    </row>
    <row r="821" spans="1:11">
      <c r="A821" s="74">
        <v>40580</v>
      </c>
      <c r="B821" s="75">
        <v>11</v>
      </c>
      <c r="C821" s="73">
        <v>117</v>
      </c>
      <c r="D821" s="72" cm="1">
        <f t="array" ref="D821">AVERAGE(_xlfn._xlws.FILTER(C:C,B:B=B821))</f>
        <v>59.38095238095238</v>
      </c>
      <c r="E821" s="61" cm="1">
        <f t="array" ref="E821">_xlfn.STDEV.S(_xlfn._xlws.FILTER(C:C,B:B=B821))</f>
        <v>20.89573696860419</v>
      </c>
      <c r="F821" s="61">
        <f t="shared" si="73"/>
        <v>17.589478443743999</v>
      </c>
      <c r="G821" s="61">
        <f t="shared" si="74"/>
        <v>101.17242631816076</v>
      </c>
      <c r="H821" s="61">
        <f t="shared" si="72"/>
        <v>2.7574546763112564</v>
      </c>
      <c r="I821" s="28" t="str">
        <f t="shared" si="75"/>
        <v>High Anomaly</v>
      </c>
      <c r="J821" s="49" t="e">
        <f t="shared" si="76"/>
        <v>#N/A</v>
      </c>
      <c r="K821" s="49">
        <f t="shared" si="77"/>
        <v>117</v>
      </c>
    </row>
    <row r="822" spans="1:11">
      <c r="A822" s="74">
        <v>40580</v>
      </c>
      <c r="B822" s="75">
        <v>12</v>
      </c>
      <c r="C822" s="73">
        <v>174</v>
      </c>
      <c r="D822" s="72" cm="1">
        <f t="array" ref="D822">AVERAGE(_xlfn._xlws.FILTER(C:C,B:B=B822))</f>
        <v>76.348837209302332</v>
      </c>
      <c r="E822" s="61" cm="1">
        <f t="array" ref="E822">_xlfn.STDEV.S(_xlfn._xlws.FILTER(C:C,B:B=B822))</f>
        <v>29.034366927857054</v>
      </c>
      <c r="F822" s="61">
        <f t="shared" si="73"/>
        <v>18.280103353588224</v>
      </c>
      <c r="G822" s="61">
        <f t="shared" si="74"/>
        <v>134.41757106501643</v>
      </c>
      <c r="H822" s="61">
        <f t="shared" si="72"/>
        <v>3.3632957464970987</v>
      </c>
      <c r="I822" s="28" t="str">
        <f t="shared" si="75"/>
        <v>High Anomaly</v>
      </c>
      <c r="J822" s="49" t="e">
        <f t="shared" si="76"/>
        <v>#N/A</v>
      </c>
      <c r="K822" s="49">
        <f t="shared" si="77"/>
        <v>174</v>
      </c>
    </row>
    <row r="823" spans="1:11">
      <c r="A823" s="74">
        <v>40580</v>
      </c>
      <c r="B823" s="75">
        <v>13</v>
      </c>
      <c r="C823" s="73">
        <v>182</v>
      </c>
      <c r="D823" s="72" cm="1">
        <f t="array" ref="D823">AVERAGE(_xlfn._xlws.FILTER(C:C,B:B=B823))</f>
        <v>78.511627906976742</v>
      </c>
      <c r="E823" s="61" cm="1">
        <f t="array" ref="E823">_xlfn.STDEV.S(_xlfn._xlws.FILTER(C:C,B:B=B823))</f>
        <v>30.072430098825187</v>
      </c>
      <c r="F823" s="61">
        <f t="shared" si="73"/>
        <v>18.366767709326368</v>
      </c>
      <c r="G823" s="61">
        <f t="shared" si="74"/>
        <v>138.6564881046271</v>
      </c>
      <c r="H823" s="61">
        <f t="shared" si="72"/>
        <v>3.4413039369593927</v>
      </c>
      <c r="I823" s="28" t="str">
        <f t="shared" si="75"/>
        <v>High Anomaly</v>
      </c>
      <c r="J823" s="49" t="e">
        <f t="shared" si="76"/>
        <v>#N/A</v>
      </c>
      <c r="K823" s="49">
        <f t="shared" si="77"/>
        <v>182</v>
      </c>
    </row>
    <row r="824" spans="1:11">
      <c r="A824" s="74">
        <v>40580</v>
      </c>
      <c r="B824" s="75">
        <v>14</v>
      </c>
      <c r="C824" s="73">
        <v>161</v>
      </c>
      <c r="D824" s="72" cm="1">
        <f t="array" ref="D824">AVERAGE(_xlfn._xlws.FILTER(C:C,B:B=B824))</f>
        <v>74.418604651162795</v>
      </c>
      <c r="E824" s="61" cm="1">
        <f t="array" ref="E824">_xlfn.STDEV.S(_xlfn._xlws.FILTER(C:C,B:B=B824))</f>
        <v>30.30576918056515</v>
      </c>
      <c r="F824" s="61">
        <f t="shared" si="73"/>
        <v>13.807066290032495</v>
      </c>
      <c r="G824" s="61">
        <f t="shared" si="74"/>
        <v>135.03014301229308</v>
      </c>
      <c r="H824" s="61">
        <f t="shared" si="72"/>
        <v>2.8569278289218003</v>
      </c>
      <c r="I824" s="28" t="str">
        <f t="shared" si="75"/>
        <v>High Anomaly</v>
      </c>
      <c r="J824" s="49" t="e">
        <f t="shared" si="76"/>
        <v>#N/A</v>
      </c>
      <c r="K824" s="49">
        <f t="shared" si="77"/>
        <v>161</v>
      </c>
    </row>
    <row r="825" spans="1:11">
      <c r="A825" s="74">
        <v>40580</v>
      </c>
      <c r="B825" s="75">
        <v>15</v>
      </c>
      <c r="C825" s="73">
        <v>182</v>
      </c>
      <c r="D825" s="72" cm="1">
        <f t="array" ref="D825">AVERAGE(_xlfn._xlws.FILTER(C:C,B:B=B825))</f>
        <v>77.95348837209302</v>
      </c>
      <c r="E825" s="61" cm="1">
        <f t="array" ref="E825">_xlfn.STDEV.S(_xlfn._xlws.FILTER(C:C,B:B=B825))</f>
        <v>34.481156681772681</v>
      </c>
      <c r="F825" s="61">
        <f t="shared" si="73"/>
        <v>8.9911750085476569</v>
      </c>
      <c r="G825" s="61">
        <f t="shared" si="74"/>
        <v>146.91580173563838</v>
      </c>
      <c r="H825" s="61">
        <f t="shared" si="72"/>
        <v>3.0174890183689143</v>
      </c>
      <c r="I825" s="28" t="str">
        <f t="shared" si="75"/>
        <v>High Anomaly</v>
      </c>
      <c r="J825" s="49" t="e">
        <f t="shared" si="76"/>
        <v>#N/A</v>
      </c>
      <c r="K825" s="49">
        <f t="shared" si="77"/>
        <v>182</v>
      </c>
    </row>
    <row r="826" spans="1:11">
      <c r="A826" s="74">
        <v>40580</v>
      </c>
      <c r="B826" s="75">
        <v>16</v>
      </c>
      <c r="C826" s="73">
        <v>157</v>
      </c>
      <c r="D826" s="72" cm="1">
        <f t="array" ref="D826">AVERAGE(_xlfn._xlws.FILTER(C:C,B:B=B826))</f>
        <v>89.272727272727266</v>
      </c>
      <c r="E826" s="61" cm="1">
        <f t="array" ref="E826">_xlfn.STDEV.S(_xlfn._xlws.FILTER(C:C,B:B=B826))</f>
        <v>25.461657115880758</v>
      </c>
      <c r="F826" s="61">
        <f t="shared" si="73"/>
        <v>38.34941304096575</v>
      </c>
      <c r="G826" s="61">
        <f t="shared" si="74"/>
        <v>140.19604150448879</v>
      </c>
      <c r="H826" s="61">
        <f t="shared" si="72"/>
        <v>2.6599711251719893</v>
      </c>
      <c r="I826" s="28" t="str">
        <f t="shared" si="75"/>
        <v>High Anomaly</v>
      </c>
      <c r="J826" s="49" t="e">
        <f t="shared" si="76"/>
        <v>#N/A</v>
      </c>
      <c r="K826" s="49">
        <f t="shared" si="77"/>
        <v>157</v>
      </c>
    </row>
    <row r="827" spans="1:11">
      <c r="A827" s="74">
        <v>40580</v>
      </c>
      <c r="B827" s="75">
        <v>17</v>
      </c>
      <c r="C827" s="73">
        <v>121</v>
      </c>
      <c r="D827" s="72" cm="1">
        <f t="array" ref="D827">AVERAGE(_xlfn._xlws.FILTER(C:C,B:B=B827))</f>
        <v>140.20454545454547</v>
      </c>
      <c r="E827" s="61" cm="1">
        <f t="array" ref="E827">_xlfn.STDEV.S(_xlfn._xlws.FILTER(C:C,B:B=B827))</f>
        <v>54.067391000084555</v>
      </c>
      <c r="F827" s="61">
        <f t="shared" si="73"/>
        <v>32.069763454376357</v>
      </c>
      <c r="G827" s="61">
        <f t="shared" si="74"/>
        <v>248.33932745471458</v>
      </c>
      <c r="H827" s="61">
        <f t="shared" si="72"/>
        <v>-0.35519645204473493</v>
      </c>
      <c r="I827" s="28" t="str">
        <f t="shared" si="75"/>
        <v>Normal</v>
      </c>
      <c r="J827" s="49">
        <f t="shared" si="76"/>
        <v>121</v>
      </c>
      <c r="K827" s="49" t="e">
        <f t="shared" si="77"/>
        <v>#N/A</v>
      </c>
    </row>
    <row r="828" spans="1:11">
      <c r="A828" s="74">
        <v>40580</v>
      </c>
      <c r="B828" s="75">
        <v>18</v>
      </c>
      <c r="C828" s="73">
        <v>78</v>
      </c>
      <c r="D828" s="72" cm="1">
        <f t="array" ref="D828">AVERAGE(_xlfn._xlws.FILTER(C:C,B:B=B828))</f>
        <v>122.86046511627907</v>
      </c>
      <c r="E828" s="61" cm="1">
        <f t="array" ref="E828">_xlfn.STDEV.S(_xlfn._xlws.FILTER(C:C,B:B=B828))</f>
        <v>48.613432101949932</v>
      </c>
      <c r="F828" s="61">
        <f t="shared" si="73"/>
        <v>25.633600912379208</v>
      </c>
      <c r="G828" s="61">
        <f t="shared" si="74"/>
        <v>220.08732932017892</v>
      </c>
      <c r="H828" s="61">
        <f t="shared" si="72"/>
        <v>-0.92279979373189891</v>
      </c>
      <c r="I828" s="28" t="str">
        <f t="shared" si="75"/>
        <v>Normal</v>
      </c>
      <c r="J828" s="49">
        <f t="shared" si="76"/>
        <v>78</v>
      </c>
      <c r="K828" s="49" t="e">
        <f t="shared" si="77"/>
        <v>#N/A</v>
      </c>
    </row>
    <row r="829" spans="1:11">
      <c r="A829" s="74">
        <v>40580</v>
      </c>
      <c r="B829" s="75">
        <v>19</v>
      </c>
      <c r="C829" s="73">
        <v>21</v>
      </c>
      <c r="D829" s="72" cm="1">
        <f t="array" ref="D829">AVERAGE(_xlfn._xlws.FILTER(C:C,B:B=B829))</f>
        <v>85.139534883720927</v>
      </c>
      <c r="E829" s="61" cm="1">
        <f t="array" ref="E829">_xlfn.STDEV.S(_xlfn._xlws.FILTER(C:C,B:B=B829))</f>
        <v>31.690904054294752</v>
      </c>
      <c r="F829" s="61">
        <f t="shared" si="73"/>
        <v>21.757726775131424</v>
      </c>
      <c r="G829" s="61">
        <f t="shared" si="74"/>
        <v>148.52134299231042</v>
      </c>
      <c r="H829" s="61">
        <f t="shared" si="72"/>
        <v>-2.023909913514403</v>
      </c>
      <c r="I829" s="28" t="str">
        <f t="shared" si="75"/>
        <v>Low Anomaly</v>
      </c>
      <c r="J829" s="49" t="e">
        <f t="shared" si="76"/>
        <v>#N/A</v>
      </c>
      <c r="K829" s="49">
        <f t="shared" si="77"/>
        <v>21</v>
      </c>
    </row>
    <row r="830" spans="1:11">
      <c r="A830" s="74">
        <v>40580</v>
      </c>
      <c r="B830" s="75">
        <v>20</v>
      </c>
      <c r="C830" s="73">
        <v>26</v>
      </c>
      <c r="D830" s="72" cm="1">
        <f t="array" ref="D830">AVERAGE(_xlfn._xlws.FILTER(C:C,B:B=B830))</f>
        <v>61.767441860465119</v>
      </c>
      <c r="E830" s="61" cm="1">
        <f t="array" ref="E830">_xlfn.STDEV.S(_xlfn._xlws.FILTER(C:C,B:B=B830))</f>
        <v>24.632380169685593</v>
      </c>
      <c r="F830" s="61">
        <f t="shared" si="73"/>
        <v>12.502681521093933</v>
      </c>
      <c r="G830" s="61">
        <f t="shared" si="74"/>
        <v>111.03220219983631</v>
      </c>
      <c r="H830" s="61">
        <f t="shared" si="72"/>
        <v>-1.4520497659614375</v>
      </c>
      <c r="I830" s="28" t="str">
        <f t="shared" si="75"/>
        <v>Normal</v>
      </c>
      <c r="J830" s="49">
        <f t="shared" si="76"/>
        <v>26</v>
      </c>
      <c r="K830" s="49" t="e">
        <f t="shared" si="77"/>
        <v>#N/A</v>
      </c>
    </row>
    <row r="831" spans="1:11">
      <c r="A831" s="74">
        <v>40580</v>
      </c>
      <c r="B831" s="75">
        <v>21</v>
      </c>
      <c r="C831" s="73">
        <v>27</v>
      </c>
      <c r="D831" s="72" cm="1">
        <f t="array" ref="D831">AVERAGE(_xlfn._xlws.FILTER(C:C,B:B=B831))</f>
        <v>46.418604651162788</v>
      </c>
      <c r="E831" s="61" cm="1">
        <f t="array" ref="E831">_xlfn.STDEV.S(_xlfn._xlws.FILTER(C:C,B:B=B831))</f>
        <v>14.656759464719496</v>
      </c>
      <c r="F831" s="61">
        <f t="shared" si="73"/>
        <v>17.105085721723796</v>
      </c>
      <c r="G831" s="61">
        <f t="shared" si="74"/>
        <v>75.73212358060178</v>
      </c>
      <c r="H831" s="61">
        <f t="shared" si="72"/>
        <v>-1.324890723485338</v>
      </c>
      <c r="I831" s="28" t="str">
        <f t="shared" si="75"/>
        <v>Normal</v>
      </c>
      <c r="J831" s="49">
        <f t="shared" si="76"/>
        <v>27</v>
      </c>
      <c r="K831" s="49" t="e">
        <f t="shared" si="77"/>
        <v>#N/A</v>
      </c>
    </row>
    <row r="832" spans="1:11">
      <c r="A832" s="74">
        <v>40580</v>
      </c>
      <c r="B832" s="75">
        <v>22</v>
      </c>
      <c r="C832" s="73">
        <v>62</v>
      </c>
      <c r="D832" s="72" cm="1">
        <f t="array" ref="D832">AVERAGE(_xlfn._xlws.FILTER(C:C,B:B=B832))</f>
        <v>35.069767441860463</v>
      </c>
      <c r="E832" s="61" cm="1">
        <f t="array" ref="E832">_xlfn.STDEV.S(_xlfn._xlws.FILTER(C:C,B:B=B832))</f>
        <v>11.95506537162667</v>
      </c>
      <c r="F832" s="61">
        <f t="shared" si="73"/>
        <v>11.159636698607123</v>
      </c>
      <c r="G832" s="61">
        <f t="shared" si="74"/>
        <v>58.979898185113804</v>
      </c>
      <c r="H832" s="61">
        <f t="shared" si="72"/>
        <v>2.2526211041935329</v>
      </c>
      <c r="I832" s="28" t="str">
        <f t="shared" si="75"/>
        <v>High Anomaly</v>
      </c>
      <c r="J832" s="49" t="e">
        <f t="shared" si="76"/>
        <v>#N/A</v>
      </c>
      <c r="K832" s="49">
        <f t="shared" si="77"/>
        <v>62</v>
      </c>
    </row>
    <row r="833" spans="1:11">
      <c r="A833" s="74">
        <v>40580</v>
      </c>
      <c r="B833" s="75">
        <v>23</v>
      </c>
      <c r="C833" s="73">
        <v>30</v>
      </c>
      <c r="D833" s="72" cm="1">
        <f t="array" ref="D833">AVERAGE(_xlfn._xlws.FILTER(C:C,B:B=B833))</f>
        <v>25.186046511627907</v>
      </c>
      <c r="E833" s="61" cm="1">
        <f t="array" ref="E833">_xlfn.STDEV.S(_xlfn._xlws.FILTER(C:C,B:B=B833))</f>
        <v>11.751911321656188</v>
      </c>
      <c r="F833" s="61">
        <f t="shared" si="73"/>
        <v>1.6822238683155319</v>
      </c>
      <c r="G833" s="61">
        <f t="shared" si="74"/>
        <v>48.689869154940283</v>
      </c>
      <c r="H833" s="61">
        <f t="shared" si="72"/>
        <v>0.40963153623368781</v>
      </c>
      <c r="I833" s="28" t="str">
        <f t="shared" si="75"/>
        <v>Normal</v>
      </c>
      <c r="J833" s="49">
        <f t="shared" si="76"/>
        <v>30</v>
      </c>
      <c r="K833" s="49" t="e">
        <f t="shared" si="77"/>
        <v>#N/A</v>
      </c>
    </row>
    <row r="834" spans="1:11">
      <c r="A834" s="74">
        <v>40581</v>
      </c>
      <c r="B834" s="75">
        <v>0</v>
      </c>
      <c r="C834" s="73">
        <v>15</v>
      </c>
      <c r="D834" s="72" cm="1">
        <f t="array" ref="D834">AVERAGE(_xlfn._xlws.FILTER(C:C,B:B=B834))</f>
        <v>16.348837209302324</v>
      </c>
      <c r="E834" s="61" cm="1">
        <f t="array" ref="E834">_xlfn.STDEV.S(_xlfn._xlws.FILTER(C:C,B:B=B834))</f>
        <v>10.44232167427621</v>
      </c>
      <c r="F834" s="61">
        <f t="shared" si="73"/>
        <v>-4.535806139250095</v>
      </c>
      <c r="G834" s="61">
        <f t="shared" si="74"/>
        <v>37.233480557854747</v>
      </c>
      <c r="H834" s="61">
        <f t="shared" si="72"/>
        <v>-0.12917024119502779</v>
      </c>
      <c r="I834" s="28" t="str">
        <f t="shared" si="75"/>
        <v>Normal</v>
      </c>
      <c r="J834" s="49">
        <f t="shared" si="76"/>
        <v>15</v>
      </c>
      <c r="K834" s="49" t="e">
        <f t="shared" si="77"/>
        <v>#N/A</v>
      </c>
    </row>
    <row r="835" spans="1:11">
      <c r="A835" s="74">
        <v>40581</v>
      </c>
      <c r="B835" s="75">
        <v>1</v>
      </c>
      <c r="C835" s="73">
        <v>5</v>
      </c>
      <c r="D835" s="72" cm="1">
        <f t="array" ref="D835">AVERAGE(_xlfn._xlws.FILTER(C:C,B:B=B835))</f>
        <v>10.697674418604651</v>
      </c>
      <c r="E835" s="61" cm="1">
        <f t="array" ref="E835">_xlfn.STDEV.S(_xlfn._xlws.FILTER(C:C,B:B=B835))</f>
        <v>10.060613641515801</v>
      </c>
      <c r="F835" s="61">
        <f t="shared" si="73"/>
        <v>-9.4235528644269504</v>
      </c>
      <c r="G835" s="61">
        <f t="shared" si="74"/>
        <v>30.81890170163625</v>
      </c>
      <c r="H835" s="61">
        <f t="shared" si="72"/>
        <v>-0.56633468112648844</v>
      </c>
      <c r="I835" s="28" t="str">
        <f t="shared" si="75"/>
        <v>Normal</v>
      </c>
      <c r="J835" s="49">
        <f t="shared" si="76"/>
        <v>5</v>
      </c>
      <c r="K835" s="49" t="e">
        <f t="shared" si="77"/>
        <v>#N/A</v>
      </c>
    </row>
    <row r="836" spans="1:11">
      <c r="A836" s="74">
        <v>40581</v>
      </c>
      <c r="B836" s="75">
        <v>2</v>
      </c>
      <c r="C836" s="73">
        <v>3</v>
      </c>
      <c r="D836" s="72" cm="1">
        <f t="array" ref="D836">AVERAGE(_xlfn._xlws.FILTER(C:C,B:B=B836))</f>
        <v>7.1707317073170733</v>
      </c>
      <c r="E836" s="61" cm="1">
        <f t="array" ref="E836">_xlfn.STDEV.S(_xlfn._xlws.FILTER(C:C,B:B=B836))</f>
        <v>7.3685223723090854</v>
      </c>
      <c r="F836" s="61">
        <f t="shared" si="73"/>
        <v>-7.5663130373010974</v>
      </c>
      <c r="G836" s="61">
        <f t="shared" si="74"/>
        <v>21.907776451935245</v>
      </c>
      <c r="H836" s="61">
        <f t="shared" si="72"/>
        <v>-0.56602009148953492</v>
      </c>
      <c r="I836" s="28" t="str">
        <f t="shared" si="75"/>
        <v>Normal</v>
      </c>
      <c r="J836" s="49">
        <f t="shared" si="76"/>
        <v>3</v>
      </c>
      <c r="K836" s="49" t="e">
        <f t="shared" si="77"/>
        <v>#N/A</v>
      </c>
    </row>
    <row r="837" spans="1:11">
      <c r="A837" s="74">
        <v>40581</v>
      </c>
      <c r="B837" s="75">
        <v>3</v>
      </c>
      <c r="C837" s="73">
        <v>1</v>
      </c>
      <c r="D837" s="72" cm="1">
        <f t="array" ref="D837">AVERAGE(_xlfn._xlws.FILTER(C:C,B:B=B837))</f>
        <v>4.870967741935484</v>
      </c>
      <c r="E837" s="61" cm="1">
        <f t="array" ref="E837">_xlfn.STDEV.S(_xlfn._xlws.FILTER(C:C,B:B=B837))</f>
        <v>4.4702120418303126</v>
      </c>
      <c r="F837" s="61">
        <f t="shared" si="73"/>
        <v>-4.0694563417251413</v>
      </c>
      <c r="G837" s="61">
        <f t="shared" si="74"/>
        <v>13.811391825596109</v>
      </c>
      <c r="H837" s="61">
        <f t="shared" ref="H837:H900" si="78">(C837-D837)/E837</f>
        <v>-0.86594723152115394</v>
      </c>
      <c r="I837" s="28" t="str">
        <f t="shared" si="75"/>
        <v>Normal</v>
      </c>
      <c r="J837" s="49">
        <f t="shared" si="76"/>
        <v>1</v>
      </c>
      <c r="K837" s="49" t="e">
        <f t="shared" si="77"/>
        <v>#N/A</v>
      </c>
    </row>
    <row r="838" spans="1:11">
      <c r="A838" s="74">
        <v>40581</v>
      </c>
      <c r="B838" s="75">
        <v>4</v>
      </c>
      <c r="C838" s="73">
        <v>2</v>
      </c>
      <c r="D838" s="72" cm="1">
        <f t="array" ref="D838">AVERAGE(_xlfn._xlws.FILTER(C:C,B:B=B838))</f>
        <v>2.15625</v>
      </c>
      <c r="E838" s="61" cm="1">
        <f t="array" ref="E838">_xlfn.STDEV.S(_xlfn._xlws.FILTER(C:C,B:B=B838))</f>
        <v>1.5263148747143209</v>
      </c>
      <c r="F838" s="61">
        <f t="shared" ref="F838:F901" si="79">D838-(2*E838)</f>
        <v>-0.89637974942864185</v>
      </c>
      <c r="G838" s="61">
        <f t="shared" ref="G838:G901" si="80">D838+(2*E838)</f>
        <v>5.2088797494286414</v>
      </c>
      <c r="H838" s="61">
        <f t="shared" si="78"/>
        <v>-0.102370751008533</v>
      </c>
      <c r="I838" s="28" t="str">
        <f t="shared" ref="I838:I901" si="81">IF(H838&gt;=2,"High Anomaly",IF(H838&lt;=-2,"Low Anomaly","Normal"))</f>
        <v>Normal</v>
      </c>
      <c r="J838" s="49">
        <f t="shared" ref="J838:J901" si="82">IF(I838="Normal",C838,NA())</f>
        <v>2</v>
      </c>
      <c r="K838" s="49" t="e">
        <f t="shared" ref="K838:K901" si="83">IF(I838&lt;&gt;"Normal",C838,NA())</f>
        <v>#N/A</v>
      </c>
    </row>
    <row r="839" spans="1:11">
      <c r="A839" s="74">
        <v>40581</v>
      </c>
      <c r="B839" s="75">
        <v>5</v>
      </c>
      <c r="C839" s="73">
        <v>10</v>
      </c>
      <c r="D839" s="72" cm="1">
        <f t="array" ref="D839">AVERAGE(_xlfn._xlws.FILTER(C:C,B:B=B839))</f>
        <v>4.2051282051282053</v>
      </c>
      <c r="E839" s="61" cm="1">
        <f t="array" ref="E839">_xlfn.STDEV.S(_xlfn._xlws.FILTER(C:C,B:B=B839))</f>
        <v>2.5358429220352288</v>
      </c>
      <c r="F839" s="61">
        <f t="shared" si="79"/>
        <v>-0.86655763894225224</v>
      </c>
      <c r="G839" s="61">
        <f t="shared" si="80"/>
        <v>9.2768140491986628</v>
      </c>
      <c r="H839" s="61">
        <f t="shared" si="78"/>
        <v>2.2851856258592385</v>
      </c>
      <c r="I839" s="28" t="str">
        <f t="shared" si="81"/>
        <v>High Anomaly</v>
      </c>
      <c r="J839" s="49" t="e">
        <f t="shared" si="82"/>
        <v>#N/A</v>
      </c>
      <c r="K839" s="49">
        <f t="shared" si="83"/>
        <v>10</v>
      </c>
    </row>
    <row r="840" spans="1:11">
      <c r="A840" s="74">
        <v>40581</v>
      </c>
      <c r="B840" s="75">
        <v>6</v>
      </c>
      <c r="C840" s="73">
        <v>30</v>
      </c>
      <c r="D840" s="72" cm="1">
        <f t="array" ref="D840">AVERAGE(_xlfn._xlws.FILTER(C:C,B:B=B840))</f>
        <v>19.571428571428573</v>
      </c>
      <c r="E840" s="61" cm="1">
        <f t="array" ref="E840">_xlfn.STDEV.S(_xlfn._xlws.FILTER(C:C,B:B=B840))</f>
        <v>14.202615453298934</v>
      </c>
      <c r="F840" s="61">
        <f t="shared" si="79"/>
        <v>-8.8338023351692954</v>
      </c>
      <c r="G840" s="61">
        <f t="shared" si="80"/>
        <v>47.976659478026441</v>
      </c>
      <c r="H840" s="61">
        <f t="shared" si="78"/>
        <v>0.7342711955317438</v>
      </c>
      <c r="I840" s="28" t="str">
        <f t="shared" si="81"/>
        <v>Normal</v>
      </c>
      <c r="J840" s="49">
        <f t="shared" si="82"/>
        <v>30</v>
      </c>
      <c r="K840" s="49" t="e">
        <f t="shared" si="83"/>
        <v>#N/A</v>
      </c>
    </row>
    <row r="841" spans="1:11">
      <c r="A841" s="74">
        <v>40581</v>
      </c>
      <c r="B841" s="75">
        <v>7</v>
      </c>
      <c r="C841" s="73">
        <v>95</v>
      </c>
      <c r="D841" s="72" cm="1">
        <f t="array" ref="D841">AVERAGE(_xlfn._xlws.FILTER(C:C,B:B=B841))</f>
        <v>54.395348837209305</v>
      </c>
      <c r="E841" s="61" cm="1">
        <f t="array" ref="E841">_xlfn.STDEV.S(_xlfn._xlws.FILTER(C:C,B:B=B841))</f>
        <v>39.112864486352777</v>
      </c>
      <c r="F841" s="61">
        <f t="shared" si="79"/>
        <v>-23.830380135496249</v>
      </c>
      <c r="G841" s="61">
        <f t="shared" si="80"/>
        <v>132.62107780991485</v>
      </c>
      <c r="H841" s="61">
        <f t="shared" si="78"/>
        <v>1.0381405631121299</v>
      </c>
      <c r="I841" s="28" t="str">
        <f t="shared" si="81"/>
        <v>Normal</v>
      </c>
      <c r="J841" s="49">
        <f t="shared" si="82"/>
        <v>95</v>
      </c>
      <c r="K841" s="49" t="e">
        <f t="shared" si="83"/>
        <v>#N/A</v>
      </c>
    </row>
    <row r="842" spans="1:11">
      <c r="A842" s="74">
        <v>40581</v>
      </c>
      <c r="B842" s="75">
        <v>8</v>
      </c>
      <c r="C842" s="73">
        <v>230</v>
      </c>
      <c r="D842" s="72" cm="1">
        <f t="array" ref="D842">AVERAGE(_xlfn._xlws.FILTER(C:C,B:B=B842))</f>
        <v>128.28571428571428</v>
      </c>
      <c r="E842" s="61" cm="1">
        <f t="array" ref="E842">_xlfn.STDEV.S(_xlfn._xlws.FILTER(C:C,B:B=B842))</f>
        <v>88.551565717048547</v>
      </c>
      <c r="F842" s="61">
        <f t="shared" si="79"/>
        <v>-48.817417148382816</v>
      </c>
      <c r="G842" s="61">
        <f t="shared" si="80"/>
        <v>305.38884571981134</v>
      </c>
      <c r="H842" s="61">
        <f t="shared" si="78"/>
        <v>1.148644689573264</v>
      </c>
      <c r="I842" s="28" t="str">
        <f t="shared" si="81"/>
        <v>Normal</v>
      </c>
      <c r="J842" s="49">
        <f t="shared" si="82"/>
        <v>230</v>
      </c>
      <c r="K842" s="49" t="e">
        <f t="shared" si="83"/>
        <v>#N/A</v>
      </c>
    </row>
    <row r="843" spans="1:11">
      <c r="A843" s="74">
        <v>40581</v>
      </c>
      <c r="B843" s="75">
        <v>9</v>
      </c>
      <c r="C843" s="73">
        <v>118</v>
      </c>
      <c r="D843" s="72" cm="1">
        <f t="array" ref="D843">AVERAGE(_xlfn._xlws.FILTER(C:C,B:B=B843))</f>
        <v>87.428571428571431</v>
      </c>
      <c r="E843" s="61" cm="1">
        <f t="array" ref="E843">_xlfn.STDEV.S(_xlfn._xlws.FILTER(C:C,B:B=B843))</f>
        <v>45.93852884078624</v>
      </c>
      <c r="F843" s="61">
        <f t="shared" si="79"/>
        <v>-4.4484862530010503</v>
      </c>
      <c r="G843" s="61">
        <f t="shared" si="80"/>
        <v>179.30562911014391</v>
      </c>
      <c r="H843" s="61">
        <f t="shared" si="78"/>
        <v>0.66548558133811886</v>
      </c>
      <c r="I843" s="28" t="str">
        <f t="shared" si="81"/>
        <v>Normal</v>
      </c>
      <c r="J843" s="49">
        <f t="shared" si="82"/>
        <v>118</v>
      </c>
      <c r="K843" s="49" t="e">
        <f t="shared" si="83"/>
        <v>#N/A</v>
      </c>
    </row>
    <row r="844" spans="1:11">
      <c r="A844" s="74">
        <v>40581</v>
      </c>
      <c r="B844" s="75">
        <v>10</v>
      </c>
      <c r="C844" s="73">
        <v>55</v>
      </c>
      <c r="D844" s="72" cm="1">
        <f t="array" ref="D844">AVERAGE(_xlfn._xlws.FILTER(C:C,B:B=B844))</f>
        <v>53.642857142857146</v>
      </c>
      <c r="E844" s="61" cm="1">
        <f t="array" ref="E844">_xlfn.STDEV.S(_xlfn._xlws.FILTER(C:C,B:B=B844))</f>
        <v>15.395313554536934</v>
      </c>
      <c r="F844" s="61">
        <f t="shared" si="79"/>
        <v>22.852230033783279</v>
      </c>
      <c r="G844" s="61">
        <f t="shared" si="80"/>
        <v>84.43348425193102</v>
      </c>
      <c r="H844" s="61">
        <f t="shared" si="78"/>
        <v>8.8152985798909553E-2</v>
      </c>
      <c r="I844" s="28" t="str">
        <f t="shared" si="81"/>
        <v>Normal</v>
      </c>
      <c r="J844" s="49">
        <f t="shared" si="82"/>
        <v>55</v>
      </c>
      <c r="K844" s="49" t="e">
        <f t="shared" si="83"/>
        <v>#N/A</v>
      </c>
    </row>
    <row r="845" spans="1:11">
      <c r="A845" s="74">
        <v>40581</v>
      </c>
      <c r="B845" s="75">
        <v>11</v>
      </c>
      <c r="C845" s="73">
        <v>47</v>
      </c>
      <c r="D845" s="72" cm="1">
        <f t="array" ref="D845">AVERAGE(_xlfn._xlws.FILTER(C:C,B:B=B845))</f>
        <v>59.38095238095238</v>
      </c>
      <c r="E845" s="61" cm="1">
        <f t="array" ref="E845">_xlfn.STDEV.S(_xlfn._xlws.FILTER(C:C,B:B=B845))</f>
        <v>20.89573696860419</v>
      </c>
      <c r="F845" s="61">
        <f t="shared" si="79"/>
        <v>17.589478443743999</v>
      </c>
      <c r="G845" s="61">
        <f t="shared" si="80"/>
        <v>101.17242631816076</v>
      </c>
      <c r="H845" s="61">
        <f t="shared" si="78"/>
        <v>-0.59251092218258394</v>
      </c>
      <c r="I845" s="28" t="str">
        <f t="shared" si="81"/>
        <v>Normal</v>
      </c>
      <c r="J845" s="49">
        <f t="shared" si="82"/>
        <v>47</v>
      </c>
      <c r="K845" s="49" t="e">
        <f t="shared" si="83"/>
        <v>#N/A</v>
      </c>
    </row>
    <row r="846" spans="1:11">
      <c r="A846" s="74">
        <v>40581</v>
      </c>
      <c r="B846" s="75">
        <v>12</v>
      </c>
      <c r="C846" s="73">
        <v>66</v>
      </c>
      <c r="D846" s="72" cm="1">
        <f t="array" ref="D846">AVERAGE(_xlfn._xlws.FILTER(C:C,B:B=B846))</f>
        <v>76.348837209302332</v>
      </c>
      <c r="E846" s="61" cm="1">
        <f t="array" ref="E846">_xlfn.STDEV.S(_xlfn._xlws.FILTER(C:C,B:B=B846))</f>
        <v>29.034366927857054</v>
      </c>
      <c r="F846" s="61">
        <f t="shared" si="79"/>
        <v>18.280103353588224</v>
      </c>
      <c r="G846" s="61">
        <f t="shared" si="80"/>
        <v>134.41757106501643</v>
      </c>
      <c r="H846" s="61">
        <f t="shared" si="78"/>
        <v>-0.35643405744015477</v>
      </c>
      <c r="I846" s="28" t="str">
        <f t="shared" si="81"/>
        <v>Normal</v>
      </c>
      <c r="J846" s="49">
        <f t="shared" si="82"/>
        <v>66</v>
      </c>
      <c r="K846" s="49" t="e">
        <f t="shared" si="83"/>
        <v>#N/A</v>
      </c>
    </row>
    <row r="847" spans="1:11">
      <c r="A847" s="74">
        <v>40581</v>
      </c>
      <c r="B847" s="75">
        <v>13</v>
      </c>
      <c r="C847" s="73">
        <v>64</v>
      </c>
      <c r="D847" s="72" cm="1">
        <f t="array" ref="D847">AVERAGE(_xlfn._xlws.FILTER(C:C,B:B=B847))</f>
        <v>78.511627906976742</v>
      </c>
      <c r="E847" s="61" cm="1">
        <f t="array" ref="E847">_xlfn.STDEV.S(_xlfn._xlws.FILTER(C:C,B:B=B847))</f>
        <v>30.072430098825187</v>
      </c>
      <c r="F847" s="61">
        <f t="shared" si="79"/>
        <v>18.366767709326368</v>
      </c>
      <c r="G847" s="61">
        <f t="shared" si="80"/>
        <v>138.6564881046271</v>
      </c>
      <c r="H847" s="61">
        <f t="shared" si="78"/>
        <v>-0.4825558779017215</v>
      </c>
      <c r="I847" s="28" t="str">
        <f t="shared" si="81"/>
        <v>Normal</v>
      </c>
      <c r="J847" s="49">
        <f t="shared" si="82"/>
        <v>64</v>
      </c>
      <c r="K847" s="49" t="e">
        <f t="shared" si="83"/>
        <v>#N/A</v>
      </c>
    </row>
    <row r="848" spans="1:11">
      <c r="A848" s="74">
        <v>40581</v>
      </c>
      <c r="B848" s="75">
        <v>14</v>
      </c>
      <c r="C848" s="73">
        <v>60</v>
      </c>
      <c r="D848" s="72" cm="1">
        <f t="array" ref="D848">AVERAGE(_xlfn._xlws.FILTER(C:C,B:B=B848))</f>
        <v>74.418604651162795</v>
      </c>
      <c r="E848" s="61" cm="1">
        <f t="array" ref="E848">_xlfn.STDEV.S(_xlfn._xlws.FILTER(C:C,B:B=B848))</f>
        <v>30.30576918056515</v>
      </c>
      <c r="F848" s="61">
        <f t="shared" si="79"/>
        <v>13.807066290032495</v>
      </c>
      <c r="G848" s="61">
        <f t="shared" si="80"/>
        <v>135.03014301229308</v>
      </c>
      <c r="H848" s="61">
        <f t="shared" si="78"/>
        <v>-0.47577095190209961</v>
      </c>
      <c r="I848" s="28" t="str">
        <f t="shared" si="81"/>
        <v>Normal</v>
      </c>
      <c r="J848" s="49">
        <f t="shared" si="82"/>
        <v>60</v>
      </c>
      <c r="K848" s="49" t="e">
        <f t="shared" si="83"/>
        <v>#N/A</v>
      </c>
    </row>
    <row r="849" spans="1:11">
      <c r="A849" s="74">
        <v>40581</v>
      </c>
      <c r="B849" s="75">
        <v>15</v>
      </c>
      <c r="C849" s="73">
        <v>50</v>
      </c>
      <c r="D849" s="72" cm="1">
        <f t="array" ref="D849">AVERAGE(_xlfn._xlws.FILTER(C:C,B:B=B849))</f>
        <v>77.95348837209302</v>
      </c>
      <c r="E849" s="61" cm="1">
        <f t="array" ref="E849">_xlfn.STDEV.S(_xlfn._xlws.FILTER(C:C,B:B=B849))</f>
        <v>34.481156681772681</v>
      </c>
      <c r="F849" s="61">
        <f t="shared" si="79"/>
        <v>8.9911750085476569</v>
      </c>
      <c r="G849" s="61">
        <f t="shared" si="80"/>
        <v>146.91580173563838</v>
      </c>
      <c r="H849" s="61">
        <f t="shared" si="78"/>
        <v>-0.81068882433603806</v>
      </c>
      <c r="I849" s="28" t="str">
        <f t="shared" si="81"/>
        <v>Normal</v>
      </c>
      <c r="J849" s="49">
        <f t="shared" si="82"/>
        <v>50</v>
      </c>
      <c r="K849" s="49" t="e">
        <f t="shared" si="83"/>
        <v>#N/A</v>
      </c>
    </row>
    <row r="850" spans="1:11">
      <c r="A850" s="74">
        <v>40581</v>
      </c>
      <c r="B850" s="75">
        <v>16</v>
      </c>
      <c r="C850" s="73">
        <v>114</v>
      </c>
      <c r="D850" s="72" cm="1">
        <f t="array" ref="D850">AVERAGE(_xlfn._xlws.FILTER(C:C,B:B=B850))</f>
        <v>89.272727272727266</v>
      </c>
      <c r="E850" s="61" cm="1">
        <f t="array" ref="E850">_xlfn.STDEV.S(_xlfn._xlws.FILTER(C:C,B:B=B850))</f>
        <v>25.461657115880758</v>
      </c>
      <c r="F850" s="61">
        <f t="shared" si="79"/>
        <v>38.34941304096575</v>
      </c>
      <c r="G850" s="61">
        <f t="shared" si="80"/>
        <v>140.19604150448879</v>
      </c>
      <c r="H850" s="61">
        <f t="shared" si="78"/>
        <v>0.97115724301581374</v>
      </c>
      <c r="I850" s="28" t="str">
        <f t="shared" si="81"/>
        <v>Normal</v>
      </c>
      <c r="J850" s="49">
        <f t="shared" si="82"/>
        <v>114</v>
      </c>
      <c r="K850" s="49" t="e">
        <f t="shared" si="83"/>
        <v>#N/A</v>
      </c>
    </row>
    <row r="851" spans="1:11">
      <c r="A851" s="74">
        <v>40581</v>
      </c>
      <c r="B851" s="75">
        <v>17</v>
      </c>
      <c r="C851" s="73">
        <v>216</v>
      </c>
      <c r="D851" s="72" cm="1">
        <f t="array" ref="D851">AVERAGE(_xlfn._xlws.FILTER(C:C,B:B=B851))</f>
        <v>140.20454545454547</v>
      </c>
      <c r="E851" s="61" cm="1">
        <f t="array" ref="E851">_xlfn.STDEV.S(_xlfn._xlws.FILTER(C:C,B:B=B851))</f>
        <v>54.067391000084555</v>
      </c>
      <c r="F851" s="61">
        <f t="shared" si="79"/>
        <v>32.069763454376357</v>
      </c>
      <c r="G851" s="61">
        <f t="shared" si="80"/>
        <v>248.33932745471458</v>
      </c>
      <c r="H851" s="61">
        <f t="shared" si="78"/>
        <v>1.4018700207919408</v>
      </c>
      <c r="I851" s="28" t="str">
        <f t="shared" si="81"/>
        <v>Normal</v>
      </c>
      <c r="J851" s="49">
        <f t="shared" si="82"/>
        <v>216</v>
      </c>
      <c r="K851" s="49" t="e">
        <f t="shared" si="83"/>
        <v>#N/A</v>
      </c>
    </row>
    <row r="852" spans="1:11">
      <c r="A852" s="74">
        <v>40581</v>
      </c>
      <c r="B852" s="75">
        <v>18</v>
      </c>
      <c r="C852" s="73">
        <v>175</v>
      </c>
      <c r="D852" s="72" cm="1">
        <f t="array" ref="D852">AVERAGE(_xlfn._xlws.FILTER(C:C,B:B=B852))</f>
        <v>122.86046511627907</v>
      </c>
      <c r="E852" s="61" cm="1">
        <f t="array" ref="E852">_xlfn.STDEV.S(_xlfn._xlws.FILTER(C:C,B:B=B852))</f>
        <v>48.613432101949932</v>
      </c>
      <c r="F852" s="61">
        <f t="shared" si="79"/>
        <v>25.633600912379208</v>
      </c>
      <c r="G852" s="61">
        <f t="shared" si="80"/>
        <v>220.08732932017892</v>
      </c>
      <c r="H852" s="61">
        <f t="shared" si="78"/>
        <v>1.072533508318775</v>
      </c>
      <c r="I852" s="28" t="str">
        <f t="shared" si="81"/>
        <v>Normal</v>
      </c>
      <c r="J852" s="49">
        <f t="shared" si="82"/>
        <v>175</v>
      </c>
      <c r="K852" s="49" t="e">
        <f t="shared" si="83"/>
        <v>#N/A</v>
      </c>
    </row>
    <row r="853" spans="1:11">
      <c r="A853" s="74">
        <v>40581</v>
      </c>
      <c r="B853" s="75">
        <v>19</v>
      </c>
      <c r="C853" s="73">
        <v>128</v>
      </c>
      <c r="D853" s="72" cm="1">
        <f t="array" ref="D853">AVERAGE(_xlfn._xlws.FILTER(C:C,B:B=B853))</f>
        <v>85.139534883720927</v>
      </c>
      <c r="E853" s="61" cm="1">
        <f t="array" ref="E853">_xlfn.STDEV.S(_xlfn._xlws.FILTER(C:C,B:B=B853))</f>
        <v>31.690904054294752</v>
      </c>
      <c r="F853" s="61">
        <f t="shared" si="79"/>
        <v>21.757726775131424</v>
      </c>
      <c r="G853" s="61">
        <f t="shared" si="80"/>
        <v>148.52134299231042</v>
      </c>
      <c r="H853" s="61">
        <f t="shared" si="78"/>
        <v>1.3524532163187255</v>
      </c>
      <c r="I853" s="28" t="str">
        <f t="shared" si="81"/>
        <v>Normal</v>
      </c>
      <c r="J853" s="49">
        <f t="shared" si="82"/>
        <v>128</v>
      </c>
      <c r="K853" s="49" t="e">
        <f t="shared" si="83"/>
        <v>#N/A</v>
      </c>
    </row>
    <row r="854" spans="1:11">
      <c r="A854" s="74">
        <v>40581</v>
      </c>
      <c r="B854" s="75">
        <v>20</v>
      </c>
      <c r="C854" s="73">
        <v>88</v>
      </c>
      <c r="D854" s="72" cm="1">
        <f t="array" ref="D854">AVERAGE(_xlfn._xlws.FILTER(C:C,B:B=B854))</f>
        <v>61.767441860465119</v>
      </c>
      <c r="E854" s="61" cm="1">
        <f t="array" ref="E854">_xlfn.STDEV.S(_xlfn._xlws.FILTER(C:C,B:B=B854))</f>
        <v>24.632380169685593</v>
      </c>
      <c r="F854" s="61">
        <f t="shared" si="79"/>
        <v>12.502681521093933</v>
      </c>
      <c r="G854" s="61">
        <f t="shared" si="80"/>
        <v>111.03220219983631</v>
      </c>
      <c r="H854" s="61">
        <f t="shared" si="78"/>
        <v>1.0649623771160606</v>
      </c>
      <c r="I854" s="28" t="str">
        <f t="shared" si="81"/>
        <v>Normal</v>
      </c>
      <c r="J854" s="49">
        <f t="shared" si="82"/>
        <v>88</v>
      </c>
      <c r="K854" s="49" t="e">
        <f t="shared" si="83"/>
        <v>#N/A</v>
      </c>
    </row>
    <row r="855" spans="1:11">
      <c r="A855" s="74">
        <v>40581</v>
      </c>
      <c r="B855" s="75">
        <v>21</v>
      </c>
      <c r="C855" s="73">
        <v>78</v>
      </c>
      <c r="D855" s="72" cm="1">
        <f t="array" ref="D855">AVERAGE(_xlfn._xlws.FILTER(C:C,B:B=B855))</f>
        <v>46.418604651162788</v>
      </c>
      <c r="E855" s="61" cm="1">
        <f t="array" ref="E855">_xlfn.STDEV.S(_xlfn._xlws.FILTER(C:C,B:B=B855))</f>
        <v>14.656759464719496</v>
      </c>
      <c r="F855" s="61">
        <f t="shared" si="79"/>
        <v>17.105085721723796</v>
      </c>
      <c r="G855" s="61">
        <f t="shared" si="80"/>
        <v>75.73212358060178</v>
      </c>
      <c r="H855" s="61">
        <f t="shared" si="78"/>
        <v>2.1547324580755562</v>
      </c>
      <c r="I855" s="28" t="str">
        <f t="shared" si="81"/>
        <v>High Anomaly</v>
      </c>
      <c r="J855" s="49" t="e">
        <f t="shared" si="82"/>
        <v>#N/A</v>
      </c>
      <c r="K855" s="49">
        <f t="shared" si="83"/>
        <v>78</v>
      </c>
    </row>
    <row r="856" spans="1:11">
      <c r="A856" s="74">
        <v>40581</v>
      </c>
      <c r="B856" s="75">
        <v>22</v>
      </c>
      <c r="C856" s="73">
        <v>37</v>
      </c>
      <c r="D856" s="72" cm="1">
        <f t="array" ref="D856">AVERAGE(_xlfn._xlws.FILTER(C:C,B:B=B856))</f>
        <v>35.069767441860463</v>
      </c>
      <c r="E856" s="61" cm="1">
        <f t="array" ref="E856">_xlfn.STDEV.S(_xlfn._xlws.FILTER(C:C,B:B=B856))</f>
        <v>11.95506537162667</v>
      </c>
      <c r="F856" s="61">
        <f t="shared" si="79"/>
        <v>11.159636698607123</v>
      </c>
      <c r="G856" s="61">
        <f t="shared" si="80"/>
        <v>58.979898185113804</v>
      </c>
      <c r="H856" s="61">
        <f t="shared" si="78"/>
        <v>0.16145729848710136</v>
      </c>
      <c r="I856" s="28" t="str">
        <f t="shared" si="81"/>
        <v>Normal</v>
      </c>
      <c r="J856" s="49">
        <f t="shared" si="82"/>
        <v>37</v>
      </c>
      <c r="K856" s="49" t="e">
        <f t="shared" si="83"/>
        <v>#N/A</v>
      </c>
    </row>
    <row r="857" spans="1:11">
      <c r="A857" s="74">
        <v>40581</v>
      </c>
      <c r="B857" s="75">
        <v>23</v>
      </c>
      <c r="C857" s="73">
        <v>25</v>
      </c>
      <c r="D857" s="72" cm="1">
        <f t="array" ref="D857">AVERAGE(_xlfn._xlws.FILTER(C:C,B:B=B857))</f>
        <v>25.186046511627907</v>
      </c>
      <c r="E857" s="61" cm="1">
        <f t="array" ref="E857">_xlfn.STDEV.S(_xlfn._xlws.FILTER(C:C,B:B=B857))</f>
        <v>11.751911321656188</v>
      </c>
      <c r="F857" s="61">
        <f t="shared" si="79"/>
        <v>1.6822238683155319</v>
      </c>
      <c r="G857" s="61">
        <f t="shared" si="80"/>
        <v>48.689869154940283</v>
      </c>
      <c r="H857" s="61">
        <f t="shared" si="78"/>
        <v>-1.5831170482461392E-2</v>
      </c>
      <c r="I857" s="28" t="str">
        <f t="shared" si="81"/>
        <v>Normal</v>
      </c>
      <c r="J857" s="49">
        <f t="shared" si="82"/>
        <v>25</v>
      </c>
      <c r="K857" s="49" t="e">
        <f t="shared" si="83"/>
        <v>#N/A</v>
      </c>
    </row>
    <row r="858" spans="1:11">
      <c r="A858" s="74">
        <v>40582</v>
      </c>
      <c r="B858" s="75">
        <v>0</v>
      </c>
      <c r="C858" s="73">
        <v>10</v>
      </c>
      <c r="D858" s="72" cm="1">
        <f t="array" ref="D858">AVERAGE(_xlfn._xlws.FILTER(C:C,B:B=B858))</f>
        <v>16.348837209302324</v>
      </c>
      <c r="E858" s="61" cm="1">
        <f t="array" ref="E858">_xlfn.STDEV.S(_xlfn._xlws.FILTER(C:C,B:B=B858))</f>
        <v>10.44232167427621</v>
      </c>
      <c r="F858" s="61">
        <f t="shared" si="79"/>
        <v>-4.535806139250095</v>
      </c>
      <c r="G858" s="61">
        <f t="shared" si="80"/>
        <v>37.233480557854747</v>
      </c>
      <c r="H858" s="61">
        <f t="shared" si="78"/>
        <v>-0.60799096286625187</v>
      </c>
      <c r="I858" s="28" t="str">
        <f t="shared" si="81"/>
        <v>Normal</v>
      </c>
      <c r="J858" s="49">
        <f t="shared" si="82"/>
        <v>10</v>
      </c>
      <c r="K858" s="49" t="e">
        <f t="shared" si="83"/>
        <v>#N/A</v>
      </c>
    </row>
    <row r="859" spans="1:11">
      <c r="A859" s="74">
        <v>40582</v>
      </c>
      <c r="B859" s="75">
        <v>1</v>
      </c>
      <c r="C859" s="73">
        <v>4</v>
      </c>
      <c r="D859" s="72" cm="1">
        <f t="array" ref="D859">AVERAGE(_xlfn._xlws.FILTER(C:C,B:B=B859))</f>
        <v>10.697674418604651</v>
      </c>
      <c r="E859" s="61" cm="1">
        <f t="array" ref="E859">_xlfn.STDEV.S(_xlfn._xlws.FILTER(C:C,B:B=B859))</f>
        <v>10.060613641515801</v>
      </c>
      <c r="F859" s="61">
        <f t="shared" si="79"/>
        <v>-9.4235528644269504</v>
      </c>
      <c r="G859" s="61">
        <f t="shared" si="80"/>
        <v>30.81890170163625</v>
      </c>
      <c r="H859" s="61">
        <f t="shared" si="78"/>
        <v>-0.66573219658950478</v>
      </c>
      <c r="I859" s="28" t="str">
        <f t="shared" si="81"/>
        <v>Normal</v>
      </c>
      <c r="J859" s="49">
        <f t="shared" si="82"/>
        <v>4</v>
      </c>
      <c r="K859" s="49" t="e">
        <f t="shared" si="83"/>
        <v>#N/A</v>
      </c>
    </row>
    <row r="860" spans="1:11">
      <c r="A860" s="74">
        <v>40582</v>
      </c>
      <c r="B860" s="75">
        <v>2</v>
      </c>
      <c r="C860" s="73">
        <v>2</v>
      </c>
      <c r="D860" s="72" cm="1">
        <f t="array" ref="D860">AVERAGE(_xlfn._xlws.FILTER(C:C,B:B=B860))</f>
        <v>7.1707317073170733</v>
      </c>
      <c r="E860" s="61" cm="1">
        <f t="array" ref="E860">_xlfn.STDEV.S(_xlfn._xlws.FILTER(C:C,B:B=B860))</f>
        <v>7.3685223723090854</v>
      </c>
      <c r="F860" s="61">
        <f t="shared" si="79"/>
        <v>-7.5663130373010974</v>
      </c>
      <c r="G860" s="61">
        <f t="shared" si="80"/>
        <v>21.907776451935245</v>
      </c>
      <c r="H860" s="61">
        <f t="shared" si="78"/>
        <v>-0.70173251108644097</v>
      </c>
      <c r="I860" s="28" t="str">
        <f t="shared" si="81"/>
        <v>Normal</v>
      </c>
      <c r="J860" s="49">
        <f t="shared" si="82"/>
        <v>2</v>
      </c>
      <c r="K860" s="49" t="e">
        <f t="shared" si="83"/>
        <v>#N/A</v>
      </c>
    </row>
    <row r="861" spans="1:11">
      <c r="A861" s="74">
        <v>40582</v>
      </c>
      <c r="B861" s="75">
        <v>3</v>
      </c>
      <c r="C861" s="73">
        <v>1</v>
      </c>
      <c r="D861" s="72" cm="1">
        <f t="array" ref="D861">AVERAGE(_xlfn._xlws.FILTER(C:C,B:B=B861))</f>
        <v>4.870967741935484</v>
      </c>
      <c r="E861" s="61" cm="1">
        <f t="array" ref="E861">_xlfn.STDEV.S(_xlfn._xlws.FILTER(C:C,B:B=B861))</f>
        <v>4.4702120418303126</v>
      </c>
      <c r="F861" s="61">
        <f t="shared" si="79"/>
        <v>-4.0694563417251413</v>
      </c>
      <c r="G861" s="61">
        <f t="shared" si="80"/>
        <v>13.811391825596109</v>
      </c>
      <c r="H861" s="61">
        <f t="shared" si="78"/>
        <v>-0.86594723152115394</v>
      </c>
      <c r="I861" s="28" t="str">
        <f t="shared" si="81"/>
        <v>Normal</v>
      </c>
      <c r="J861" s="49">
        <f t="shared" si="82"/>
        <v>1</v>
      </c>
      <c r="K861" s="49" t="e">
        <f t="shared" si="83"/>
        <v>#N/A</v>
      </c>
    </row>
    <row r="862" spans="1:11">
      <c r="A862" s="74">
        <v>40582</v>
      </c>
      <c r="B862" s="75">
        <v>4</v>
      </c>
      <c r="C862" s="73">
        <v>3</v>
      </c>
      <c r="D862" s="72" cm="1">
        <f t="array" ref="D862">AVERAGE(_xlfn._xlws.FILTER(C:C,B:B=B862))</f>
        <v>2.15625</v>
      </c>
      <c r="E862" s="61" cm="1">
        <f t="array" ref="E862">_xlfn.STDEV.S(_xlfn._xlws.FILTER(C:C,B:B=B862))</f>
        <v>1.5263148747143209</v>
      </c>
      <c r="F862" s="61">
        <f t="shared" si="79"/>
        <v>-0.89637974942864185</v>
      </c>
      <c r="G862" s="61">
        <f t="shared" si="80"/>
        <v>5.2088797494286414</v>
      </c>
      <c r="H862" s="61">
        <f t="shared" si="78"/>
        <v>0.55280205544607819</v>
      </c>
      <c r="I862" s="28" t="str">
        <f t="shared" si="81"/>
        <v>Normal</v>
      </c>
      <c r="J862" s="49">
        <f t="shared" si="82"/>
        <v>3</v>
      </c>
      <c r="K862" s="49" t="e">
        <f t="shared" si="83"/>
        <v>#N/A</v>
      </c>
    </row>
    <row r="863" spans="1:11">
      <c r="A863" s="74">
        <v>40582</v>
      </c>
      <c r="B863" s="75">
        <v>5</v>
      </c>
      <c r="C863" s="73">
        <v>2</v>
      </c>
      <c r="D863" s="72" cm="1">
        <f t="array" ref="D863">AVERAGE(_xlfn._xlws.FILTER(C:C,B:B=B863))</f>
        <v>4.2051282051282053</v>
      </c>
      <c r="E863" s="61" cm="1">
        <f t="array" ref="E863">_xlfn.STDEV.S(_xlfn._xlws.FILTER(C:C,B:B=B863))</f>
        <v>2.5358429220352288</v>
      </c>
      <c r="F863" s="61">
        <f t="shared" si="79"/>
        <v>-0.86655763894225224</v>
      </c>
      <c r="G863" s="61">
        <f t="shared" si="80"/>
        <v>9.2768140491986628</v>
      </c>
      <c r="H863" s="61">
        <f t="shared" si="78"/>
        <v>-0.86958391072519714</v>
      </c>
      <c r="I863" s="28" t="str">
        <f t="shared" si="81"/>
        <v>Normal</v>
      </c>
      <c r="J863" s="49">
        <f t="shared" si="82"/>
        <v>2</v>
      </c>
      <c r="K863" s="49" t="e">
        <f t="shared" si="83"/>
        <v>#N/A</v>
      </c>
    </row>
    <row r="864" spans="1:11">
      <c r="A864" s="74">
        <v>40582</v>
      </c>
      <c r="B864" s="75">
        <v>6</v>
      </c>
      <c r="C864" s="73">
        <v>39</v>
      </c>
      <c r="D864" s="72" cm="1">
        <f t="array" ref="D864">AVERAGE(_xlfn._xlws.FILTER(C:C,B:B=B864))</f>
        <v>19.571428571428573</v>
      </c>
      <c r="E864" s="61" cm="1">
        <f t="array" ref="E864">_xlfn.STDEV.S(_xlfn._xlws.FILTER(C:C,B:B=B864))</f>
        <v>14.202615453298934</v>
      </c>
      <c r="F864" s="61">
        <f t="shared" si="79"/>
        <v>-8.8338023351692954</v>
      </c>
      <c r="G864" s="61">
        <f t="shared" si="80"/>
        <v>47.976659478026441</v>
      </c>
      <c r="H864" s="61">
        <f t="shared" si="78"/>
        <v>1.3679572957851664</v>
      </c>
      <c r="I864" s="28" t="str">
        <f t="shared" si="81"/>
        <v>Normal</v>
      </c>
      <c r="J864" s="49">
        <f t="shared" si="82"/>
        <v>39</v>
      </c>
      <c r="K864" s="49" t="e">
        <f t="shared" si="83"/>
        <v>#N/A</v>
      </c>
    </row>
    <row r="865" spans="1:11">
      <c r="A865" s="74">
        <v>40582</v>
      </c>
      <c r="B865" s="75">
        <v>7</v>
      </c>
      <c r="C865" s="73">
        <v>100</v>
      </c>
      <c r="D865" s="72" cm="1">
        <f t="array" ref="D865">AVERAGE(_xlfn._xlws.FILTER(C:C,B:B=B865))</f>
        <v>54.395348837209305</v>
      </c>
      <c r="E865" s="61" cm="1">
        <f t="array" ref="E865">_xlfn.STDEV.S(_xlfn._xlws.FILTER(C:C,B:B=B865))</f>
        <v>39.112864486352777</v>
      </c>
      <c r="F865" s="61">
        <f t="shared" si="79"/>
        <v>-23.830380135496249</v>
      </c>
      <c r="G865" s="61">
        <f t="shared" si="80"/>
        <v>132.62107780991485</v>
      </c>
      <c r="H865" s="61">
        <f t="shared" si="78"/>
        <v>1.1659757412731309</v>
      </c>
      <c r="I865" s="28" t="str">
        <f t="shared" si="81"/>
        <v>Normal</v>
      </c>
      <c r="J865" s="49">
        <f t="shared" si="82"/>
        <v>100</v>
      </c>
      <c r="K865" s="49" t="e">
        <f t="shared" si="83"/>
        <v>#N/A</v>
      </c>
    </row>
    <row r="866" spans="1:11">
      <c r="A866" s="74">
        <v>40582</v>
      </c>
      <c r="B866" s="75">
        <v>8</v>
      </c>
      <c r="C866" s="73">
        <v>243</v>
      </c>
      <c r="D866" s="72" cm="1">
        <f t="array" ref="D866">AVERAGE(_xlfn._xlws.FILTER(C:C,B:B=B866))</f>
        <v>128.28571428571428</v>
      </c>
      <c r="E866" s="61" cm="1">
        <f t="array" ref="E866">_xlfn.STDEV.S(_xlfn._xlws.FILTER(C:C,B:B=B866))</f>
        <v>88.551565717048547</v>
      </c>
      <c r="F866" s="61">
        <f t="shared" si="79"/>
        <v>-48.817417148382816</v>
      </c>
      <c r="G866" s="61">
        <f t="shared" si="80"/>
        <v>305.38884571981134</v>
      </c>
      <c r="H866" s="61">
        <f t="shared" si="78"/>
        <v>1.2954518057968132</v>
      </c>
      <c r="I866" s="28" t="str">
        <f t="shared" si="81"/>
        <v>Normal</v>
      </c>
      <c r="J866" s="49">
        <f t="shared" si="82"/>
        <v>243</v>
      </c>
      <c r="K866" s="49" t="e">
        <f t="shared" si="83"/>
        <v>#N/A</v>
      </c>
    </row>
    <row r="867" spans="1:11">
      <c r="A867" s="74">
        <v>40582</v>
      </c>
      <c r="B867" s="75">
        <v>9</v>
      </c>
      <c r="C867" s="73">
        <v>135</v>
      </c>
      <c r="D867" s="72" cm="1">
        <f t="array" ref="D867">AVERAGE(_xlfn._xlws.FILTER(C:C,B:B=B867))</f>
        <v>87.428571428571431</v>
      </c>
      <c r="E867" s="61" cm="1">
        <f t="array" ref="E867">_xlfn.STDEV.S(_xlfn._xlws.FILTER(C:C,B:B=B867))</f>
        <v>45.93852884078624</v>
      </c>
      <c r="F867" s="61">
        <f t="shared" si="79"/>
        <v>-4.4484862530010503</v>
      </c>
      <c r="G867" s="61">
        <f t="shared" si="80"/>
        <v>179.30562911014391</v>
      </c>
      <c r="H867" s="61">
        <f t="shared" si="78"/>
        <v>1.035545320493428</v>
      </c>
      <c r="I867" s="28" t="str">
        <f t="shared" si="81"/>
        <v>Normal</v>
      </c>
      <c r="J867" s="49">
        <f t="shared" si="82"/>
        <v>135</v>
      </c>
      <c r="K867" s="49" t="e">
        <f t="shared" si="83"/>
        <v>#N/A</v>
      </c>
    </row>
    <row r="868" spans="1:11">
      <c r="A868" s="74">
        <v>40582</v>
      </c>
      <c r="B868" s="75">
        <v>10</v>
      </c>
      <c r="C868" s="73">
        <v>48</v>
      </c>
      <c r="D868" s="72" cm="1">
        <f t="array" ref="D868">AVERAGE(_xlfn._xlws.FILTER(C:C,B:B=B868))</f>
        <v>53.642857142857146</v>
      </c>
      <c r="E868" s="61" cm="1">
        <f t="array" ref="E868">_xlfn.STDEV.S(_xlfn._xlws.FILTER(C:C,B:B=B868))</f>
        <v>15.395313554536934</v>
      </c>
      <c r="F868" s="61">
        <f t="shared" si="79"/>
        <v>22.852230033783279</v>
      </c>
      <c r="G868" s="61">
        <f t="shared" si="80"/>
        <v>84.43348425193102</v>
      </c>
      <c r="H868" s="61">
        <f t="shared" si="78"/>
        <v>-0.36653083569020389</v>
      </c>
      <c r="I868" s="28" t="str">
        <f t="shared" si="81"/>
        <v>Normal</v>
      </c>
      <c r="J868" s="49">
        <f t="shared" si="82"/>
        <v>48</v>
      </c>
      <c r="K868" s="49" t="e">
        <f t="shared" si="83"/>
        <v>#N/A</v>
      </c>
    </row>
    <row r="869" spans="1:11">
      <c r="A869" s="74">
        <v>40582</v>
      </c>
      <c r="B869" s="75">
        <v>11</v>
      </c>
      <c r="C869" s="73">
        <v>50</v>
      </c>
      <c r="D869" s="72" cm="1">
        <f t="array" ref="D869">AVERAGE(_xlfn._xlws.FILTER(C:C,B:B=B869))</f>
        <v>59.38095238095238</v>
      </c>
      <c r="E869" s="61" cm="1">
        <f t="array" ref="E869">_xlfn.STDEV.S(_xlfn._xlws.FILTER(C:C,B:B=B869))</f>
        <v>20.89573696860419</v>
      </c>
      <c r="F869" s="61">
        <f t="shared" si="79"/>
        <v>17.589478443743999</v>
      </c>
      <c r="G869" s="61">
        <f t="shared" si="80"/>
        <v>101.17242631816076</v>
      </c>
      <c r="H869" s="61">
        <f t="shared" si="78"/>
        <v>-0.44894096796141936</v>
      </c>
      <c r="I869" s="28" t="str">
        <f t="shared" si="81"/>
        <v>Normal</v>
      </c>
      <c r="J869" s="49">
        <f t="shared" si="82"/>
        <v>50</v>
      </c>
      <c r="K869" s="49" t="e">
        <f t="shared" si="83"/>
        <v>#N/A</v>
      </c>
    </row>
    <row r="870" spans="1:11">
      <c r="A870" s="74">
        <v>40582</v>
      </c>
      <c r="B870" s="75">
        <v>12</v>
      </c>
      <c r="C870" s="73">
        <v>65</v>
      </c>
      <c r="D870" s="72" cm="1">
        <f t="array" ref="D870">AVERAGE(_xlfn._xlws.FILTER(C:C,B:B=B870))</f>
        <v>76.348837209302332</v>
      </c>
      <c r="E870" s="61" cm="1">
        <f t="array" ref="E870">_xlfn.STDEV.S(_xlfn._xlws.FILTER(C:C,B:B=B870))</f>
        <v>29.034366927857054</v>
      </c>
      <c r="F870" s="61">
        <f t="shared" si="79"/>
        <v>18.280103353588224</v>
      </c>
      <c r="G870" s="61">
        <f t="shared" si="80"/>
        <v>134.41757106501643</v>
      </c>
      <c r="H870" s="61">
        <f t="shared" si="78"/>
        <v>-0.39087600006920342</v>
      </c>
      <c r="I870" s="28" t="str">
        <f t="shared" si="81"/>
        <v>Normal</v>
      </c>
      <c r="J870" s="49">
        <f t="shared" si="82"/>
        <v>65</v>
      </c>
      <c r="K870" s="49" t="e">
        <f t="shared" si="83"/>
        <v>#N/A</v>
      </c>
    </row>
    <row r="871" spans="1:11">
      <c r="A871" s="74">
        <v>40582</v>
      </c>
      <c r="B871" s="75">
        <v>13</v>
      </c>
      <c r="C871" s="73">
        <v>50</v>
      </c>
      <c r="D871" s="72" cm="1">
        <f t="array" ref="D871">AVERAGE(_xlfn._xlws.FILTER(C:C,B:B=B871))</f>
        <v>78.511627906976742</v>
      </c>
      <c r="E871" s="61" cm="1">
        <f t="array" ref="E871">_xlfn.STDEV.S(_xlfn._xlws.FILTER(C:C,B:B=B871))</f>
        <v>30.072430098825187</v>
      </c>
      <c r="F871" s="61">
        <f t="shared" si="79"/>
        <v>18.366767709326368</v>
      </c>
      <c r="G871" s="61">
        <f t="shared" si="80"/>
        <v>138.6564881046271</v>
      </c>
      <c r="H871" s="61">
        <f t="shared" si="78"/>
        <v>-0.94809856780049773</v>
      </c>
      <c r="I871" s="28" t="str">
        <f t="shared" si="81"/>
        <v>Normal</v>
      </c>
      <c r="J871" s="49">
        <f t="shared" si="82"/>
        <v>50</v>
      </c>
      <c r="K871" s="49" t="e">
        <f t="shared" si="83"/>
        <v>#N/A</v>
      </c>
    </row>
    <row r="872" spans="1:11">
      <c r="A872" s="74">
        <v>40582</v>
      </c>
      <c r="B872" s="75">
        <v>14</v>
      </c>
      <c r="C872" s="73">
        <v>64</v>
      </c>
      <c r="D872" s="72" cm="1">
        <f t="array" ref="D872">AVERAGE(_xlfn._xlws.FILTER(C:C,B:B=B872))</f>
        <v>74.418604651162795</v>
      </c>
      <c r="E872" s="61" cm="1">
        <f t="array" ref="E872">_xlfn.STDEV.S(_xlfn._xlws.FILTER(C:C,B:B=B872))</f>
        <v>30.30576918056515</v>
      </c>
      <c r="F872" s="61">
        <f t="shared" si="79"/>
        <v>13.807066290032495</v>
      </c>
      <c r="G872" s="61">
        <f t="shared" si="80"/>
        <v>135.03014301229308</v>
      </c>
      <c r="H872" s="61">
        <f t="shared" si="78"/>
        <v>-0.34378288137442042</v>
      </c>
      <c r="I872" s="28" t="str">
        <f t="shared" si="81"/>
        <v>Normal</v>
      </c>
      <c r="J872" s="49">
        <f t="shared" si="82"/>
        <v>64</v>
      </c>
      <c r="K872" s="49" t="e">
        <f t="shared" si="83"/>
        <v>#N/A</v>
      </c>
    </row>
    <row r="873" spans="1:11">
      <c r="A873" s="74">
        <v>40582</v>
      </c>
      <c r="B873" s="75">
        <v>15</v>
      </c>
      <c r="C873" s="73">
        <v>51</v>
      </c>
      <c r="D873" s="72" cm="1">
        <f t="array" ref="D873">AVERAGE(_xlfn._xlws.FILTER(C:C,B:B=B873))</f>
        <v>77.95348837209302</v>
      </c>
      <c r="E873" s="61" cm="1">
        <f t="array" ref="E873">_xlfn.STDEV.S(_xlfn._xlws.FILTER(C:C,B:B=B873))</f>
        <v>34.481156681772681</v>
      </c>
      <c r="F873" s="61">
        <f t="shared" si="79"/>
        <v>8.9911750085476569</v>
      </c>
      <c r="G873" s="61">
        <f t="shared" si="80"/>
        <v>146.91580173563838</v>
      </c>
      <c r="H873" s="61">
        <f t="shared" si="78"/>
        <v>-0.78168747704281871</v>
      </c>
      <c r="I873" s="28" t="str">
        <f t="shared" si="81"/>
        <v>Normal</v>
      </c>
      <c r="J873" s="49">
        <f t="shared" si="82"/>
        <v>51</v>
      </c>
      <c r="K873" s="49" t="e">
        <f t="shared" si="83"/>
        <v>#N/A</v>
      </c>
    </row>
    <row r="874" spans="1:11">
      <c r="A874" s="74">
        <v>40582</v>
      </c>
      <c r="B874" s="75">
        <v>16</v>
      </c>
      <c r="C874" s="73">
        <v>83</v>
      </c>
      <c r="D874" s="72" cm="1">
        <f t="array" ref="D874">AVERAGE(_xlfn._xlws.FILTER(C:C,B:B=B874))</f>
        <v>89.272727272727266</v>
      </c>
      <c r="E874" s="61" cm="1">
        <f t="array" ref="E874">_xlfn.STDEV.S(_xlfn._xlws.FILTER(C:C,B:B=B874))</f>
        <v>25.461657115880758</v>
      </c>
      <c r="F874" s="61">
        <f t="shared" si="79"/>
        <v>38.34941304096575</v>
      </c>
      <c r="G874" s="61">
        <f t="shared" si="80"/>
        <v>140.19604150448879</v>
      </c>
      <c r="H874" s="61">
        <f t="shared" si="78"/>
        <v>-0.24635974179445244</v>
      </c>
      <c r="I874" s="28" t="str">
        <f t="shared" si="81"/>
        <v>Normal</v>
      </c>
      <c r="J874" s="49">
        <f t="shared" si="82"/>
        <v>83</v>
      </c>
      <c r="K874" s="49" t="e">
        <f t="shared" si="83"/>
        <v>#N/A</v>
      </c>
    </row>
    <row r="875" spans="1:11">
      <c r="A875" s="74">
        <v>40582</v>
      </c>
      <c r="B875" s="75">
        <v>17</v>
      </c>
      <c r="C875" s="73">
        <v>176</v>
      </c>
      <c r="D875" s="72" cm="1">
        <f t="array" ref="D875">AVERAGE(_xlfn._xlws.FILTER(C:C,B:B=B875))</f>
        <v>140.20454545454547</v>
      </c>
      <c r="E875" s="61" cm="1">
        <f t="array" ref="E875">_xlfn.STDEV.S(_xlfn._xlws.FILTER(C:C,B:B=B875))</f>
        <v>54.067391000084555</v>
      </c>
      <c r="F875" s="61">
        <f t="shared" si="79"/>
        <v>32.069763454376357</v>
      </c>
      <c r="G875" s="61">
        <f t="shared" si="80"/>
        <v>248.33932745471458</v>
      </c>
      <c r="H875" s="61">
        <f t="shared" si="78"/>
        <v>0.66205255854491951</v>
      </c>
      <c r="I875" s="28" t="str">
        <f t="shared" si="81"/>
        <v>Normal</v>
      </c>
      <c r="J875" s="49">
        <f t="shared" si="82"/>
        <v>176</v>
      </c>
      <c r="K875" s="49" t="e">
        <f t="shared" si="83"/>
        <v>#N/A</v>
      </c>
    </row>
    <row r="876" spans="1:11">
      <c r="A876" s="74">
        <v>40582</v>
      </c>
      <c r="B876" s="75">
        <v>18</v>
      </c>
      <c r="C876" s="73">
        <v>152</v>
      </c>
      <c r="D876" s="72" cm="1">
        <f t="array" ref="D876">AVERAGE(_xlfn._xlws.FILTER(C:C,B:B=B876))</f>
        <v>122.86046511627907</v>
      </c>
      <c r="E876" s="61" cm="1">
        <f t="array" ref="E876">_xlfn.STDEV.S(_xlfn._xlws.FILTER(C:C,B:B=B876))</f>
        <v>48.613432101949932</v>
      </c>
      <c r="F876" s="61">
        <f t="shared" si="79"/>
        <v>25.633600912379208</v>
      </c>
      <c r="G876" s="61">
        <f t="shared" si="80"/>
        <v>220.08732932017892</v>
      </c>
      <c r="H876" s="61">
        <f t="shared" si="78"/>
        <v>0.59941324082222358</v>
      </c>
      <c r="I876" s="28" t="str">
        <f t="shared" si="81"/>
        <v>Normal</v>
      </c>
      <c r="J876" s="49">
        <f t="shared" si="82"/>
        <v>152</v>
      </c>
      <c r="K876" s="49" t="e">
        <f t="shared" si="83"/>
        <v>#N/A</v>
      </c>
    </row>
    <row r="877" spans="1:11">
      <c r="A877" s="74">
        <v>40582</v>
      </c>
      <c r="B877" s="75">
        <v>19</v>
      </c>
      <c r="C877" s="73">
        <v>101</v>
      </c>
      <c r="D877" s="72" cm="1">
        <f t="array" ref="D877">AVERAGE(_xlfn._xlws.FILTER(C:C,B:B=B877))</f>
        <v>85.139534883720927</v>
      </c>
      <c r="E877" s="61" cm="1">
        <f t="array" ref="E877">_xlfn.STDEV.S(_xlfn._xlws.FILTER(C:C,B:B=B877))</f>
        <v>31.690904054294752</v>
      </c>
      <c r="F877" s="61">
        <f t="shared" si="79"/>
        <v>21.757726775131424</v>
      </c>
      <c r="G877" s="61">
        <f t="shared" si="80"/>
        <v>148.52134299231042</v>
      </c>
      <c r="H877" s="61">
        <f t="shared" si="78"/>
        <v>0.50047373495896408</v>
      </c>
      <c r="I877" s="28" t="str">
        <f t="shared" si="81"/>
        <v>Normal</v>
      </c>
      <c r="J877" s="49">
        <f t="shared" si="82"/>
        <v>101</v>
      </c>
      <c r="K877" s="49" t="e">
        <f t="shared" si="83"/>
        <v>#N/A</v>
      </c>
    </row>
    <row r="878" spans="1:11">
      <c r="A878" s="74">
        <v>40582</v>
      </c>
      <c r="B878" s="75">
        <v>20</v>
      </c>
      <c r="C878" s="73">
        <v>56</v>
      </c>
      <c r="D878" s="72" cm="1">
        <f t="array" ref="D878">AVERAGE(_xlfn._xlws.FILTER(C:C,B:B=B878))</f>
        <v>61.767441860465119</v>
      </c>
      <c r="E878" s="61" cm="1">
        <f t="array" ref="E878">_xlfn.STDEV.S(_xlfn._xlws.FILTER(C:C,B:B=B878))</f>
        <v>24.632380169685593</v>
      </c>
      <c r="F878" s="61">
        <f t="shared" si="79"/>
        <v>12.502681521093933</v>
      </c>
      <c r="G878" s="61">
        <f t="shared" si="80"/>
        <v>111.03220219983631</v>
      </c>
      <c r="H878" s="61">
        <f t="shared" si="78"/>
        <v>-0.23414066447232554</v>
      </c>
      <c r="I878" s="28" t="str">
        <f t="shared" si="81"/>
        <v>Normal</v>
      </c>
      <c r="J878" s="49">
        <f t="shared" si="82"/>
        <v>56</v>
      </c>
      <c r="K878" s="49" t="e">
        <f t="shared" si="83"/>
        <v>#N/A</v>
      </c>
    </row>
    <row r="879" spans="1:11">
      <c r="A879" s="74">
        <v>40582</v>
      </c>
      <c r="B879" s="75">
        <v>21</v>
      </c>
      <c r="C879" s="73">
        <v>54</v>
      </c>
      <c r="D879" s="72" cm="1">
        <f t="array" ref="D879">AVERAGE(_xlfn._xlws.FILTER(C:C,B:B=B879))</f>
        <v>46.418604651162788</v>
      </c>
      <c r="E879" s="61" cm="1">
        <f t="array" ref="E879">_xlfn.STDEV.S(_xlfn._xlws.FILTER(C:C,B:B=B879))</f>
        <v>14.656759464719496</v>
      </c>
      <c r="F879" s="61">
        <f t="shared" si="79"/>
        <v>17.105085721723796</v>
      </c>
      <c r="G879" s="61">
        <f t="shared" si="80"/>
        <v>75.73212358060178</v>
      </c>
      <c r="H879" s="61">
        <f t="shared" si="78"/>
        <v>0.51726272557631181</v>
      </c>
      <c r="I879" s="28" t="str">
        <f t="shared" si="81"/>
        <v>Normal</v>
      </c>
      <c r="J879" s="49">
        <f t="shared" si="82"/>
        <v>54</v>
      </c>
      <c r="K879" s="49" t="e">
        <f t="shared" si="83"/>
        <v>#N/A</v>
      </c>
    </row>
    <row r="880" spans="1:11">
      <c r="A880" s="74">
        <v>40582</v>
      </c>
      <c r="B880" s="75">
        <v>22</v>
      </c>
      <c r="C880" s="73">
        <v>29</v>
      </c>
      <c r="D880" s="72" cm="1">
        <f t="array" ref="D880">AVERAGE(_xlfn._xlws.FILTER(C:C,B:B=B880))</f>
        <v>35.069767441860463</v>
      </c>
      <c r="E880" s="61" cm="1">
        <f t="array" ref="E880">_xlfn.STDEV.S(_xlfn._xlws.FILTER(C:C,B:B=B880))</f>
        <v>11.95506537162667</v>
      </c>
      <c r="F880" s="61">
        <f t="shared" si="79"/>
        <v>11.159636698607123</v>
      </c>
      <c r="G880" s="61">
        <f t="shared" si="80"/>
        <v>58.979898185113804</v>
      </c>
      <c r="H880" s="61">
        <f t="shared" si="78"/>
        <v>-0.50771511933895674</v>
      </c>
      <c r="I880" s="28" t="str">
        <f t="shared" si="81"/>
        <v>Normal</v>
      </c>
      <c r="J880" s="49">
        <f t="shared" si="82"/>
        <v>29</v>
      </c>
      <c r="K880" s="49" t="e">
        <f t="shared" si="83"/>
        <v>#N/A</v>
      </c>
    </row>
    <row r="881" spans="1:11">
      <c r="A881" s="74">
        <v>40582</v>
      </c>
      <c r="B881" s="75">
        <v>23</v>
      </c>
      <c r="C881" s="73">
        <v>12</v>
      </c>
      <c r="D881" s="72" cm="1">
        <f t="array" ref="D881">AVERAGE(_xlfn._xlws.FILTER(C:C,B:B=B881))</f>
        <v>25.186046511627907</v>
      </c>
      <c r="E881" s="61" cm="1">
        <f t="array" ref="E881">_xlfn.STDEV.S(_xlfn._xlws.FILTER(C:C,B:B=B881))</f>
        <v>11.751911321656188</v>
      </c>
      <c r="F881" s="61">
        <f t="shared" si="79"/>
        <v>1.6822238683155319</v>
      </c>
      <c r="G881" s="61">
        <f t="shared" si="80"/>
        <v>48.689869154940283</v>
      </c>
      <c r="H881" s="61">
        <f t="shared" si="78"/>
        <v>-1.1220342079444494</v>
      </c>
      <c r="I881" s="28" t="str">
        <f t="shared" si="81"/>
        <v>Normal</v>
      </c>
      <c r="J881" s="49">
        <f t="shared" si="82"/>
        <v>12</v>
      </c>
      <c r="K881" s="49" t="e">
        <f t="shared" si="83"/>
        <v>#N/A</v>
      </c>
    </row>
    <row r="882" spans="1:11">
      <c r="A882" s="74">
        <v>40583</v>
      </c>
      <c r="B882" s="75">
        <v>0</v>
      </c>
      <c r="C882" s="73">
        <v>17</v>
      </c>
      <c r="D882" s="72" cm="1">
        <f t="array" ref="D882">AVERAGE(_xlfn._xlws.FILTER(C:C,B:B=B882))</f>
        <v>16.348837209302324</v>
      </c>
      <c r="E882" s="61" cm="1">
        <f t="array" ref="E882">_xlfn.STDEV.S(_xlfn._xlws.FILTER(C:C,B:B=B882))</f>
        <v>10.44232167427621</v>
      </c>
      <c r="F882" s="61">
        <f t="shared" si="79"/>
        <v>-4.535806139250095</v>
      </c>
      <c r="G882" s="61">
        <f t="shared" si="80"/>
        <v>37.233480557854747</v>
      </c>
      <c r="H882" s="61">
        <f t="shared" si="78"/>
        <v>6.2358047473461853E-2</v>
      </c>
      <c r="I882" s="28" t="str">
        <f t="shared" si="81"/>
        <v>Normal</v>
      </c>
      <c r="J882" s="49">
        <f t="shared" si="82"/>
        <v>17</v>
      </c>
      <c r="K882" s="49" t="e">
        <f t="shared" si="83"/>
        <v>#N/A</v>
      </c>
    </row>
    <row r="883" spans="1:11">
      <c r="A883" s="74">
        <v>40583</v>
      </c>
      <c r="B883" s="75">
        <v>1</v>
      </c>
      <c r="C883" s="73">
        <v>7</v>
      </c>
      <c r="D883" s="72" cm="1">
        <f t="array" ref="D883">AVERAGE(_xlfn._xlws.FILTER(C:C,B:B=B883))</f>
        <v>10.697674418604651</v>
      </c>
      <c r="E883" s="61" cm="1">
        <f t="array" ref="E883">_xlfn.STDEV.S(_xlfn._xlws.FILTER(C:C,B:B=B883))</f>
        <v>10.060613641515801</v>
      </c>
      <c r="F883" s="61">
        <f t="shared" si="79"/>
        <v>-9.4235528644269504</v>
      </c>
      <c r="G883" s="61">
        <f t="shared" si="80"/>
        <v>30.81890170163625</v>
      </c>
      <c r="H883" s="61">
        <f t="shared" si="78"/>
        <v>-0.36753965020045576</v>
      </c>
      <c r="I883" s="28" t="str">
        <f t="shared" si="81"/>
        <v>Normal</v>
      </c>
      <c r="J883" s="49">
        <f t="shared" si="82"/>
        <v>7</v>
      </c>
      <c r="K883" s="49" t="e">
        <f t="shared" si="83"/>
        <v>#N/A</v>
      </c>
    </row>
    <row r="884" spans="1:11">
      <c r="A884" s="74">
        <v>40583</v>
      </c>
      <c r="B884" s="75">
        <v>2</v>
      </c>
      <c r="C884" s="73">
        <v>3</v>
      </c>
      <c r="D884" s="72" cm="1">
        <f t="array" ref="D884">AVERAGE(_xlfn._xlws.FILTER(C:C,B:B=B884))</f>
        <v>7.1707317073170733</v>
      </c>
      <c r="E884" s="61" cm="1">
        <f t="array" ref="E884">_xlfn.STDEV.S(_xlfn._xlws.FILTER(C:C,B:B=B884))</f>
        <v>7.3685223723090854</v>
      </c>
      <c r="F884" s="61">
        <f t="shared" si="79"/>
        <v>-7.5663130373010974</v>
      </c>
      <c r="G884" s="61">
        <f t="shared" si="80"/>
        <v>21.907776451935245</v>
      </c>
      <c r="H884" s="61">
        <f t="shared" si="78"/>
        <v>-0.56602009148953492</v>
      </c>
      <c r="I884" s="28" t="str">
        <f t="shared" si="81"/>
        <v>Normal</v>
      </c>
      <c r="J884" s="49">
        <f t="shared" si="82"/>
        <v>3</v>
      </c>
      <c r="K884" s="49" t="e">
        <f t="shared" si="83"/>
        <v>#N/A</v>
      </c>
    </row>
    <row r="885" spans="1:11">
      <c r="A885" s="74">
        <v>40583</v>
      </c>
      <c r="B885" s="75">
        <v>3</v>
      </c>
      <c r="C885" s="73">
        <v>2</v>
      </c>
      <c r="D885" s="72" cm="1">
        <f t="array" ref="D885">AVERAGE(_xlfn._xlws.FILTER(C:C,B:B=B885))</f>
        <v>4.870967741935484</v>
      </c>
      <c r="E885" s="61" cm="1">
        <f t="array" ref="E885">_xlfn.STDEV.S(_xlfn._xlws.FILTER(C:C,B:B=B885))</f>
        <v>4.4702120418303126</v>
      </c>
      <c r="F885" s="61">
        <f t="shared" si="79"/>
        <v>-4.0694563417251413</v>
      </c>
      <c r="G885" s="61">
        <f t="shared" si="80"/>
        <v>13.811391825596109</v>
      </c>
      <c r="H885" s="61">
        <f t="shared" si="78"/>
        <v>-0.64224419671152255</v>
      </c>
      <c r="I885" s="28" t="str">
        <f t="shared" si="81"/>
        <v>Normal</v>
      </c>
      <c r="J885" s="49">
        <f t="shared" si="82"/>
        <v>2</v>
      </c>
      <c r="K885" s="49" t="e">
        <f t="shared" si="83"/>
        <v>#N/A</v>
      </c>
    </row>
    <row r="886" spans="1:11">
      <c r="A886" s="74">
        <v>40583</v>
      </c>
      <c r="B886" s="75">
        <v>5</v>
      </c>
      <c r="C886" s="73">
        <v>7</v>
      </c>
      <c r="D886" s="72" cm="1">
        <f t="array" ref="D886">AVERAGE(_xlfn._xlws.FILTER(C:C,B:B=B886))</f>
        <v>4.2051282051282053</v>
      </c>
      <c r="E886" s="61" cm="1">
        <f t="array" ref="E886">_xlfn.STDEV.S(_xlfn._xlws.FILTER(C:C,B:B=B886))</f>
        <v>2.5358429220352288</v>
      </c>
      <c r="F886" s="61">
        <f t="shared" si="79"/>
        <v>-0.86655763894225224</v>
      </c>
      <c r="G886" s="61">
        <f t="shared" si="80"/>
        <v>9.2768140491986628</v>
      </c>
      <c r="H886" s="61">
        <f t="shared" si="78"/>
        <v>1.1021470496400751</v>
      </c>
      <c r="I886" s="28" t="str">
        <f t="shared" si="81"/>
        <v>Normal</v>
      </c>
      <c r="J886" s="49">
        <f t="shared" si="82"/>
        <v>7</v>
      </c>
      <c r="K886" s="49" t="e">
        <f t="shared" si="83"/>
        <v>#N/A</v>
      </c>
    </row>
    <row r="887" spans="1:11">
      <c r="A887" s="74">
        <v>40583</v>
      </c>
      <c r="B887" s="75">
        <v>6</v>
      </c>
      <c r="C887" s="73">
        <v>43</v>
      </c>
      <c r="D887" s="72" cm="1">
        <f t="array" ref="D887">AVERAGE(_xlfn._xlws.FILTER(C:C,B:B=B887))</f>
        <v>19.571428571428573</v>
      </c>
      <c r="E887" s="61" cm="1">
        <f t="array" ref="E887">_xlfn.STDEV.S(_xlfn._xlws.FILTER(C:C,B:B=B887))</f>
        <v>14.202615453298934</v>
      </c>
      <c r="F887" s="61">
        <f t="shared" si="79"/>
        <v>-8.8338023351692954</v>
      </c>
      <c r="G887" s="61">
        <f t="shared" si="80"/>
        <v>47.976659478026441</v>
      </c>
      <c r="H887" s="61">
        <f t="shared" si="78"/>
        <v>1.6495955625644656</v>
      </c>
      <c r="I887" s="28" t="str">
        <f t="shared" si="81"/>
        <v>Normal</v>
      </c>
      <c r="J887" s="49">
        <f t="shared" si="82"/>
        <v>43</v>
      </c>
      <c r="K887" s="49" t="e">
        <f t="shared" si="83"/>
        <v>#N/A</v>
      </c>
    </row>
    <row r="888" spans="1:11">
      <c r="A888" s="74">
        <v>40583</v>
      </c>
      <c r="B888" s="75">
        <v>7</v>
      </c>
      <c r="C888" s="73">
        <v>99</v>
      </c>
      <c r="D888" s="72" cm="1">
        <f t="array" ref="D888">AVERAGE(_xlfn._xlws.FILTER(C:C,B:B=B888))</f>
        <v>54.395348837209305</v>
      </c>
      <c r="E888" s="61" cm="1">
        <f t="array" ref="E888">_xlfn.STDEV.S(_xlfn._xlws.FILTER(C:C,B:B=B888))</f>
        <v>39.112864486352777</v>
      </c>
      <c r="F888" s="61">
        <f t="shared" si="79"/>
        <v>-23.830380135496249</v>
      </c>
      <c r="G888" s="61">
        <f t="shared" si="80"/>
        <v>132.62107780991485</v>
      </c>
      <c r="H888" s="61">
        <f t="shared" si="78"/>
        <v>1.1404087056409307</v>
      </c>
      <c r="I888" s="28" t="str">
        <f t="shared" si="81"/>
        <v>Normal</v>
      </c>
      <c r="J888" s="49">
        <f t="shared" si="82"/>
        <v>99</v>
      </c>
      <c r="K888" s="49" t="e">
        <f t="shared" si="83"/>
        <v>#N/A</v>
      </c>
    </row>
    <row r="889" spans="1:11">
      <c r="A889" s="74">
        <v>40583</v>
      </c>
      <c r="B889" s="75">
        <v>8</v>
      </c>
      <c r="C889" s="73">
        <v>199</v>
      </c>
      <c r="D889" s="72" cm="1">
        <f t="array" ref="D889">AVERAGE(_xlfn._xlws.FILTER(C:C,B:B=B889))</f>
        <v>128.28571428571428</v>
      </c>
      <c r="E889" s="61" cm="1">
        <f t="array" ref="E889">_xlfn.STDEV.S(_xlfn._xlws.FILTER(C:C,B:B=B889))</f>
        <v>88.551565717048547</v>
      </c>
      <c r="F889" s="61">
        <f t="shared" si="79"/>
        <v>-48.817417148382816</v>
      </c>
      <c r="G889" s="61">
        <f t="shared" si="80"/>
        <v>305.38884571981134</v>
      </c>
      <c r="H889" s="61">
        <f t="shared" si="78"/>
        <v>0.79856618165556992</v>
      </c>
      <c r="I889" s="28" t="str">
        <f t="shared" si="81"/>
        <v>Normal</v>
      </c>
      <c r="J889" s="49">
        <f t="shared" si="82"/>
        <v>199</v>
      </c>
      <c r="K889" s="49" t="e">
        <f t="shared" si="83"/>
        <v>#N/A</v>
      </c>
    </row>
    <row r="890" spans="1:11">
      <c r="A890" s="74">
        <v>40583</v>
      </c>
      <c r="B890" s="75">
        <v>9</v>
      </c>
      <c r="C890" s="73">
        <v>123</v>
      </c>
      <c r="D890" s="72" cm="1">
        <f t="array" ref="D890">AVERAGE(_xlfn._xlws.FILTER(C:C,B:B=B890))</f>
        <v>87.428571428571431</v>
      </c>
      <c r="E890" s="61" cm="1">
        <f t="array" ref="E890">_xlfn.STDEV.S(_xlfn._xlws.FILTER(C:C,B:B=B890))</f>
        <v>45.93852884078624</v>
      </c>
      <c r="F890" s="61">
        <f t="shared" si="79"/>
        <v>-4.4484862530010503</v>
      </c>
      <c r="G890" s="61">
        <f t="shared" si="80"/>
        <v>179.30562911014391</v>
      </c>
      <c r="H890" s="61">
        <f t="shared" si="78"/>
        <v>0.77432668108968028</v>
      </c>
      <c r="I890" s="28" t="str">
        <f t="shared" si="81"/>
        <v>Normal</v>
      </c>
      <c r="J890" s="49">
        <f t="shared" si="82"/>
        <v>123</v>
      </c>
      <c r="K890" s="49" t="e">
        <f t="shared" si="83"/>
        <v>#N/A</v>
      </c>
    </row>
    <row r="891" spans="1:11">
      <c r="A891" s="74">
        <v>40583</v>
      </c>
      <c r="B891" s="75">
        <v>10</v>
      </c>
      <c r="C891" s="73">
        <v>59</v>
      </c>
      <c r="D891" s="72" cm="1">
        <f t="array" ref="D891">AVERAGE(_xlfn._xlws.FILTER(C:C,B:B=B891))</f>
        <v>53.642857142857146</v>
      </c>
      <c r="E891" s="61" cm="1">
        <f t="array" ref="E891">_xlfn.STDEV.S(_xlfn._xlws.FILTER(C:C,B:B=B891))</f>
        <v>15.395313554536934</v>
      </c>
      <c r="F891" s="61">
        <f t="shared" si="79"/>
        <v>22.852230033783279</v>
      </c>
      <c r="G891" s="61">
        <f t="shared" si="80"/>
        <v>84.43348425193102</v>
      </c>
      <c r="H891" s="61">
        <f t="shared" si="78"/>
        <v>0.34797231236411724</v>
      </c>
      <c r="I891" s="28" t="str">
        <f t="shared" si="81"/>
        <v>Normal</v>
      </c>
      <c r="J891" s="49">
        <f t="shared" si="82"/>
        <v>59</v>
      </c>
      <c r="K891" s="49" t="e">
        <f t="shared" si="83"/>
        <v>#N/A</v>
      </c>
    </row>
    <row r="892" spans="1:11">
      <c r="A892" s="74">
        <v>40583</v>
      </c>
      <c r="B892" s="75">
        <v>11</v>
      </c>
      <c r="C892" s="73">
        <v>41</v>
      </c>
      <c r="D892" s="72" cm="1">
        <f t="array" ref="D892">AVERAGE(_xlfn._xlws.FILTER(C:C,B:B=B892))</f>
        <v>59.38095238095238</v>
      </c>
      <c r="E892" s="61" cm="1">
        <f t="array" ref="E892">_xlfn.STDEV.S(_xlfn._xlws.FILTER(C:C,B:B=B892))</f>
        <v>20.89573696860419</v>
      </c>
      <c r="F892" s="61">
        <f t="shared" si="79"/>
        <v>17.589478443743999</v>
      </c>
      <c r="G892" s="61">
        <f t="shared" si="80"/>
        <v>101.17242631816076</v>
      </c>
      <c r="H892" s="61">
        <f t="shared" si="78"/>
        <v>-0.87965083062491312</v>
      </c>
      <c r="I892" s="28" t="str">
        <f t="shared" si="81"/>
        <v>Normal</v>
      </c>
      <c r="J892" s="49">
        <f t="shared" si="82"/>
        <v>41</v>
      </c>
      <c r="K892" s="49" t="e">
        <f t="shared" si="83"/>
        <v>#N/A</v>
      </c>
    </row>
    <row r="893" spans="1:11">
      <c r="A893" s="74">
        <v>40583</v>
      </c>
      <c r="B893" s="75">
        <v>12</v>
      </c>
      <c r="C893" s="73">
        <v>61</v>
      </c>
      <c r="D893" s="72" cm="1">
        <f t="array" ref="D893">AVERAGE(_xlfn._xlws.FILTER(C:C,B:B=B893))</f>
        <v>76.348837209302332</v>
      </c>
      <c r="E893" s="61" cm="1">
        <f t="array" ref="E893">_xlfn.STDEV.S(_xlfn._xlws.FILTER(C:C,B:B=B893))</f>
        <v>29.034366927857054</v>
      </c>
      <c r="F893" s="61">
        <f t="shared" si="79"/>
        <v>18.280103353588224</v>
      </c>
      <c r="G893" s="61">
        <f t="shared" si="80"/>
        <v>134.41757106501643</v>
      </c>
      <c r="H893" s="61">
        <f t="shared" si="78"/>
        <v>-0.52864377058539802</v>
      </c>
      <c r="I893" s="28" t="str">
        <f t="shared" si="81"/>
        <v>Normal</v>
      </c>
      <c r="J893" s="49">
        <f t="shared" si="82"/>
        <v>61</v>
      </c>
      <c r="K893" s="49" t="e">
        <f t="shared" si="83"/>
        <v>#N/A</v>
      </c>
    </row>
    <row r="894" spans="1:11">
      <c r="A894" s="74">
        <v>40583</v>
      </c>
      <c r="B894" s="75">
        <v>13</v>
      </c>
      <c r="C894" s="73">
        <v>69</v>
      </c>
      <c r="D894" s="72" cm="1">
        <f t="array" ref="D894">AVERAGE(_xlfn._xlws.FILTER(C:C,B:B=B894))</f>
        <v>78.511627906976742</v>
      </c>
      <c r="E894" s="61" cm="1">
        <f t="array" ref="E894">_xlfn.STDEV.S(_xlfn._xlws.FILTER(C:C,B:B=B894))</f>
        <v>30.072430098825187</v>
      </c>
      <c r="F894" s="61">
        <f t="shared" si="79"/>
        <v>18.366767709326368</v>
      </c>
      <c r="G894" s="61">
        <f t="shared" si="80"/>
        <v>138.6564881046271</v>
      </c>
      <c r="H894" s="61">
        <f t="shared" si="78"/>
        <v>-0.31629063150930142</v>
      </c>
      <c r="I894" s="28" t="str">
        <f t="shared" si="81"/>
        <v>Normal</v>
      </c>
      <c r="J894" s="49">
        <f t="shared" si="82"/>
        <v>69</v>
      </c>
      <c r="K894" s="49" t="e">
        <f t="shared" si="83"/>
        <v>#N/A</v>
      </c>
    </row>
    <row r="895" spans="1:11">
      <c r="A895" s="74">
        <v>40583</v>
      </c>
      <c r="B895" s="75">
        <v>14</v>
      </c>
      <c r="C895" s="73">
        <v>58</v>
      </c>
      <c r="D895" s="72" cm="1">
        <f t="array" ref="D895">AVERAGE(_xlfn._xlws.FILTER(C:C,B:B=B895))</f>
        <v>74.418604651162795</v>
      </c>
      <c r="E895" s="61" cm="1">
        <f t="array" ref="E895">_xlfn.STDEV.S(_xlfn._xlws.FILTER(C:C,B:B=B895))</f>
        <v>30.30576918056515</v>
      </c>
      <c r="F895" s="61">
        <f t="shared" si="79"/>
        <v>13.807066290032495</v>
      </c>
      <c r="G895" s="61">
        <f t="shared" si="80"/>
        <v>135.03014301229308</v>
      </c>
      <c r="H895" s="61">
        <f t="shared" si="78"/>
        <v>-0.54176498716593924</v>
      </c>
      <c r="I895" s="28" t="str">
        <f t="shared" si="81"/>
        <v>Normal</v>
      </c>
      <c r="J895" s="49">
        <f t="shared" si="82"/>
        <v>58</v>
      </c>
      <c r="K895" s="49" t="e">
        <f t="shared" si="83"/>
        <v>#N/A</v>
      </c>
    </row>
    <row r="896" spans="1:11">
      <c r="A896" s="74">
        <v>40583</v>
      </c>
      <c r="B896" s="75">
        <v>15</v>
      </c>
      <c r="C896" s="73">
        <v>64</v>
      </c>
      <c r="D896" s="72" cm="1">
        <f t="array" ref="D896">AVERAGE(_xlfn._xlws.FILTER(C:C,B:B=B896))</f>
        <v>77.95348837209302</v>
      </c>
      <c r="E896" s="61" cm="1">
        <f t="array" ref="E896">_xlfn.STDEV.S(_xlfn._xlws.FILTER(C:C,B:B=B896))</f>
        <v>34.481156681772681</v>
      </c>
      <c r="F896" s="61">
        <f t="shared" si="79"/>
        <v>8.9911750085476569</v>
      </c>
      <c r="G896" s="61">
        <f t="shared" si="80"/>
        <v>146.91580173563838</v>
      </c>
      <c r="H896" s="61">
        <f t="shared" si="78"/>
        <v>-0.40466996223096741</v>
      </c>
      <c r="I896" s="28" t="str">
        <f t="shared" si="81"/>
        <v>Normal</v>
      </c>
      <c r="J896" s="49">
        <f t="shared" si="82"/>
        <v>64</v>
      </c>
      <c r="K896" s="49" t="e">
        <f t="shared" si="83"/>
        <v>#N/A</v>
      </c>
    </row>
    <row r="897" spans="1:11">
      <c r="A897" s="74">
        <v>40583</v>
      </c>
      <c r="B897" s="75">
        <v>16</v>
      </c>
      <c r="C897" s="73">
        <v>79</v>
      </c>
      <c r="D897" s="72" cm="1">
        <f t="array" ref="D897">AVERAGE(_xlfn._xlws.FILTER(C:C,B:B=B897))</f>
        <v>89.272727272727266</v>
      </c>
      <c r="E897" s="61" cm="1">
        <f t="array" ref="E897">_xlfn.STDEV.S(_xlfn._xlws.FILTER(C:C,B:B=B897))</f>
        <v>25.461657115880758</v>
      </c>
      <c r="F897" s="61">
        <f t="shared" si="79"/>
        <v>38.34941304096575</v>
      </c>
      <c r="G897" s="61">
        <f t="shared" si="80"/>
        <v>140.19604150448879</v>
      </c>
      <c r="H897" s="61">
        <f t="shared" si="78"/>
        <v>-0.40345870757642227</v>
      </c>
      <c r="I897" s="28" t="str">
        <f t="shared" si="81"/>
        <v>Normal</v>
      </c>
      <c r="J897" s="49">
        <f t="shared" si="82"/>
        <v>79</v>
      </c>
      <c r="K897" s="49" t="e">
        <f t="shared" si="83"/>
        <v>#N/A</v>
      </c>
    </row>
    <row r="898" spans="1:11">
      <c r="A898" s="74">
        <v>40583</v>
      </c>
      <c r="B898" s="75">
        <v>17</v>
      </c>
      <c r="C898" s="73">
        <v>166</v>
      </c>
      <c r="D898" s="72" cm="1">
        <f t="array" ref="D898">AVERAGE(_xlfn._xlws.FILTER(C:C,B:B=B898))</f>
        <v>140.20454545454547</v>
      </c>
      <c r="E898" s="61" cm="1">
        <f t="array" ref="E898">_xlfn.STDEV.S(_xlfn._xlws.FILTER(C:C,B:B=B898))</f>
        <v>54.067391000084555</v>
      </c>
      <c r="F898" s="61">
        <f t="shared" si="79"/>
        <v>32.069763454376357</v>
      </c>
      <c r="G898" s="61">
        <f t="shared" si="80"/>
        <v>248.33932745471458</v>
      </c>
      <c r="H898" s="61">
        <f t="shared" si="78"/>
        <v>0.47709819298316414</v>
      </c>
      <c r="I898" s="28" t="str">
        <f t="shared" si="81"/>
        <v>Normal</v>
      </c>
      <c r="J898" s="49">
        <f t="shared" si="82"/>
        <v>166</v>
      </c>
      <c r="K898" s="49" t="e">
        <f t="shared" si="83"/>
        <v>#N/A</v>
      </c>
    </row>
    <row r="899" spans="1:11">
      <c r="A899" s="74">
        <v>40583</v>
      </c>
      <c r="B899" s="75">
        <v>18</v>
      </c>
      <c r="C899" s="73">
        <v>170</v>
      </c>
      <c r="D899" s="72" cm="1">
        <f t="array" ref="D899">AVERAGE(_xlfn._xlws.FILTER(C:C,B:B=B899))</f>
        <v>122.86046511627907</v>
      </c>
      <c r="E899" s="61" cm="1">
        <f t="array" ref="E899">_xlfn.STDEV.S(_xlfn._xlws.FILTER(C:C,B:B=B899))</f>
        <v>48.613432101949932</v>
      </c>
      <c r="F899" s="61">
        <f t="shared" si="79"/>
        <v>25.633600912379208</v>
      </c>
      <c r="G899" s="61">
        <f t="shared" si="80"/>
        <v>220.08732932017892</v>
      </c>
      <c r="H899" s="61">
        <f t="shared" si="78"/>
        <v>0.96968127625430733</v>
      </c>
      <c r="I899" s="28" t="str">
        <f t="shared" si="81"/>
        <v>Normal</v>
      </c>
      <c r="J899" s="49">
        <f t="shared" si="82"/>
        <v>170</v>
      </c>
      <c r="K899" s="49" t="e">
        <f t="shared" si="83"/>
        <v>#N/A</v>
      </c>
    </row>
    <row r="900" spans="1:11">
      <c r="A900" s="74">
        <v>40583</v>
      </c>
      <c r="B900" s="75">
        <v>19</v>
      </c>
      <c r="C900" s="73">
        <v>88</v>
      </c>
      <c r="D900" s="72" cm="1">
        <f t="array" ref="D900">AVERAGE(_xlfn._xlws.FILTER(C:C,B:B=B900))</f>
        <v>85.139534883720927</v>
      </c>
      <c r="E900" s="61" cm="1">
        <f t="array" ref="E900">_xlfn.STDEV.S(_xlfn._xlws.FILTER(C:C,B:B=B900))</f>
        <v>31.690904054294752</v>
      </c>
      <c r="F900" s="61">
        <f t="shared" si="79"/>
        <v>21.757726775131424</v>
      </c>
      <c r="G900" s="61">
        <f t="shared" si="80"/>
        <v>148.52134299231042</v>
      </c>
      <c r="H900" s="61">
        <f t="shared" si="78"/>
        <v>9.0261392082042008E-2</v>
      </c>
      <c r="I900" s="28" t="str">
        <f t="shared" si="81"/>
        <v>Normal</v>
      </c>
      <c r="J900" s="49">
        <f t="shared" si="82"/>
        <v>88</v>
      </c>
      <c r="K900" s="49" t="e">
        <f t="shared" si="83"/>
        <v>#N/A</v>
      </c>
    </row>
    <row r="901" spans="1:11">
      <c r="A901" s="74">
        <v>40583</v>
      </c>
      <c r="B901" s="75">
        <v>20</v>
      </c>
      <c r="C901" s="73">
        <v>84</v>
      </c>
      <c r="D901" s="72" cm="1">
        <f t="array" ref="D901">AVERAGE(_xlfn._xlws.FILTER(C:C,B:B=B901))</f>
        <v>61.767441860465119</v>
      </c>
      <c r="E901" s="61" cm="1">
        <f t="array" ref="E901">_xlfn.STDEV.S(_xlfn._xlws.FILTER(C:C,B:B=B901))</f>
        <v>24.632380169685593</v>
      </c>
      <c r="F901" s="61">
        <f t="shared" si="79"/>
        <v>12.502681521093933</v>
      </c>
      <c r="G901" s="61">
        <f t="shared" si="80"/>
        <v>111.03220219983631</v>
      </c>
      <c r="H901" s="61">
        <f t="shared" ref="H901:H964" si="84">(C901-D901)/E901</f>
        <v>0.90257449691751235</v>
      </c>
      <c r="I901" s="28" t="str">
        <f t="shared" si="81"/>
        <v>Normal</v>
      </c>
      <c r="J901" s="49">
        <f t="shared" si="82"/>
        <v>84</v>
      </c>
      <c r="K901" s="49" t="e">
        <f t="shared" si="83"/>
        <v>#N/A</v>
      </c>
    </row>
    <row r="902" spans="1:11">
      <c r="A902" s="74">
        <v>40583</v>
      </c>
      <c r="B902" s="75">
        <v>21</v>
      </c>
      <c r="C902" s="73">
        <v>83</v>
      </c>
      <c r="D902" s="72" cm="1">
        <f t="array" ref="D902">AVERAGE(_xlfn._xlws.FILTER(C:C,B:B=B902))</f>
        <v>46.418604651162788</v>
      </c>
      <c r="E902" s="61" cm="1">
        <f t="array" ref="E902">_xlfn.STDEV.S(_xlfn._xlws.FILTER(C:C,B:B=B902))</f>
        <v>14.656759464719496</v>
      </c>
      <c r="F902" s="61">
        <f t="shared" ref="F902:F965" si="85">D902-(2*E902)</f>
        <v>17.105085721723796</v>
      </c>
      <c r="G902" s="61">
        <f t="shared" ref="G902:G965" si="86">D902+(2*E902)</f>
        <v>75.73212358060178</v>
      </c>
      <c r="H902" s="61">
        <f t="shared" si="84"/>
        <v>2.4958719856795653</v>
      </c>
      <c r="I902" s="28" t="str">
        <f t="shared" ref="I902:I965" si="87">IF(H902&gt;=2,"High Anomaly",IF(H902&lt;=-2,"Low Anomaly","Normal"))</f>
        <v>High Anomaly</v>
      </c>
      <c r="J902" s="49" t="e">
        <f t="shared" ref="J902:J965" si="88">IF(I902="Normal",C902,NA())</f>
        <v>#N/A</v>
      </c>
      <c r="K902" s="49">
        <f t="shared" ref="K902:K965" si="89">IF(I902&lt;&gt;"Normal",C902,NA())</f>
        <v>83</v>
      </c>
    </row>
    <row r="903" spans="1:11">
      <c r="A903" s="74">
        <v>40583</v>
      </c>
      <c r="B903" s="75">
        <v>22</v>
      </c>
      <c r="C903" s="73">
        <v>46</v>
      </c>
      <c r="D903" s="72" cm="1">
        <f t="array" ref="D903">AVERAGE(_xlfn._xlws.FILTER(C:C,B:B=B903))</f>
        <v>35.069767441860463</v>
      </c>
      <c r="E903" s="61" cm="1">
        <f t="array" ref="E903">_xlfn.STDEV.S(_xlfn._xlws.FILTER(C:C,B:B=B903))</f>
        <v>11.95506537162667</v>
      </c>
      <c r="F903" s="61">
        <f t="shared" si="85"/>
        <v>11.159636698607123</v>
      </c>
      <c r="G903" s="61">
        <f t="shared" si="86"/>
        <v>58.979898185113804</v>
      </c>
      <c r="H903" s="61">
        <f t="shared" si="84"/>
        <v>0.91427626854141664</v>
      </c>
      <c r="I903" s="28" t="str">
        <f t="shared" si="87"/>
        <v>Normal</v>
      </c>
      <c r="J903" s="49">
        <f t="shared" si="88"/>
        <v>46</v>
      </c>
      <c r="K903" s="49" t="e">
        <f t="shared" si="89"/>
        <v>#N/A</v>
      </c>
    </row>
    <row r="904" spans="1:11">
      <c r="A904" s="74">
        <v>40583</v>
      </c>
      <c r="B904" s="75">
        <v>23</v>
      </c>
      <c r="C904" s="73">
        <v>37</v>
      </c>
      <c r="D904" s="72" cm="1">
        <f t="array" ref="D904">AVERAGE(_xlfn._xlws.FILTER(C:C,B:B=B904))</f>
        <v>25.186046511627907</v>
      </c>
      <c r="E904" s="61" cm="1">
        <f t="array" ref="E904">_xlfn.STDEV.S(_xlfn._xlws.FILTER(C:C,B:B=B904))</f>
        <v>11.751911321656188</v>
      </c>
      <c r="F904" s="61">
        <f t="shared" si="85"/>
        <v>1.6822238683155319</v>
      </c>
      <c r="G904" s="61">
        <f t="shared" si="86"/>
        <v>48.689869154940283</v>
      </c>
      <c r="H904" s="61">
        <f t="shared" si="84"/>
        <v>1.0052793256362966</v>
      </c>
      <c r="I904" s="28" t="str">
        <f t="shared" si="87"/>
        <v>Normal</v>
      </c>
      <c r="J904" s="49">
        <f t="shared" si="88"/>
        <v>37</v>
      </c>
      <c r="K904" s="49" t="e">
        <f t="shared" si="89"/>
        <v>#N/A</v>
      </c>
    </row>
    <row r="905" spans="1:11">
      <c r="A905" s="74">
        <v>40584</v>
      </c>
      <c r="B905" s="75">
        <v>0</v>
      </c>
      <c r="C905" s="73">
        <v>16</v>
      </c>
      <c r="D905" s="72" cm="1">
        <f t="array" ref="D905">AVERAGE(_xlfn._xlws.FILTER(C:C,B:B=B905))</f>
        <v>16.348837209302324</v>
      </c>
      <c r="E905" s="61" cm="1">
        <f t="array" ref="E905">_xlfn.STDEV.S(_xlfn._xlws.FILTER(C:C,B:B=B905))</f>
        <v>10.44232167427621</v>
      </c>
      <c r="F905" s="61">
        <f t="shared" si="85"/>
        <v>-4.535806139250095</v>
      </c>
      <c r="G905" s="61">
        <f t="shared" si="86"/>
        <v>37.233480557854747</v>
      </c>
      <c r="H905" s="61">
        <f t="shared" si="84"/>
        <v>-3.3406096860782969E-2</v>
      </c>
      <c r="I905" s="28" t="str">
        <f t="shared" si="87"/>
        <v>Normal</v>
      </c>
      <c r="J905" s="49">
        <f t="shared" si="88"/>
        <v>16</v>
      </c>
      <c r="K905" s="49" t="e">
        <f t="shared" si="89"/>
        <v>#N/A</v>
      </c>
    </row>
    <row r="906" spans="1:11">
      <c r="A906" s="74">
        <v>40584</v>
      </c>
      <c r="B906" s="75">
        <v>1</v>
      </c>
      <c r="C906" s="73">
        <v>7</v>
      </c>
      <c r="D906" s="72" cm="1">
        <f t="array" ref="D906">AVERAGE(_xlfn._xlws.FILTER(C:C,B:B=B906))</f>
        <v>10.697674418604651</v>
      </c>
      <c r="E906" s="61" cm="1">
        <f t="array" ref="E906">_xlfn.STDEV.S(_xlfn._xlws.FILTER(C:C,B:B=B906))</f>
        <v>10.060613641515801</v>
      </c>
      <c r="F906" s="61">
        <f t="shared" si="85"/>
        <v>-9.4235528644269504</v>
      </c>
      <c r="G906" s="61">
        <f t="shared" si="86"/>
        <v>30.81890170163625</v>
      </c>
      <c r="H906" s="61">
        <f t="shared" si="84"/>
        <v>-0.36753965020045576</v>
      </c>
      <c r="I906" s="28" t="str">
        <f t="shared" si="87"/>
        <v>Normal</v>
      </c>
      <c r="J906" s="49">
        <f t="shared" si="88"/>
        <v>7</v>
      </c>
      <c r="K906" s="49" t="e">
        <f t="shared" si="89"/>
        <v>#N/A</v>
      </c>
    </row>
    <row r="907" spans="1:11">
      <c r="A907" s="74">
        <v>40584</v>
      </c>
      <c r="B907" s="75">
        <v>2</v>
      </c>
      <c r="C907" s="73">
        <v>3</v>
      </c>
      <c r="D907" s="72" cm="1">
        <f t="array" ref="D907">AVERAGE(_xlfn._xlws.FILTER(C:C,B:B=B907))</f>
        <v>7.1707317073170733</v>
      </c>
      <c r="E907" s="61" cm="1">
        <f t="array" ref="E907">_xlfn.STDEV.S(_xlfn._xlws.FILTER(C:C,B:B=B907))</f>
        <v>7.3685223723090854</v>
      </c>
      <c r="F907" s="61">
        <f t="shared" si="85"/>
        <v>-7.5663130373010974</v>
      </c>
      <c r="G907" s="61">
        <f t="shared" si="86"/>
        <v>21.907776451935245</v>
      </c>
      <c r="H907" s="61">
        <f t="shared" si="84"/>
        <v>-0.56602009148953492</v>
      </c>
      <c r="I907" s="28" t="str">
        <f t="shared" si="87"/>
        <v>Normal</v>
      </c>
      <c r="J907" s="49">
        <f t="shared" si="88"/>
        <v>3</v>
      </c>
      <c r="K907" s="49" t="e">
        <f t="shared" si="89"/>
        <v>#N/A</v>
      </c>
    </row>
    <row r="908" spans="1:11">
      <c r="A908" s="74">
        <v>40584</v>
      </c>
      <c r="B908" s="75">
        <v>4</v>
      </c>
      <c r="C908" s="73">
        <v>1</v>
      </c>
      <c r="D908" s="72" cm="1">
        <f t="array" ref="D908">AVERAGE(_xlfn._xlws.FILTER(C:C,B:B=B908))</f>
        <v>2.15625</v>
      </c>
      <c r="E908" s="61" cm="1">
        <f t="array" ref="E908">_xlfn.STDEV.S(_xlfn._xlws.FILTER(C:C,B:B=B908))</f>
        <v>1.5263148747143209</v>
      </c>
      <c r="F908" s="61">
        <f t="shared" si="85"/>
        <v>-0.89637974942864185</v>
      </c>
      <c r="G908" s="61">
        <f t="shared" si="86"/>
        <v>5.2088797494286414</v>
      </c>
      <c r="H908" s="61">
        <f t="shared" si="84"/>
        <v>-0.75754355746314428</v>
      </c>
      <c r="I908" s="28" t="str">
        <f t="shared" si="87"/>
        <v>Normal</v>
      </c>
      <c r="J908" s="49">
        <f t="shared" si="88"/>
        <v>1</v>
      </c>
      <c r="K908" s="49" t="e">
        <f t="shared" si="89"/>
        <v>#N/A</v>
      </c>
    </row>
    <row r="909" spans="1:11">
      <c r="A909" s="74">
        <v>40584</v>
      </c>
      <c r="B909" s="75">
        <v>5</v>
      </c>
      <c r="C909" s="73">
        <v>6</v>
      </c>
      <c r="D909" s="72" cm="1">
        <f t="array" ref="D909">AVERAGE(_xlfn._xlws.FILTER(C:C,B:B=B909))</f>
        <v>4.2051282051282053</v>
      </c>
      <c r="E909" s="61" cm="1">
        <f t="array" ref="E909">_xlfn.STDEV.S(_xlfn._xlws.FILTER(C:C,B:B=B909))</f>
        <v>2.5358429220352288</v>
      </c>
      <c r="F909" s="61">
        <f t="shared" si="85"/>
        <v>-0.86655763894225224</v>
      </c>
      <c r="G909" s="61">
        <f t="shared" si="86"/>
        <v>9.2768140491986628</v>
      </c>
      <c r="H909" s="61">
        <f t="shared" si="84"/>
        <v>0.70780085756702082</v>
      </c>
      <c r="I909" s="28" t="str">
        <f t="shared" si="87"/>
        <v>Normal</v>
      </c>
      <c r="J909" s="49">
        <f t="shared" si="88"/>
        <v>6</v>
      </c>
      <c r="K909" s="49" t="e">
        <f t="shared" si="89"/>
        <v>#N/A</v>
      </c>
    </row>
    <row r="910" spans="1:11">
      <c r="A910" s="74">
        <v>40584</v>
      </c>
      <c r="B910" s="75">
        <v>6</v>
      </c>
      <c r="C910" s="73">
        <v>26</v>
      </c>
      <c r="D910" s="72" cm="1">
        <f t="array" ref="D910">AVERAGE(_xlfn._xlws.FILTER(C:C,B:B=B910))</f>
        <v>19.571428571428573</v>
      </c>
      <c r="E910" s="61" cm="1">
        <f t="array" ref="E910">_xlfn.STDEV.S(_xlfn._xlws.FILTER(C:C,B:B=B910))</f>
        <v>14.202615453298934</v>
      </c>
      <c r="F910" s="61">
        <f t="shared" si="85"/>
        <v>-8.8338023351692954</v>
      </c>
      <c r="G910" s="61">
        <f t="shared" si="86"/>
        <v>47.976659478026441</v>
      </c>
      <c r="H910" s="61">
        <f t="shared" si="84"/>
        <v>0.45263292875244471</v>
      </c>
      <c r="I910" s="28" t="str">
        <f t="shared" si="87"/>
        <v>Normal</v>
      </c>
      <c r="J910" s="49">
        <f t="shared" si="88"/>
        <v>26</v>
      </c>
      <c r="K910" s="49" t="e">
        <f t="shared" si="89"/>
        <v>#N/A</v>
      </c>
    </row>
    <row r="911" spans="1:11">
      <c r="A911" s="74">
        <v>40584</v>
      </c>
      <c r="B911" s="75">
        <v>7</v>
      </c>
      <c r="C911" s="73">
        <v>99</v>
      </c>
      <c r="D911" s="72" cm="1">
        <f t="array" ref="D911">AVERAGE(_xlfn._xlws.FILTER(C:C,B:B=B911))</f>
        <v>54.395348837209305</v>
      </c>
      <c r="E911" s="61" cm="1">
        <f t="array" ref="E911">_xlfn.STDEV.S(_xlfn._xlws.FILTER(C:C,B:B=B911))</f>
        <v>39.112864486352777</v>
      </c>
      <c r="F911" s="61">
        <f t="shared" si="85"/>
        <v>-23.830380135496249</v>
      </c>
      <c r="G911" s="61">
        <f t="shared" si="86"/>
        <v>132.62107780991485</v>
      </c>
      <c r="H911" s="61">
        <f t="shared" si="84"/>
        <v>1.1404087056409307</v>
      </c>
      <c r="I911" s="28" t="str">
        <f t="shared" si="87"/>
        <v>Normal</v>
      </c>
      <c r="J911" s="49">
        <f t="shared" si="88"/>
        <v>99</v>
      </c>
      <c r="K911" s="49" t="e">
        <f t="shared" si="89"/>
        <v>#N/A</v>
      </c>
    </row>
    <row r="912" spans="1:11">
      <c r="A912" s="74">
        <v>40584</v>
      </c>
      <c r="B912" s="75">
        <v>8</v>
      </c>
      <c r="C912" s="73">
        <v>178</v>
      </c>
      <c r="D912" s="72" cm="1">
        <f t="array" ref="D912">AVERAGE(_xlfn._xlws.FILTER(C:C,B:B=B912))</f>
        <v>128.28571428571428</v>
      </c>
      <c r="E912" s="61" cm="1">
        <f t="array" ref="E912">_xlfn.STDEV.S(_xlfn._xlws.FILTER(C:C,B:B=B912))</f>
        <v>88.551565717048547</v>
      </c>
      <c r="F912" s="61">
        <f t="shared" si="85"/>
        <v>-48.817417148382816</v>
      </c>
      <c r="G912" s="61">
        <f t="shared" si="86"/>
        <v>305.38884571981134</v>
      </c>
      <c r="H912" s="61">
        <f t="shared" si="84"/>
        <v>0.56141622467906738</v>
      </c>
      <c r="I912" s="28" t="str">
        <f t="shared" si="87"/>
        <v>Normal</v>
      </c>
      <c r="J912" s="49">
        <f t="shared" si="88"/>
        <v>178</v>
      </c>
      <c r="K912" s="49" t="e">
        <f t="shared" si="89"/>
        <v>#N/A</v>
      </c>
    </row>
    <row r="913" spans="1:11">
      <c r="A913" s="74">
        <v>40584</v>
      </c>
      <c r="B913" s="75">
        <v>9</v>
      </c>
      <c r="C913" s="73">
        <v>122</v>
      </c>
      <c r="D913" s="72" cm="1">
        <f t="array" ref="D913">AVERAGE(_xlfn._xlws.FILTER(C:C,B:B=B913))</f>
        <v>87.428571428571431</v>
      </c>
      <c r="E913" s="61" cm="1">
        <f t="array" ref="E913">_xlfn.STDEV.S(_xlfn._xlws.FILTER(C:C,B:B=B913))</f>
        <v>45.93852884078624</v>
      </c>
      <c r="F913" s="61">
        <f t="shared" si="85"/>
        <v>-4.4484862530010503</v>
      </c>
      <c r="G913" s="61">
        <f t="shared" si="86"/>
        <v>179.30562911014391</v>
      </c>
      <c r="H913" s="61">
        <f t="shared" si="84"/>
        <v>0.75255846113936808</v>
      </c>
      <c r="I913" s="28" t="str">
        <f t="shared" si="87"/>
        <v>Normal</v>
      </c>
      <c r="J913" s="49">
        <f t="shared" si="88"/>
        <v>122</v>
      </c>
      <c r="K913" s="49" t="e">
        <f t="shared" si="89"/>
        <v>#N/A</v>
      </c>
    </row>
    <row r="914" spans="1:11">
      <c r="A914" s="74">
        <v>40584</v>
      </c>
      <c r="B914" s="75">
        <v>10</v>
      </c>
      <c r="C914" s="73">
        <v>35</v>
      </c>
      <c r="D914" s="72" cm="1">
        <f t="array" ref="D914">AVERAGE(_xlfn._xlws.FILTER(C:C,B:B=B914))</f>
        <v>53.642857142857146</v>
      </c>
      <c r="E914" s="61" cm="1">
        <f t="array" ref="E914">_xlfn.STDEV.S(_xlfn._xlws.FILTER(C:C,B:B=B914))</f>
        <v>15.395313554536934</v>
      </c>
      <c r="F914" s="61">
        <f t="shared" si="85"/>
        <v>22.852230033783279</v>
      </c>
      <c r="G914" s="61">
        <f t="shared" si="86"/>
        <v>84.43348425193102</v>
      </c>
      <c r="H914" s="61">
        <f t="shared" si="84"/>
        <v>-1.2109436470271289</v>
      </c>
      <c r="I914" s="28" t="str">
        <f t="shared" si="87"/>
        <v>Normal</v>
      </c>
      <c r="J914" s="49">
        <f t="shared" si="88"/>
        <v>35</v>
      </c>
      <c r="K914" s="49" t="e">
        <f t="shared" si="89"/>
        <v>#N/A</v>
      </c>
    </row>
    <row r="915" spans="1:11">
      <c r="A915" s="74">
        <v>40584</v>
      </c>
      <c r="B915" s="75">
        <v>11</v>
      </c>
      <c r="C915" s="73">
        <v>45</v>
      </c>
      <c r="D915" s="72" cm="1">
        <f t="array" ref="D915">AVERAGE(_xlfn._xlws.FILTER(C:C,B:B=B915))</f>
        <v>59.38095238095238</v>
      </c>
      <c r="E915" s="61" cm="1">
        <f t="array" ref="E915">_xlfn.STDEV.S(_xlfn._xlws.FILTER(C:C,B:B=B915))</f>
        <v>20.89573696860419</v>
      </c>
      <c r="F915" s="61">
        <f t="shared" si="85"/>
        <v>17.589478443743999</v>
      </c>
      <c r="G915" s="61">
        <f t="shared" si="86"/>
        <v>101.17242631816076</v>
      </c>
      <c r="H915" s="61">
        <f t="shared" si="84"/>
        <v>-0.68822422499669367</v>
      </c>
      <c r="I915" s="28" t="str">
        <f t="shared" si="87"/>
        <v>Normal</v>
      </c>
      <c r="J915" s="49">
        <f t="shared" si="88"/>
        <v>45</v>
      </c>
      <c r="K915" s="49" t="e">
        <f t="shared" si="89"/>
        <v>#N/A</v>
      </c>
    </row>
    <row r="916" spans="1:11">
      <c r="A916" s="74">
        <v>40584</v>
      </c>
      <c r="B916" s="75">
        <v>12</v>
      </c>
      <c r="C916" s="73">
        <v>69</v>
      </c>
      <c r="D916" s="72" cm="1">
        <f t="array" ref="D916">AVERAGE(_xlfn._xlws.FILTER(C:C,B:B=B916))</f>
        <v>76.348837209302332</v>
      </c>
      <c r="E916" s="61" cm="1">
        <f t="array" ref="E916">_xlfn.STDEV.S(_xlfn._xlws.FILTER(C:C,B:B=B916))</f>
        <v>29.034366927857054</v>
      </c>
      <c r="F916" s="61">
        <f t="shared" si="85"/>
        <v>18.280103353588224</v>
      </c>
      <c r="G916" s="61">
        <f t="shared" si="86"/>
        <v>134.41757106501643</v>
      </c>
      <c r="H916" s="61">
        <f t="shared" si="84"/>
        <v>-0.25310822955300882</v>
      </c>
      <c r="I916" s="28" t="str">
        <f t="shared" si="87"/>
        <v>Normal</v>
      </c>
      <c r="J916" s="49">
        <f t="shared" si="88"/>
        <v>69</v>
      </c>
      <c r="K916" s="49" t="e">
        <f t="shared" si="89"/>
        <v>#N/A</v>
      </c>
    </row>
    <row r="917" spans="1:11">
      <c r="A917" s="74">
        <v>40584</v>
      </c>
      <c r="B917" s="75">
        <v>13</v>
      </c>
      <c r="C917" s="73">
        <v>62</v>
      </c>
      <c r="D917" s="72" cm="1">
        <f t="array" ref="D917">AVERAGE(_xlfn._xlws.FILTER(C:C,B:B=B917))</f>
        <v>78.511627906976742</v>
      </c>
      <c r="E917" s="61" cm="1">
        <f t="array" ref="E917">_xlfn.STDEV.S(_xlfn._xlws.FILTER(C:C,B:B=B917))</f>
        <v>30.072430098825187</v>
      </c>
      <c r="F917" s="61">
        <f t="shared" si="85"/>
        <v>18.366767709326368</v>
      </c>
      <c r="G917" s="61">
        <f t="shared" si="86"/>
        <v>138.6564881046271</v>
      </c>
      <c r="H917" s="61">
        <f t="shared" si="84"/>
        <v>-0.54906197645868959</v>
      </c>
      <c r="I917" s="28" t="str">
        <f t="shared" si="87"/>
        <v>Normal</v>
      </c>
      <c r="J917" s="49">
        <f t="shared" si="88"/>
        <v>62</v>
      </c>
      <c r="K917" s="49" t="e">
        <f t="shared" si="89"/>
        <v>#N/A</v>
      </c>
    </row>
    <row r="918" spans="1:11">
      <c r="A918" s="74">
        <v>40584</v>
      </c>
      <c r="B918" s="75">
        <v>14</v>
      </c>
      <c r="C918" s="73">
        <v>48</v>
      </c>
      <c r="D918" s="72" cm="1">
        <f t="array" ref="D918">AVERAGE(_xlfn._xlws.FILTER(C:C,B:B=B918))</f>
        <v>74.418604651162795</v>
      </c>
      <c r="E918" s="61" cm="1">
        <f t="array" ref="E918">_xlfn.STDEV.S(_xlfn._xlws.FILTER(C:C,B:B=B918))</f>
        <v>30.30576918056515</v>
      </c>
      <c r="F918" s="61">
        <f t="shared" si="85"/>
        <v>13.807066290032495</v>
      </c>
      <c r="G918" s="61">
        <f t="shared" si="86"/>
        <v>135.03014301229308</v>
      </c>
      <c r="H918" s="61">
        <f t="shared" si="84"/>
        <v>-0.87173516348513724</v>
      </c>
      <c r="I918" s="28" t="str">
        <f t="shared" si="87"/>
        <v>Normal</v>
      </c>
      <c r="J918" s="49">
        <f t="shared" si="88"/>
        <v>48</v>
      </c>
      <c r="K918" s="49" t="e">
        <f t="shared" si="89"/>
        <v>#N/A</v>
      </c>
    </row>
    <row r="919" spans="1:11">
      <c r="A919" s="74">
        <v>40584</v>
      </c>
      <c r="B919" s="75">
        <v>15</v>
      </c>
      <c r="C919" s="73">
        <v>50</v>
      </c>
      <c r="D919" s="72" cm="1">
        <f t="array" ref="D919">AVERAGE(_xlfn._xlws.FILTER(C:C,B:B=B919))</f>
        <v>77.95348837209302</v>
      </c>
      <c r="E919" s="61" cm="1">
        <f t="array" ref="E919">_xlfn.STDEV.S(_xlfn._xlws.FILTER(C:C,B:B=B919))</f>
        <v>34.481156681772681</v>
      </c>
      <c r="F919" s="61">
        <f t="shared" si="85"/>
        <v>8.9911750085476569</v>
      </c>
      <c r="G919" s="61">
        <f t="shared" si="86"/>
        <v>146.91580173563838</v>
      </c>
      <c r="H919" s="61">
        <f t="shared" si="84"/>
        <v>-0.81068882433603806</v>
      </c>
      <c r="I919" s="28" t="str">
        <f t="shared" si="87"/>
        <v>Normal</v>
      </c>
      <c r="J919" s="49">
        <f t="shared" si="88"/>
        <v>50</v>
      </c>
      <c r="K919" s="49" t="e">
        <f t="shared" si="89"/>
        <v>#N/A</v>
      </c>
    </row>
    <row r="920" spans="1:11">
      <c r="A920" s="74">
        <v>40584</v>
      </c>
      <c r="B920" s="75">
        <v>16</v>
      </c>
      <c r="C920" s="73">
        <v>80</v>
      </c>
      <c r="D920" s="72" cm="1">
        <f t="array" ref="D920">AVERAGE(_xlfn._xlws.FILTER(C:C,B:B=B920))</f>
        <v>89.272727272727266</v>
      </c>
      <c r="E920" s="61" cm="1">
        <f t="array" ref="E920">_xlfn.STDEV.S(_xlfn._xlws.FILTER(C:C,B:B=B920))</f>
        <v>25.461657115880758</v>
      </c>
      <c r="F920" s="61">
        <f t="shared" si="85"/>
        <v>38.34941304096575</v>
      </c>
      <c r="G920" s="61">
        <f t="shared" si="86"/>
        <v>140.19604150448879</v>
      </c>
      <c r="H920" s="61">
        <f t="shared" si="84"/>
        <v>-0.36418396613092985</v>
      </c>
      <c r="I920" s="28" t="str">
        <f t="shared" si="87"/>
        <v>Normal</v>
      </c>
      <c r="J920" s="49">
        <f t="shared" si="88"/>
        <v>80</v>
      </c>
      <c r="K920" s="49" t="e">
        <f t="shared" si="89"/>
        <v>#N/A</v>
      </c>
    </row>
    <row r="921" spans="1:11">
      <c r="A921" s="74">
        <v>40584</v>
      </c>
      <c r="B921" s="75">
        <v>17</v>
      </c>
      <c r="C921" s="73">
        <v>165</v>
      </c>
      <c r="D921" s="72" cm="1">
        <f t="array" ref="D921">AVERAGE(_xlfn._xlws.FILTER(C:C,B:B=B921))</f>
        <v>140.20454545454547</v>
      </c>
      <c r="E921" s="61" cm="1">
        <f t="array" ref="E921">_xlfn.STDEV.S(_xlfn._xlws.FILTER(C:C,B:B=B921))</f>
        <v>54.067391000084555</v>
      </c>
      <c r="F921" s="61">
        <f t="shared" si="85"/>
        <v>32.069763454376357</v>
      </c>
      <c r="G921" s="61">
        <f t="shared" si="86"/>
        <v>248.33932745471458</v>
      </c>
      <c r="H921" s="61">
        <f t="shared" si="84"/>
        <v>0.45860275642698861</v>
      </c>
      <c r="I921" s="28" t="str">
        <f t="shared" si="87"/>
        <v>Normal</v>
      </c>
      <c r="J921" s="49">
        <f t="shared" si="88"/>
        <v>165</v>
      </c>
      <c r="K921" s="49" t="e">
        <f t="shared" si="89"/>
        <v>#N/A</v>
      </c>
    </row>
    <row r="922" spans="1:11">
      <c r="A922" s="74">
        <v>40584</v>
      </c>
      <c r="B922" s="75">
        <v>18</v>
      </c>
      <c r="C922" s="73">
        <v>160</v>
      </c>
      <c r="D922" s="72" cm="1">
        <f t="array" ref="D922">AVERAGE(_xlfn._xlws.FILTER(C:C,B:B=B922))</f>
        <v>122.86046511627907</v>
      </c>
      <c r="E922" s="61" cm="1">
        <f t="array" ref="E922">_xlfn.STDEV.S(_xlfn._xlws.FILTER(C:C,B:B=B922))</f>
        <v>48.613432101949932</v>
      </c>
      <c r="F922" s="61">
        <f t="shared" si="85"/>
        <v>25.633600912379208</v>
      </c>
      <c r="G922" s="61">
        <f t="shared" si="86"/>
        <v>220.08732932017892</v>
      </c>
      <c r="H922" s="61">
        <f t="shared" si="84"/>
        <v>0.76397681212537194</v>
      </c>
      <c r="I922" s="28" t="str">
        <f t="shared" si="87"/>
        <v>Normal</v>
      </c>
      <c r="J922" s="49">
        <f t="shared" si="88"/>
        <v>160</v>
      </c>
      <c r="K922" s="49" t="e">
        <f t="shared" si="89"/>
        <v>#N/A</v>
      </c>
    </row>
    <row r="923" spans="1:11">
      <c r="A923" s="74">
        <v>40584</v>
      </c>
      <c r="B923" s="75">
        <v>19</v>
      </c>
      <c r="C923" s="73">
        <v>112</v>
      </c>
      <c r="D923" s="72" cm="1">
        <f t="array" ref="D923">AVERAGE(_xlfn._xlws.FILTER(C:C,B:B=B923))</f>
        <v>85.139534883720927</v>
      </c>
      <c r="E923" s="61" cm="1">
        <f t="array" ref="E923">_xlfn.STDEV.S(_xlfn._xlws.FILTER(C:C,B:B=B923))</f>
        <v>31.690904054294752</v>
      </c>
      <c r="F923" s="61">
        <f t="shared" si="85"/>
        <v>21.757726775131424</v>
      </c>
      <c r="G923" s="61">
        <f t="shared" si="86"/>
        <v>148.52134299231042</v>
      </c>
      <c r="H923" s="61">
        <f t="shared" si="84"/>
        <v>0.84757648662405205</v>
      </c>
      <c r="I923" s="28" t="str">
        <f t="shared" si="87"/>
        <v>Normal</v>
      </c>
      <c r="J923" s="49">
        <f t="shared" si="88"/>
        <v>112</v>
      </c>
      <c r="K923" s="49" t="e">
        <f t="shared" si="89"/>
        <v>#N/A</v>
      </c>
    </row>
    <row r="924" spans="1:11">
      <c r="A924" s="74">
        <v>40584</v>
      </c>
      <c r="B924" s="75">
        <v>20</v>
      </c>
      <c r="C924" s="73">
        <v>97</v>
      </c>
      <c r="D924" s="72" cm="1">
        <f t="array" ref="D924">AVERAGE(_xlfn._xlws.FILTER(C:C,B:B=B924))</f>
        <v>61.767441860465119</v>
      </c>
      <c r="E924" s="61" cm="1">
        <f t="array" ref="E924">_xlfn.STDEV.S(_xlfn._xlws.FILTER(C:C,B:B=B924))</f>
        <v>24.632380169685593</v>
      </c>
      <c r="F924" s="61">
        <f t="shared" si="85"/>
        <v>12.502681521093933</v>
      </c>
      <c r="G924" s="61">
        <f t="shared" si="86"/>
        <v>111.03220219983631</v>
      </c>
      <c r="H924" s="61">
        <f t="shared" si="84"/>
        <v>1.4303351075627941</v>
      </c>
      <c r="I924" s="28" t="str">
        <f t="shared" si="87"/>
        <v>Normal</v>
      </c>
      <c r="J924" s="49">
        <f t="shared" si="88"/>
        <v>97</v>
      </c>
      <c r="K924" s="49" t="e">
        <f t="shared" si="89"/>
        <v>#N/A</v>
      </c>
    </row>
    <row r="925" spans="1:11">
      <c r="A925" s="74">
        <v>40584</v>
      </c>
      <c r="B925" s="75">
        <v>21</v>
      </c>
      <c r="C925" s="73">
        <v>72</v>
      </c>
      <c r="D925" s="72" cm="1">
        <f t="array" ref="D925">AVERAGE(_xlfn._xlws.FILTER(C:C,B:B=B925))</f>
        <v>46.418604651162788</v>
      </c>
      <c r="E925" s="61" cm="1">
        <f t="array" ref="E925">_xlfn.STDEV.S(_xlfn._xlws.FILTER(C:C,B:B=B925))</f>
        <v>14.656759464719496</v>
      </c>
      <c r="F925" s="61">
        <f t="shared" si="85"/>
        <v>17.105085721723796</v>
      </c>
      <c r="G925" s="61">
        <f t="shared" si="86"/>
        <v>75.73212358060178</v>
      </c>
      <c r="H925" s="61">
        <f t="shared" si="84"/>
        <v>1.7453650249507451</v>
      </c>
      <c r="I925" s="28" t="str">
        <f t="shared" si="87"/>
        <v>Normal</v>
      </c>
      <c r="J925" s="49">
        <f t="shared" si="88"/>
        <v>72</v>
      </c>
      <c r="K925" s="49" t="e">
        <f t="shared" si="89"/>
        <v>#N/A</v>
      </c>
    </row>
    <row r="926" spans="1:11">
      <c r="A926" s="74">
        <v>40584</v>
      </c>
      <c r="B926" s="75">
        <v>22</v>
      </c>
      <c r="C926" s="73">
        <v>51</v>
      </c>
      <c r="D926" s="72" cm="1">
        <f t="array" ref="D926">AVERAGE(_xlfn._xlws.FILTER(C:C,B:B=B926))</f>
        <v>35.069767441860463</v>
      </c>
      <c r="E926" s="61" cm="1">
        <f t="array" ref="E926">_xlfn.STDEV.S(_xlfn._xlws.FILTER(C:C,B:B=B926))</f>
        <v>11.95506537162667</v>
      </c>
      <c r="F926" s="61">
        <f t="shared" si="85"/>
        <v>11.159636698607123</v>
      </c>
      <c r="G926" s="61">
        <f t="shared" si="86"/>
        <v>58.979898185113804</v>
      </c>
      <c r="H926" s="61">
        <f t="shared" si="84"/>
        <v>1.3325090296827029</v>
      </c>
      <c r="I926" s="28" t="str">
        <f t="shared" si="87"/>
        <v>Normal</v>
      </c>
      <c r="J926" s="49">
        <f t="shared" si="88"/>
        <v>51</v>
      </c>
      <c r="K926" s="49" t="e">
        <f t="shared" si="89"/>
        <v>#N/A</v>
      </c>
    </row>
    <row r="927" spans="1:11">
      <c r="A927" s="74">
        <v>40584</v>
      </c>
      <c r="B927" s="75">
        <v>23</v>
      </c>
      <c r="C927" s="73">
        <v>34</v>
      </c>
      <c r="D927" s="72" cm="1">
        <f t="array" ref="D927">AVERAGE(_xlfn._xlws.FILTER(C:C,B:B=B927))</f>
        <v>25.186046511627907</v>
      </c>
      <c r="E927" s="61" cm="1">
        <f t="array" ref="E927">_xlfn.STDEV.S(_xlfn._xlws.FILTER(C:C,B:B=B927))</f>
        <v>11.751911321656188</v>
      </c>
      <c r="F927" s="61">
        <f t="shared" si="85"/>
        <v>1.6822238683155319</v>
      </c>
      <c r="G927" s="61">
        <f t="shared" si="86"/>
        <v>48.689869154940283</v>
      </c>
      <c r="H927" s="61">
        <f t="shared" si="84"/>
        <v>0.75000170160660717</v>
      </c>
      <c r="I927" s="28" t="str">
        <f t="shared" si="87"/>
        <v>Normal</v>
      </c>
      <c r="J927" s="49">
        <f t="shared" si="88"/>
        <v>34</v>
      </c>
      <c r="K927" s="49" t="e">
        <f t="shared" si="89"/>
        <v>#N/A</v>
      </c>
    </row>
    <row r="928" spans="1:11">
      <c r="A928" s="74">
        <v>40585</v>
      </c>
      <c r="B928" s="75">
        <v>0</v>
      </c>
      <c r="C928" s="73">
        <v>14</v>
      </c>
      <c r="D928" s="72" cm="1">
        <f t="array" ref="D928">AVERAGE(_xlfn._xlws.FILTER(C:C,B:B=B928))</f>
        <v>16.348837209302324</v>
      </c>
      <c r="E928" s="61" cm="1">
        <f t="array" ref="E928">_xlfn.STDEV.S(_xlfn._xlws.FILTER(C:C,B:B=B928))</f>
        <v>10.44232167427621</v>
      </c>
      <c r="F928" s="61">
        <f t="shared" si="85"/>
        <v>-4.535806139250095</v>
      </c>
      <c r="G928" s="61">
        <f t="shared" si="86"/>
        <v>37.233480557854747</v>
      </c>
      <c r="H928" s="61">
        <f t="shared" si="84"/>
        <v>-0.22493438552927261</v>
      </c>
      <c r="I928" s="28" t="str">
        <f t="shared" si="87"/>
        <v>Normal</v>
      </c>
      <c r="J928" s="49">
        <f t="shared" si="88"/>
        <v>14</v>
      </c>
      <c r="K928" s="49" t="e">
        <f t="shared" si="89"/>
        <v>#N/A</v>
      </c>
    </row>
    <row r="929" spans="1:11">
      <c r="A929" s="74">
        <v>40585</v>
      </c>
      <c r="B929" s="75">
        <v>1</v>
      </c>
      <c r="C929" s="73">
        <v>7</v>
      </c>
      <c r="D929" s="72" cm="1">
        <f t="array" ref="D929">AVERAGE(_xlfn._xlws.FILTER(C:C,B:B=B929))</f>
        <v>10.697674418604651</v>
      </c>
      <c r="E929" s="61" cm="1">
        <f t="array" ref="E929">_xlfn.STDEV.S(_xlfn._xlws.FILTER(C:C,B:B=B929))</f>
        <v>10.060613641515801</v>
      </c>
      <c r="F929" s="61">
        <f t="shared" si="85"/>
        <v>-9.4235528644269504</v>
      </c>
      <c r="G929" s="61">
        <f t="shared" si="86"/>
        <v>30.81890170163625</v>
      </c>
      <c r="H929" s="61">
        <f t="shared" si="84"/>
        <v>-0.36753965020045576</v>
      </c>
      <c r="I929" s="28" t="str">
        <f t="shared" si="87"/>
        <v>Normal</v>
      </c>
      <c r="J929" s="49">
        <f t="shared" si="88"/>
        <v>7</v>
      </c>
      <c r="K929" s="49" t="e">
        <f t="shared" si="89"/>
        <v>#N/A</v>
      </c>
    </row>
    <row r="930" spans="1:11">
      <c r="A930" s="74">
        <v>40585</v>
      </c>
      <c r="B930" s="75">
        <v>2</v>
      </c>
      <c r="C930" s="73">
        <v>3</v>
      </c>
      <c r="D930" s="72" cm="1">
        <f t="array" ref="D930">AVERAGE(_xlfn._xlws.FILTER(C:C,B:B=B930))</f>
        <v>7.1707317073170733</v>
      </c>
      <c r="E930" s="61" cm="1">
        <f t="array" ref="E930">_xlfn.STDEV.S(_xlfn._xlws.FILTER(C:C,B:B=B930))</f>
        <v>7.3685223723090854</v>
      </c>
      <c r="F930" s="61">
        <f t="shared" si="85"/>
        <v>-7.5663130373010974</v>
      </c>
      <c r="G930" s="61">
        <f t="shared" si="86"/>
        <v>21.907776451935245</v>
      </c>
      <c r="H930" s="61">
        <f t="shared" si="84"/>
        <v>-0.56602009148953492</v>
      </c>
      <c r="I930" s="28" t="str">
        <f t="shared" si="87"/>
        <v>Normal</v>
      </c>
      <c r="J930" s="49">
        <f t="shared" si="88"/>
        <v>3</v>
      </c>
      <c r="K930" s="49" t="e">
        <f t="shared" si="89"/>
        <v>#N/A</v>
      </c>
    </row>
    <row r="931" spans="1:11">
      <c r="A931" s="74">
        <v>40585</v>
      </c>
      <c r="B931" s="75">
        <v>5</v>
      </c>
      <c r="C931" s="73">
        <v>4</v>
      </c>
      <c r="D931" s="72" cm="1">
        <f t="array" ref="D931">AVERAGE(_xlfn._xlws.FILTER(C:C,B:B=B931))</f>
        <v>4.2051282051282053</v>
      </c>
      <c r="E931" s="61" cm="1">
        <f t="array" ref="E931">_xlfn.STDEV.S(_xlfn._xlws.FILTER(C:C,B:B=B931))</f>
        <v>2.5358429220352288</v>
      </c>
      <c r="F931" s="61">
        <f t="shared" si="85"/>
        <v>-0.86655763894225224</v>
      </c>
      <c r="G931" s="61">
        <f t="shared" si="86"/>
        <v>9.2768140491986628</v>
      </c>
      <c r="H931" s="61">
        <f t="shared" si="84"/>
        <v>-8.0891526579088158E-2</v>
      </c>
      <c r="I931" s="28" t="str">
        <f t="shared" si="87"/>
        <v>Normal</v>
      </c>
      <c r="J931" s="49">
        <f t="shared" si="88"/>
        <v>4</v>
      </c>
      <c r="K931" s="49" t="e">
        <f t="shared" si="89"/>
        <v>#N/A</v>
      </c>
    </row>
    <row r="932" spans="1:11">
      <c r="A932" s="74">
        <v>40585</v>
      </c>
      <c r="B932" s="75">
        <v>6</v>
      </c>
      <c r="C932" s="73">
        <v>24</v>
      </c>
      <c r="D932" s="72" cm="1">
        <f t="array" ref="D932">AVERAGE(_xlfn._xlws.FILTER(C:C,B:B=B932))</f>
        <v>19.571428571428573</v>
      </c>
      <c r="E932" s="61" cm="1">
        <f t="array" ref="E932">_xlfn.STDEV.S(_xlfn._xlws.FILTER(C:C,B:B=B932))</f>
        <v>14.202615453298934</v>
      </c>
      <c r="F932" s="61">
        <f t="shared" si="85"/>
        <v>-8.8338023351692954</v>
      </c>
      <c r="G932" s="61">
        <f t="shared" si="86"/>
        <v>47.976659478026441</v>
      </c>
      <c r="H932" s="61">
        <f t="shared" si="84"/>
        <v>0.31181379536279524</v>
      </c>
      <c r="I932" s="28" t="str">
        <f t="shared" si="87"/>
        <v>Normal</v>
      </c>
      <c r="J932" s="49">
        <f t="shared" si="88"/>
        <v>24</v>
      </c>
      <c r="K932" s="49" t="e">
        <f t="shared" si="89"/>
        <v>#N/A</v>
      </c>
    </row>
    <row r="933" spans="1:11">
      <c r="A933" s="74">
        <v>40585</v>
      </c>
      <c r="B933" s="75">
        <v>7</v>
      </c>
      <c r="C933" s="73">
        <v>74</v>
      </c>
      <c r="D933" s="72" cm="1">
        <f t="array" ref="D933">AVERAGE(_xlfn._xlws.FILTER(C:C,B:B=B933))</f>
        <v>54.395348837209305</v>
      </c>
      <c r="E933" s="61" cm="1">
        <f t="array" ref="E933">_xlfn.STDEV.S(_xlfn._xlws.FILTER(C:C,B:B=B933))</f>
        <v>39.112864486352777</v>
      </c>
      <c r="F933" s="61">
        <f t="shared" si="85"/>
        <v>-23.830380135496249</v>
      </c>
      <c r="G933" s="61">
        <f t="shared" si="86"/>
        <v>132.62107780991485</v>
      </c>
      <c r="H933" s="61">
        <f t="shared" si="84"/>
        <v>0.50123281483592519</v>
      </c>
      <c r="I933" s="28" t="str">
        <f t="shared" si="87"/>
        <v>Normal</v>
      </c>
      <c r="J933" s="49">
        <f t="shared" si="88"/>
        <v>74</v>
      </c>
      <c r="K933" s="49" t="e">
        <f t="shared" si="89"/>
        <v>#N/A</v>
      </c>
    </row>
    <row r="934" spans="1:11">
      <c r="A934" s="74">
        <v>40585</v>
      </c>
      <c r="B934" s="75">
        <v>8</v>
      </c>
      <c r="C934" s="73">
        <v>216</v>
      </c>
      <c r="D934" s="72" cm="1">
        <f t="array" ref="D934">AVERAGE(_xlfn._xlws.FILTER(C:C,B:B=B934))</f>
        <v>128.28571428571428</v>
      </c>
      <c r="E934" s="61" cm="1">
        <f t="array" ref="E934">_xlfn.STDEV.S(_xlfn._xlws.FILTER(C:C,B:B=B934))</f>
        <v>88.551565717048547</v>
      </c>
      <c r="F934" s="61">
        <f t="shared" si="85"/>
        <v>-48.817417148382816</v>
      </c>
      <c r="G934" s="61">
        <f t="shared" si="86"/>
        <v>305.38884571981134</v>
      </c>
      <c r="H934" s="61">
        <f t="shared" si="84"/>
        <v>0.99054471825559576</v>
      </c>
      <c r="I934" s="28" t="str">
        <f t="shared" si="87"/>
        <v>Normal</v>
      </c>
      <c r="J934" s="49">
        <f t="shared" si="88"/>
        <v>216</v>
      </c>
      <c r="K934" s="49" t="e">
        <f t="shared" si="89"/>
        <v>#N/A</v>
      </c>
    </row>
    <row r="935" spans="1:11">
      <c r="A935" s="74">
        <v>40585</v>
      </c>
      <c r="B935" s="75">
        <v>9</v>
      </c>
      <c r="C935" s="73">
        <v>140</v>
      </c>
      <c r="D935" s="72" cm="1">
        <f t="array" ref="D935">AVERAGE(_xlfn._xlws.FILTER(C:C,B:B=B935))</f>
        <v>87.428571428571431</v>
      </c>
      <c r="E935" s="61" cm="1">
        <f t="array" ref="E935">_xlfn.STDEV.S(_xlfn._xlws.FILTER(C:C,B:B=B935))</f>
        <v>45.93852884078624</v>
      </c>
      <c r="F935" s="61">
        <f t="shared" si="85"/>
        <v>-4.4484862530010503</v>
      </c>
      <c r="G935" s="61">
        <f t="shared" si="86"/>
        <v>179.30562911014391</v>
      </c>
      <c r="H935" s="61">
        <f t="shared" si="84"/>
        <v>1.1443864202449894</v>
      </c>
      <c r="I935" s="28" t="str">
        <f t="shared" si="87"/>
        <v>Normal</v>
      </c>
      <c r="J935" s="49">
        <f t="shared" si="88"/>
        <v>140</v>
      </c>
      <c r="K935" s="49" t="e">
        <f t="shared" si="89"/>
        <v>#N/A</v>
      </c>
    </row>
    <row r="936" spans="1:11">
      <c r="A936" s="74">
        <v>40585</v>
      </c>
      <c r="B936" s="75">
        <v>10</v>
      </c>
      <c r="C936" s="73">
        <v>44</v>
      </c>
      <c r="D936" s="72" cm="1">
        <f t="array" ref="D936">AVERAGE(_xlfn._xlws.FILTER(C:C,B:B=B936))</f>
        <v>53.642857142857146</v>
      </c>
      <c r="E936" s="61" cm="1">
        <f t="array" ref="E936">_xlfn.STDEV.S(_xlfn._xlws.FILTER(C:C,B:B=B936))</f>
        <v>15.395313554536934</v>
      </c>
      <c r="F936" s="61">
        <f t="shared" si="85"/>
        <v>22.852230033783279</v>
      </c>
      <c r="G936" s="61">
        <f t="shared" si="86"/>
        <v>84.43348425193102</v>
      </c>
      <c r="H936" s="61">
        <f t="shared" si="84"/>
        <v>-0.62635016225541162</v>
      </c>
      <c r="I936" s="28" t="str">
        <f t="shared" si="87"/>
        <v>Normal</v>
      </c>
      <c r="J936" s="49">
        <f t="shared" si="88"/>
        <v>44</v>
      </c>
      <c r="K936" s="49" t="e">
        <f t="shared" si="89"/>
        <v>#N/A</v>
      </c>
    </row>
    <row r="937" spans="1:11">
      <c r="A937" s="74">
        <v>40585</v>
      </c>
      <c r="B937" s="75">
        <v>11</v>
      </c>
      <c r="C937" s="73">
        <v>64</v>
      </c>
      <c r="D937" s="72" cm="1">
        <f t="array" ref="D937">AVERAGE(_xlfn._xlws.FILTER(C:C,B:B=B937))</f>
        <v>59.38095238095238</v>
      </c>
      <c r="E937" s="61" cm="1">
        <f t="array" ref="E937">_xlfn.STDEV.S(_xlfn._xlws.FILTER(C:C,B:B=B937))</f>
        <v>20.89573696860419</v>
      </c>
      <c r="F937" s="61">
        <f t="shared" si="85"/>
        <v>17.589478443743999</v>
      </c>
      <c r="G937" s="61">
        <f t="shared" si="86"/>
        <v>101.17242631816076</v>
      </c>
      <c r="H937" s="61">
        <f t="shared" si="84"/>
        <v>0.22105215173734871</v>
      </c>
      <c r="I937" s="28" t="str">
        <f t="shared" si="87"/>
        <v>Normal</v>
      </c>
      <c r="J937" s="49">
        <f t="shared" si="88"/>
        <v>64</v>
      </c>
      <c r="K937" s="49" t="e">
        <f t="shared" si="89"/>
        <v>#N/A</v>
      </c>
    </row>
    <row r="938" spans="1:11">
      <c r="A938" s="74">
        <v>40585</v>
      </c>
      <c r="B938" s="75">
        <v>12</v>
      </c>
      <c r="C938" s="73">
        <v>71</v>
      </c>
      <c r="D938" s="72" cm="1">
        <f t="array" ref="D938">AVERAGE(_xlfn._xlws.FILTER(C:C,B:B=B938))</f>
        <v>76.348837209302332</v>
      </c>
      <c r="E938" s="61" cm="1">
        <f t="array" ref="E938">_xlfn.STDEV.S(_xlfn._xlws.FILTER(C:C,B:B=B938))</f>
        <v>29.034366927857054</v>
      </c>
      <c r="F938" s="61">
        <f t="shared" si="85"/>
        <v>18.280103353588224</v>
      </c>
      <c r="G938" s="61">
        <f t="shared" si="86"/>
        <v>134.41757106501643</v>
      </c>
      <c r="H938" s="61">
        <f t="shared" si="84"/>
        <v>-0.18422434429491155</v>
      </c>
      <c r="I938" s="28" t="str">
        <f t="shared" si="87"/>
        <v>Normal</v>
      </c>
      <c r="J938" s="49">
        <f t="shared" si="88"/>
        <v>71</v>
      </c>
      <c r="K938" s="49" t="e">
        <f t="shared" si="89"/>
        <v>#N/A</v>
      </c>
    </row>
    <row r="939" spans="1:11">
      <c r="A939" s="74">
        <v>40585</v>
      </c>
      <c r="B939" s="75">
        <v>13</v>
      </c>
      <c r="C939" s="73">
        <v>110</v>
      </c>
      <c r="D939" s="72" cm="1">
        <f t="array" ref="D939">AVERAGE(_xlfn._xlws.FILTER(C:C,B:B=B939))</f>
        <v>78.511627906976742</v>
      </c>
      <c r="E939" s="61" cm="1">
        <f t="array" ref="E939">_xlfn.STDEV.S(_xlfn._xlws.FILTER(C:C,B:B=B939))</f>
        <v>30.072430098825187</v>
      </c>
      <c r="F939" s="61">
        <f t="shared" si="85"/>
        <v>18.366767709326368</v>
      </c>
      <c r="G939" s="61">
        <f t="shared" si="86"/>
        <v>138.6564881046271</v>
      </c>
      <c r="H939" s="61">
        <f t="shared" si="84"/>
        <v>1.0470843889085435</v>
      </c>
      <c r="I939" s="28" t="str">
        <f t="shared" si="87"/>
        <v>Normal</v>
      </c>
      <c r="J939" s="49">
        <f t="shared" si="88"/>
        <v>110</v>
      </c>
      <c r="K939" s="49" t="e">
        <f t="shared" si="89"/>
        <v>#N/A</v>
      </c>
    </row>
    <row r="940" spans="1:11">
      <c r="A940" s="74">
        <v>40585</v>
      </c>
      <c r="B940" s="75">
        <v>14</v>
      </c>
      <c r="C940" s="73">
        <v>84</v>
      </c>
      <c r="D940" s="72" cm="1">
        <f t="array" ref="D940">AVERAGE(_xlfn._xlws.FILTER(C:C,B:B=B940))</f>
        <v>74.418604651162795</v>
      </c>
      <c r="E940" s="61" cm="1">
        <f t="array" ref="E940">_xlfn.STDEV.S(_xlfn._xlws.FILTER(C:C,B:B=B940))</f>
        <v>30.30576918056515</v>
      </c>
      <c r="F940" s="61">
        <f t="shared" si="85"/>
        <v>13.807066290032495</v>
      </c>
      <c r="G940" s="61">
        <f t="shared" si="86"/>
        <v>135.03014301229308</v>
      </c>
      <c r="H940" s="61">
        <f t="shared" si="84"/>
        <v>0.31615747126397564</v>
      </c>
      <c r="I940" s="28" t="str">
        <f t="shared" si="87"/>
        <v>Normal</v>
      </c>
      <c r="J940" s="49">
        <f t="shared" si="88"/>
        <v>84</v>
      </c>
      <c r="K940" s="49" t="e">
        <f t="shared" si="89"/>
        <v>#N/A</v>
      </c>
    </row>
    <row r="941" spans="1:11">
      <c r="A941" s="74">
        <v>40585</v>
      </c>
      <c r="B941" s="75">
        <v>15</v>
      </c>
      <c r="C941" s="73">
        <v>74</v>
      </c>
      <c r="D941" s="72" cm="1">
        <f t="array" ref="D941">AVERAGE(_xlfn._xlws.FILTER(C:C,B:B=B941))</f>
        <v>77.95348837209302</v>
      </c>
      <c r="E941" s="61" cm="1">
        <f t="array" ref="E941">_xlfn.STDEV.S(_xlfn._xlws.FILTER(C:C,B:B=B941))</f>
        <v>34.481156681772681</v>
      </c>
      <c r="F941" s="61">
        <f t="shared" si="85"/>
        <v>8.9911750085476569</v>
      </c>
      <c r="G941" s="61">
        <f t="shared" si="86"/>
        <v>146.91580173563838</v>
      </c>
      <c r="H941" s="61">
        <f t="shared" si="84"/>
        <v>-0.11465648929877402</v>
      </c>
      <c r="I941" s="28" t="str">
        <f t="shared" si="87"/>
        <v>Normal</v>
      </c>
      <c r="J941" s="49">
        <f t="shared" si="88"/>
        <v>74</v>
      </c>
      <c r="K941" s="49" t="e">
        <f t="shared" si="89"/>
        <v>#N/A</v>
      </c>
    </row>
    <row r="942" spans="1:11">
      <c r="A942" s="74">
        <v>40585</v>
      </c>
      <c r="B942" s="75">
        <v>16</v>
      </c>
      <c r="C942" s="73">
        <v>125</v>
      </c>
      <c r="D942" s="72" cm="1">
        <f t="array" ref="D942">AVERAGE(_xlfn._xlws.FILTER(C:C,B:B=B942))</f>
        <v>89.272727272727266</v>
      </c>
      <c r="E942" s="61" cm="1">
        <f t="array" ref="E942">_xlfn.STDEV.S(_xlfn._xlws.FILTER(C:C,B:B=B942))</f>
        <v>25.461657115880758</v>
      </c>
      <c r="F942" s="61">
        <f t="shared" si="85"/>
        <v>38.34941304096575</v>
      </c>
      <c r="G942" s="61">
        <f t="shared" si="86"/>
        <v>140.19604150448879</v>
      </c>
      <c r="H942" s="61">
        <f t="shared" si="84"/>
        <v>1.4031793989162309</v>
      </c>
      <c r="I942" s="28" t="str">
        <f t="shared" si="87"/>
        <v>Normal</v>
      </c>
      <c r="J942" s="49">
        <f t="shared" si="88"/>
        <v>125</v>
      </c>
      <c r="K942" s="49" t="e">
        <f t="shared" si="89"/>
        <v>#N/A</v>
      </c>
    </row>
    <row r="943" spans="1:11">
      <c r="A943" s="74">
        <v>40585</v>
      </c>
      <c r="B943" s="75">
        <v>17</v>
      </c>
      <c r="C943" s="73">
        <v>211</v>
      </c>
      <c r="D943" s="72" cm="1">
        <f t="array" ref="D943">AVERAGE(_xlfn._xlws.FILTER(C:C,B:B=B943))</f>
        <v>140.20454545454547</v>
      </c>
      <c r="E943" s="61" cm="1">
        <f t="array" ref="E943">_xlfn.STDEV.S(_xlfn._xlws.FILTER(C:C,B:B=B943))</f>
        <v>54.067391000084555</v>
      </c>
      <c r="F943" s="61">
        <f t="shared" si="85"/>
        <v>32.069763454376357</v>
      </c>
      <c r="G943" s="61">
        <f t="shared" si="86"/>
        <v>248.33932745471458</v>
      </c>
      <c r="H943" s="61">
        <f t="shared" si="84"/>
        <v>1.3093928380110631</v>
      </c>
      <c r="I943" s="28" t="str">
        <f t="shared" si="87"/>
        <v>Normal</v>
      </c>
      <c r="J943" s="49">
        <f t="shared" si="88"/>
        <v>211</v>
      </c>
      <c r="K943" s="49" t="e">
        <f t="shared" si="89"/>
        <v>#N/A</v>
      </c>
    </row>
    <row r="944" spans="1:11">
      <c r="A944" s="74">
        <v>40585</v>
      </c>
      <c r="B944" s="75">
        <v>18</v>
      </c>
      <c r="C944" s="73">
        <v>174</v>
      </c>
      <c r="D944" s="72" cm="1">
        <f t="array" ref="D944">AVERAGE(_xlfn._xlws.FILTER(C:C,B:B=B944))</f>
        <v>122.86046511627907</v>
      </c>
      <c r="E944" s="61" cm="1">
        <f t="array" ref="E944">_xlfn.STDEV.S(_xlfn._xlws.FILTER(C:C,B:B=B944))</f>
        <v>48.613432101949932</v>
      </c>
      <c r="F944" s="61">
        <f t="shared" si="85"/>
        <v>25.633600912379208</v>
      </c>
      <c r="G944" s="61">
        <f t="shared" si="86"/>
        <v>220.08732932017892</v>
      </c>
      <c r="H944" s="61">
        <f t="shared" si="84"/>
        <v>1.0519630619058815</v>
      </c>
      <c r="I944" s="28" t="str">
        <f t="shared" si="87"/>
        <v>Normal</v>
      </c>
      <c r="J944" s="49">
        <f t="shared" si="88"/>
        <v>174</v>
      </c>
      <c r="K944" s="49" t="e">
        <f t="shared" si="89"/>
        <v>#N/A</v>
      </c>
    </row>
    <row r="945" spans="1:11">
      <c r="A945" s="74">
        <v>40585</v>
      </c>
      <c r="B945" s="75">
        <v>19</v>
      </c>
      <c r="C945" s="73">
        <v>101</v>
      </c>
      <c r="D945" s="72" cm="1">
        <f t="array" ref="D945">AVERAGE(_xlfn._xlws.FILTER(C:C,B:B=B945))</f>
        <v>85.139534883720927</v>
      </c>
      <c r="E945" s="61" cm="1">
        <f t="array" ref="E945">_xlfn.STDEV.S(_xlfn._xlws.FILTER(C:C,B:B=B945))</f>
        <v>31.690904054294752</v>
      </c>
      <c r="F945" s="61">
        <f t="shared" si="85"/>
        <v>21.757726775131424</v>
      </c>
      <c r="G945" s="61">
        <f t="shared" si="86"/>
        <v>148.52134299231042</v>
      </c>
      <c r="H945" s="61">
        <f t="shared" si="84"/>
        <v>0.50047373495896408</v>
      </c>
      <c r="I945" s="28" t="str">
        <f t="shared" si="87"/>
        <v>Normal</v>
      </c>
      <c r="J945" s="49">
        <f t="shared" si="88"/>
        <v>101</v>
      </c>
      <c r="K945" s="49" t="e">
        <f t="shared" si="89"/>
        <v>#N/A</v>
      </c>
    </row>
    <row r="946" spans="1:11">
      <c r="A946" s="74">
        <v>40585</v>
      </c>
      <c r="B946" s="75">
        <v>20</v>
      </c>
      <c r="C946" s="73">
        <v>63</v>
      </c>
      <c r="D946" s="72" cm="1">
        <f t="array" ref="D946">AVERAGE(_xlfn._xlws.FILTER(C:C,B:B=B946))</f>
        <v>61.767441860465119</v>
      </c>
      <c r="E946" s="61" cm="1">
        <f t="array" ref="E946">_xlfn.STDEV.S(_xlfn._xlws.FILTER(C:C,B:B=B946))</f>
        <v>24.632380169685593</v>
      </c>
      <c r="F946" s="61">
        <f t="shared" si="85"/>
        <v>12.502681521093933</v>
      </c>
      <c r="G946" s="61">
        <f t="shared" si="86"/>
        <v>111.03220219983631</v>
      </c>
      <c r="H946" s="61">
        <f t="shared" si="84"/>
        <v>5.0038125875133933E-2</v>
      </c>
      <c r="I946" s="28" t="str">
        <f t="shared" si="87"/>
        <v>Normal</v>
      </c>
      <c r="J946" s="49">
        <f t="shared" si="88"/>
        <v>63</v>
      </c>
      <c r="K946" s="49" t="e">
        <f t="shared" si="89"/>
        <v>#N/A</v>
      </c>
    </row>
    <row r="947" spans="1:11">
      <c r="A947" s="74">
        <v>40585</v>
      </c>
      <c r="B947" s="75">
        <v>21</v>
      </c>
      <c r="C947" s="73">
        <v>47</v>
      </c>
      <c r="D947" s="72" cm="1">
        <f t="array" ref="D947">AVERAGE(_xlfn._xlws.FILTER(C:C,B:B=B947))</f>
        <v>46.418604651162788</v>
      </c>
      <c r="E947" s="61" cm="1">
        <f t="array" ref="E947">_xlfn.STDEV.S(_xlfn._xlws.FILTER(C:C,B:B=B947))</f>
        <v>14.656759464719496</v>
      </c>
      <c r="F947" s="61">
        <f t="shared" si="85"/>
        <v>17.105085721723796</v>
      </c>
      <c r="G947" s="61">
        <f t="shared" si="86"/>
        <v>75.73212358060178</v>
      </c>
      <c r="H947" s="61">
        <f t="shared" si="84"/>
        <v>3.966738693069894E-2</v>
      </c>
      <c r="I947" s="28" t="str">
        <f t="shared" si="87"/>
        <v>Normal</v>
      </c>
      <c r="J947" s="49">
        <f t="shared" si="88"/>
        <v>47</v>
      </c>
      <c r="K947" s="49" t="e">
        <f t="shared" si="89"/>
        <v>#N/A</v>
      </c>
    </row>
    <row r="948" spans="1:11">
      <c r="A948" s="74">
        <v>40585</v>
      </c>
      <c r="B948" s="75">
        <v>22</v>
      </c>
      <c r="C948" s="73">
        <v>43</v>
      </c>
      <c r="D948" s="72" cm="1">
        <f t="array" ref="D948">AVERAGE(_xlfn._xlws.FILTER(C:C,B:B=B948))</f>
        <v>35.069767441860463</v>
      </c>
      <c r="E948" s="61" cm="1">
        <f t="array" ref="E948">_xlfn.STDEV.S(_xlfn._xlws.FILTER(C:C,B:B=B948))</f>
        <v>11.95506537162667</v>
      </c>
      <c r="F948" s="61">
        <f t="shared" si="85"/>
        <v>11.159636698607123</v>
      </c>
      <c r="G948" s="61">
        <f t="shared" si="86"/>
        <v>58.979898185113804</v>
      </c>
      <c r="H948" s="61">
        <f t="shared" si="84"/>
        <v>0.66333661185664483</v>
      </c>
      <c r="I948" s="28" t="str">
        <f t="shared" si="87"/>
        <v>Normal</v>
      </c>
      <c r="J948" s="49">
        <f t="shared" si="88"/>
        <v>43</v>
      </c>
      <c r="K948" s="49" t="e">
        <f t="shared" si="89"/>
        <v>#N/A</v>
      </c>
    </row>
    <row r="949" spans="1:11">
      <c r="A949" s="74">
        <v>40585</v>
      </c>
      <c r="B949" s="75">
        <v>23</v>
      </c>
      <c r="C949" s="73">
        <v>53</v>
      </c>
      <c r="D949" s="72" cm="1">
        <f t="array" ref="D949">AVERAGE(_xlfn._xlws.FILTER(C:C,B:B=B949))</f>
        <v>25.186046511627907</v>
      </c>
      <c r="E949" s="61" cm="1">
        <f t="array" ref="E949">_xlfn.STDEV.S(_xlfn._xlws.FILTER(C:C,B:B=B949))</f>
        <v>11.751911321656188</v>
      </c>
      <c r="F949" s="61">
        <f t="shared" si="85"/>
        <v>1.6822238683155319</v>
      </c>
      <c r="G949" s="61">
        <f t="shared" si="86"/>
        <v>48.689869154940283</v>
      </c>
      <c r="H949" s="61">
        <f t="shared" si="84"/>
        <v>2.3667599871279741</v>
      </c>
      <c r="I949" s="28" t="str">
        <f t="shared" si="87"/>
        <v>High Anomaly</v>
      </c>
      <c r="J949" s="49" t="e">
        <f t="shared" si="88"/>
        <v>#N/A</v>
      </c>
      <c r="K949" s="49">
        <f t="shared" si="89"/>
        <v>53</v>
      </c>
    </row>
    <row r="950" spans="1:11">
      <c r="A950" s="74">
        <v>40586</v>
      </c>
      <c r="B950" s="75">
        <v>0</v>
      </c>
      <c r="C950" s="73">
        <v>30</v>
      </c>
      <c r="D950" s="72" cm="1">
        <f t="array" ref="D950">AVERAGE(_xlfn._xlws.FILTER(C:C,B:B=B950))</f>
        <v>16.348837209302324</v>
      </c>
      <c r="E950" s="61" cm="1">
        <f t="array" ref="E950">_xlfn.STDEV.S(_xlfn._xlws.FILTER(C:C,B:B=B950))</f>
        <v>10.44232167427621</v>
      </c>
      <c r="F950" s="61">
        <f t="shared" si="85"/>
        <v>-4.535806139250095</v>
      </c>
      <c r="G950" s="61">
        <f t="shared" si="86"/>
        <v>37.233480557854747</v>
      </c>
      <c r="H950" s="61">
        <f t="shared" si="84"/>
        <v>1.3072919238186445</v>
      </c>
      <c r="I950" s="28" t="str">
        <f t="shared" si="87"/>
        <v>Normal</v>
      </c>
      <c r="J950" s="49">
        <f t="shared" si="88"/>
        <v>30</v>
      </c>
      <c r="K950" s="49" t="e">
        <f t="shared" si="89"/>
        <v>#N/A</v>
      </c>
    </row>
    <row r="951" spans="1:11">
      <c r="A951" s="74">
        <v>40586</v>
      </c>
      <c r="B951" s="75">
        <v>1</v>
      </c>
      <c r="C951" s="73">
        <v>24</v>
      </c>
      <c r="D951" s="72" cm="1">
        <f t="array" ref="D951">AVERAGE(_xlfn._xlws.FILTER(C:C,B:B=B951))</f>
        <v>10.697674418604651</v>
      </c>
      <c r="E951" s="61" cm="1">
        <f t="array" ref="E951">_xlfn.STDEV.S(_xlfn._xlws.FILTER(C:C,B:B=B951))</f>
        <v>10.060613641515801</v>
      </c>
      <c r="F951" s="61">
        <f t="shared" si="85"/>
        <v>-9.4235528644269504</v>
      </c>
      <c r="G951" s="61">
        <f t="shared" si="86"/>
        <v>30.81890170163625</v>
      </c>
      <c r="H951" s="61">
        <f t="shared" si="84"/>
        <v>1.3222181126708221</v>
      </c>
      <c r="I951" s="28" t="str">
        <f t="shared" si="87"/>
        <v>Normal</v>
      </c>
      <c r="J951" s="49">
        <f t="shared" si="88"/>
        <v>24</v>
      </c>
      <c r="K951" s="49" t="e">
        <f t="shared" si="89"/>
        <v>#N/A</v>
      </c>
    </row>
    <row r="952" spans="1:11">
      <c r="A952" s="74">
        <v>40586</v>
      </c>
      <c r="B952" s="75">
        <v>2</v>
      </c>
      <c r="C952" s="73">
        <v>15</v>
      </c>
      <c r="D952" s="72" cm="1">
        <f t="array" ref="D952">AVERAGE(_xlfn._xlws.FILTER(C:C,B:B=B952))</f>
        <v>7.1707317073170733</v>
      </c>
      <c r="E952" s="61" cm="1">
        <f t="array" ref="E952">_xlfn.STDEV.S(_xlfn._xlws.FILTER(C:C,B:B=B952))</f>
        <v>7.3685223723090854</v>
      </c>
      <c r="F952" s="61">
        <f t="shared" si="85"/>
        <v>-7.5663130373010974</v>
      </c>
      <c r="G952" s="61">
        <f t="shared" si="86"/>
        <v>21.907776451935245</v>
      </c>
      <c r="H952" s="61">
        <f t="shared" si="84"/>
        <v>1.0625289436733374</v>
      </c>
      <c r="I952" s="28" t="str">
        <f t="shared" si="87"/>
        <v>Normal</v>
      </c>
      <c r="J952" s="49">
        <f t="shared" si="88"/>
        <v>15</v>
      </c>
      <c r="K952" s="49" t="e">
        <f t="shared" si="89"/>
        <v>#N/A</v>
      </c>
    </row>
    <row r="953" spans="1:11">
      <c r="A953" s="74">
        <v>40586</v>
      </c>
      <c r="B953" s="75">
        <v>3</v>
      </c>
      <c r="C953" s="73">
        <v>10</v>
      </c>
      <c r="D953" s="72" cm="1">
        <f t="array" ref="D953">AVERAGE(_xlfn._xlws.FILTER(C:C,B:B=B953))</f>
        <v>4.870967741935484</v>
      </c>
      <c r="E953" s="61" cm="1">
        <f t="array" ref="E953">_xlfn.STDEV.S(_xlfn._xlws.FILTER(C:C,B:B=B953))</f>
        <v>4.4702120418303126</v>
      </c>
      <c r="F953" s="61">
        <f t="shared" si="85"/>
        <v>-4.0694563417251413</v>
      </c>
      <c r="G953" s="61">
        <f t="shared" si="86"/>
        <v>13.811391825596109</v>
      </c>
      <c r="H953" s="61">
        <f t="shared" si="84"/>
        <v>1.1473800817655289</v>
      </c>
      <c r="I953" s="28" t="str">
        <f t="shared" si="87"/>
        <v>Normal</v>
      </c>
      <c r="J953" s="49">
        <f t="shared" si="88"/>
        <v>10</v>
      </c>
      <c r="K953" s="49" t="e">
        <f t="shared" si="89"/>
        <v>#N/A</v>
      </c>
    </row>
    <row r="954" spans="1:11">
      <c r="A954" s="74">
        <v>40586</v>
      </c>
      <c r="B954" s="75">
        <v>4</v>
      </c>
      <c r="C954" s="73">
        <v>4</v>
      </c>
      <c r="D954" s="72" cm="1">
        <f t="array" ref="D954">AVERAGE(_xlfn._xlws.FILTER(C:C,B:B=B954))</f>
        <v>2.15625</v>
      </c>
      <c r="E954" s="61" cm="1">
        <f t="array" ref="E954">_xlfn.STDEV.S(_xlfn._xlws.FILTER(C:C,B:B=B954))</f>
        <v>1.5263148747143209</v>
      </c>
      <c r="F954" s="61">
        <f t="shared" si="85"/>
        <v>-0.89637974942864185</v>
      </c>
      <c r="G954" s="61">
        <f t="shared" si="86"/>
        <v>5.2088797494286414</v>
      </c>
      <c r="H954" s="61">
        <f t="shared" si="84"/>
        <v>1.2079748619006896</v>
      </c>
      <c r="I954" s="28" t="str">
        <f t="shared" si="87"/>
        <v>Normal</v>
      </c>
      <c r="J954" s="49">
        <f t="shared" si="88"/>
        <v>4</v>
      </c>
      <c r="K954" s="49" t="e">
        <f t="shared" si="89"/>
        <v>#N/A</v>
      </c>
    </row>
    <row r="955" spans="1:11">
      <c r="A955" s="74">
        <v>40586</v>
      </c>
      <c r="B955" s="75">
        <v>5</v>
      </c>
      <c r="C955" s="73">
        <v>1</v>
      </c>
      <c r="D955" s="72" cm="1">
        <f t="array" ref="D955">AVERAGE(_xlfn._xlws.FILTER(C:C,B:B=B955))</f>
        <v>4.2051282051282053</v>
      </c>
      <c r="E955" s="61" cm="1">
        <f t="array" ref="E955">_xlfn.STDEV.S(_xlfn._xlws.FILTER(C:C,B:B=B955))</f>
        <v>2.5358429220352288</v>
      </c>
      <c r="F955" s="61">
        <f t="shared" si="85"/>
        <v>-0.86655763894225224</v>
      </c>
      <c r="G955" s="61">
        <f t="shared" si="86"/>
        <v>9.2768140491986628</v>
      </c>
      <c r="H955" s="61">
        <f t="shared" si="84"/>
        <v>-1.2639301027982515</v>
      </c>
      <c r="I955" s="28" t="str">
        <f t="shared" si="87"/>
        <v>Normal</v>
      </c>
      <c r="J955" s="49">
        <f t="shared" si="88"/>
        <v>1</v>
      </c>
      <c r="K955" s="49" t="e">
        <f t="shared" si="89"/>
        <v>#N/A</v>
      </c>
    </row>
    <row r="956" spans="1:11">
      <c r="A956" s="74">
        <v>40586</v>
      </c>
      <c r="B956" s="75">
        <v>6</v>
      </c>
      <c r="C956" s="73">
        <v>2</v>
      </c>
      <c r="D956" s="72" cm="1">
        <f t="array" ref="D956">AVERAGE(_xlfn._xlws.FILTER(C:C,B:B=B956))</f>
        <v>19.571428571428573</v>
      </c>
      <c r="E956" s="61" cm="1">
        <f t="array" ref="E956">_xlfn.STDEV.S(_xlfn._xlws.FILTER(C:C,B:B=B956))</f>
        <v>14.202615453298934</v>
      </c>
      <c r="F956" s="61">
        <f t="shared" si="85"/>
        <v>-8.8338023351692954</v>
      </c>
      <c r="G956" s="61">
        <f t="shared" si="86"/>
        <v>47.976659478026441</v>
      </c>
      <c r="H956" s="61">
        <f t="shared" si="84"/>
        <v>-1.2371966719233494</v>
      </c>
      <c r="I956" s="28" t="str">
        <f t="shared" si="87"/>
        <v>Normal</v>
      </c>
      <c r="J956" s="49">
        <f t="shared" si="88"/>
        <v>2</v>
      </c>
      <c r="K956" s="49" t="e">
        <f t="shared" si="89"/>
        <v>#N/A</v>
      </c>
    </row>
    <row r="957" spans="1:11">
      <c r="A957" s="74">
        <v>40586</v>
      </c>
      <c r="B957" s="75">
        <v>7</v>
      </c>
      <c r="C957" s="73">
        <v>11</v>
      </c>
      <c r="D957" s="72" cm="1">
        <f t="array" ref="D957">AVERAGE(_xlfn._xlws.FILTER(C:C,B:B=B957))</f>
        <v>54.395348837209305</v>
      </c>
      <c r="E957" s="61" cm="1">
        <f t="array" ref="E957">_xlfn.STDEV.S(_xlfn._xlws.FILTER(C:C,B:B=B957))</f>
        <v>39.112864486352777</v>
      </c>
      <c r="F957" s="61">
        <f t="shared" si="85"/>
        <v>-23.830380135496249</v>
      </c>
      <c r="G957" s="61">
        <f t="shared" si="86"/>
        <v>132.62107780991485</v>
      </c>
      <c r="H957" s="61">
        <f t="shared" si="84"/>
        <v>-1.1094904299926887</v>
      </c>
      <c r="I957" s="28" t="str">
        <f t="shared" si="87"/>
        <v>Normal</v>
      </c>
      <c r="J957" s="49">
        <f t="shared" si="88"/>
        <v>11</v>
      </c>
      <c r="K957" s="49" t="e">
        <f t="shared" si="89"/>
        <v>#N/A</v>
      </c>
    </row>
    <row r="958" spans="1:11">
      <c r="A958" s="74">
        <v>40586</v>
      </c>
      <c r="B958" s="75">
        <v>8</v>
      </c>
      <c r="C958" s="73">
        <v>30</v>
      </c>
      <c r="D958" s="72" cm="1">
        <f t="array" ref="D958">AVERAGE(_xlfn._xlws.FILTER(C:C,B:B=B958))</f>
        <v>128.28571428571428</v>
      </c>
      <c r="E958" s="61" cm="1">
        <f t="array" ref="E958">_xlfn.STDEV.S(_xlfn._xlws.FILTER(C:C,B:B=B958))</f>
        <v>88.551565717048547</v>
      </c>
      <c r="F958" s="61">
        <f t="shared" si="85"/>
        <v>-48.817417148382816</v>
      </c>
      <c r="G958" s="61">
        <f t="shared" si="86"/>
        <v>305.38884571981134</v>
      </c>
      <c r="H958" s="61">
        <f t="shared" si="84"/>
        <v>-1.1099263292505697</v>
      </c>
      <c r="I958" s="28" t="str">
        <f t="shared" si="87"/>
        <v>Normal</v>
      </c>
      <c r="J958" s="49">
        <f t="shared" si="88"/>
        <v>30</v>
      </c>
      <c r="K958" s="49" t="e">
        <f t="shared" si="89"/>
        <v>#N/A</v>
      </c>
    </row>
    <row r="959" spans="1:11">
      <c r="A959" s="74">
        <v>40586</v>
      </c>
      <c r="B959" s="75">
        <v>9</v>
      </c>
      <c r="C959" s="73">
        <v>43</v>
      </c>
      <c r="D959" s="72" cm="1">
        <f t="array" ref="D959">AVERAGE(_xlfn._xlws.FILTER(C:C,B:B=B959))</f>
        <v>87.428571428571431</v>
      </c>
      <c r="E959" s="61" cm="1">
        <f t="array" ref="E959">_xlfn.STDEV.S(_xlfn._xlws.FILTER(C:C,B:B=B959))</f>
        <v>45.93852884078624</v>
      </c>
      <c r="F959" s="61">
        <f t="shared" si="85"/>
        <v>-4.4484862530010503</v>
      </c>
      <c r="G959" s="61">
        <f t="shared" si="86"/>
        <v>179.30562911014391</v>
      </c>
      <c r="H959" s="61">
        <f t="shared" si="84"/>
        <v>-0.96713091493530368</v>
      </c>
      <c r="I959" s="28" t="str">
        <f t="shared" si="87"/>
        <v>Normal</v>
      </c>
      <c r="J959" s="49">
        <f t="shared" si="88"/>
        <v>43</v>
      </c>
      <c r="K959" s="49" t="e">
        <f t="shared" si="89"/>
        <v>#N/A</v>
      </c>
    </row>
    <row r="960" spans="1:11">
      <c r="A960" s="74">
        <v>40586</v>
      </c>
      <c r="B960" s="75">
        <v>10</v>
      </c>
      <c r="C960" s="73">
        <v>84</v>
      </c>
      <c r="D960" s="72" cm="1">
        <f t="array" ref="D960">AVERAGE(_xlfn._xlws.FILTER(C:C,B:B=B960))</f>
        <v>53.642857142857146</v>
      </c>
      <c r="E960" s="61" cm="1">
        <f t="array" ref="E960">_xlfn.STDEV.S(_xlfn._xlws.FILTER(C:C,B:B=B960))</f>
        <v>15.395313554536934</v>
      </c>
      <c r="F960" s="61">
        <f t="shared" si="85"/>
        <v>22.852230033783279</v>
      </c>
      <c r="G960" s="61">
        <f t="shared" si="86"/>
        <v>84.43348425193102</v>
      </c>
      <c r="H960" s="61">
        <f t="shared" si="84"/>
        <v>1.9718431033966652</v>
      </c>
      <c r="I960" s="28" t="str">
        <f t="shared" si="87"/>
        <v>Normal</v>
      </c>
      <c r="J960" s="49">
        <f t="shared" si="88"/>
        <v>84</v>
      </c>
      <c r="K960" s="49" t="e">
        <f t="shared" si="89"/>
        <v>#N/A</v>
      </c>
    </row>
    <row r="961" spans="1:11">
      <c r="A961" s="74">
        <v>40586</v>
      </c>
      <c r="B961" s="75">
        <v>11</v>
      </c>
      <c r="C961" s="73">
        <v>114</v>
      </c>
      <c r="D961" s="72" cm="1">
        <f t="array" ref="D961">AVERAGE(_xlfn._xlws.FILTER(C:C,B:B=B961))</f>
        <v>59.38095238095238</v>
      </c>
      <c r="E961" s="61" cm="1">
        <f t="array" ref="E961">_xlfn.STDEV.S(_xlfn._xlws.FILTER(C:C,B:B=B961))</f>
        <v>20.89573696860419</v>
      </c>
      <c r="F961" s="61">
        <f t="shared" si="85"/>
        <v>17.589478443743999</v>
      </c>
      <c r="G961" s="61">
        <f t="shared" si="86"/>
        <v>101.17242631816076</v>
      </c>
      <c r="H961" s="61">
        <f t="shared" si="84"/>
        <v>2.6138847220900918</v>
      </c>
      <c r="I961" s="28" t="str">
        <f t="shared" si="87"/>
        <v>High Anomaly</v>
      </c>
      <c r="J961" s="49" t="e">
        <f t="shared" si="88"/>
        <v>#N/A</v>
      </c>
      <c r="K961" s="49">
        <f t="shared" si="89"/>
        <v>114</v>
      </c>
    </row>
    <row r="962" spans="1:11">
      <c r="A962" s="74">
        <v>40586</v>
      </c>
      <c r="B962" s="75">
        <v>12</v>
      </c>
      <c r="C962" s="73">
        <v>120</v>
      </c>
      <c r="D962" s="72" cm="1">
        <f t="array" ref="D962">AVERAGE(_xlfn._xlws.FILTER(C:C,B:B=B962))</f>
        <v>76.348837209302332</v>
      </c>
      <c r="E962" s="61" cm="1">
        <f t="array" ref="E962">_xlfn.STDEV.S(_xlfn._xlws.FILTER(C:C,B:B=B962))</f>
        <v>29.034366927857054</v>
      </c>
      <c r="F962" s="61">
        <f t="shared" si="85"/>
        <v>18.280103353588224</v>
      </c>
      <c r="G962" s="61">
        <f t="shared" si="86"/>
        <v>134.41757106501643</v>
      </c>
      <c r="H962" s="61">
        <f t="shared" si="84"/>
        <v>1.5034308445284721</v>
      </c>
      <c r="I962" s="28" t="str">
        <f t="shared" si="87"/>
        <v>Normal</v>
      </c>
      <c r="J962" s="49">
        <f t="shared" si="88"/>
        <v>120</v>
      </c>
      <c r="K962" s="49" t="e">
        <f t="shared" si="89"/>
        <v>#N/A</v>
      </c>
    </row>
    <row r="963" spans="1:11">
      <c r="A963" s="74">
        <v>40586</v>
      </c>
      <c r="B963" s="75">
        <v>13</v>
      </c>
      <c r="C963" s="73">
        <v>135</v>
      </c>
      <c r="D963" s="72" cm="1">
        <f t="array" ref="D963">AVERAGE(_xlfn._xlws.FILTER(C:C,B:B=B963))</f>
        <v>78.511627906976742</v>
      </c>
      <c r="E963" s="61" cm="1">
        <f t="array" ref="E963">_xlfn.STDEV.S(_xlfn._xlws.FILTER(C:C,B:B=B963))</f>
        <v>30.072430098825187</v>
      </c>
      <c r="F963" s="61">
        <f t="shared" si="85"/>
        <v>18.366767709326368</v>
      </c>
      <c r="G963" s="61">
        <f t="shared" si="86"/>
        <v>138.6564881046271</v>
      </c>
      <c r="H963" s="61">
        <f t="shared" si="84"/>
        <v>1.8784106208706439</v>
      </c>
      <c r="I963" s="28" t="str">
        <f t="shared" si="87"/>
        <v>Normal</v>
      </c>
      <c r="J963" s="49">
        <f t="shared" si="88"/>
        <v>135</v>
      </c>
      <c r="K963" s="49" t="e">
        <f t="shared" si="89"/>
        <v>#N/A</v>
      </c>
    </row>
    <row r="964" spans="1:11">
      <c r="A964" s="74">
        <v>40586</v>
      </c>
      <c r="B964" s="75">
        <v>14</v>
      </c>
      <c r="C964" s="73">
        <v>120</v>
      </c>
      <c r="D964" s="72" cm="1">
        <f t="array" ref="D964">AVERAGE(_xlfn._xlws.FILTER(C:C,B:B=B964))</f>
        <v>74.418604651162795</v>
      </c>
      <c r="E964" s="61" cm="1">
        <f t="array" ref="E964">_xlfn.STDEV.S(_xlfn._xlws.FILTER(C:C,B:B=B964))</f>
        <v>30.30576918056515</v>
      </c>
      <c r="F964" s="61">
        <f t="shared" si="85"/>
        <v>13.807066290032495</v>
      </c>
      <c r="G964" s="61">
        <f t="shared" si="86"/>
        <v>135.03014301229308</v>
      </c>
      <c r="H964" s="61">
        <f t="shared" si="84"/>
        <v>1.5040501060130884</v>
      </c>
      <c r="I964" s="28" t="str">
        <f t="shared" si="87"/>
        <v>Normal</v>
      </c>
      <c r="J964" s="49">
        <f t="shared" si="88"/>
        <v>120</v>
      </c>
      <c r="K964" s="49" t="e">
        <f t="shared" si="89"/>
        <v>#N/A</v>
      </c>
    </row>
    <row r="965" spans="1:11">
      <c r="A965" s="74">
        <v>40586</v>
      </c>
      <c r="B965" s="75">
        <v>15</v>
      </c>
      <c r="C965" s="73">
        <v>174</v>
      </c>
      <c r="D965" s="72" cm="1">
        <f t="array" ref="D965">AVERAGE(_xlfn._xlws.FILTER(C:C,B:B=B965))</f>
        <v>77.95348837209302</v>
      </c>
      <c r="E965" s="61" cm="1">
        <f t="array" ref="E965">_xlfn.STDEV.S(_xlfn._xlws.FILTER(C:C,B:B=B965))</f>
        <v>34.481156681772681</v>
      </c>
      <c r="F965" s="61">
        <f t="shared" si="85"/>
        <v>8.9911750085476569</v>
      </c>
      <c r="G965" s="61">
        <f t="shared" si="86"/>
        <v>146.91580173563838</v>
      </c>
      <c r="H965" s="61">
        <f t="shared" ref="H965:H1004" si="90">(C965-D965)/E965</f>
        <v>2.7854782400231595</v>
      </c>
      <c r="I965" s="28" t="str">
        <f t="shared" si="87"/>
        <v>High Anomaly</v>
      </c>
      <c r="J965" s="49" t="e">
        <f t="shared" si="88"/>
        <v>#N/A</v>
      </c>
      <c r="K965" s="49">
        <f t="shared" si="89"/>
        <v>174</v>
      </c>
    </row>
    <row r="966" spans="1:11">
      <c r="A966" s="74">
        <v>40586</v>
      </c>
      <c r="B966" s="75">
        <v>16</v>
      </c>
      <c r="C966" s="73">
        <v>145</v>
      </c>
      <c r="D966" s="72" cm="1">
        <f t="array" ref="D966">AVERAGE(_xlfn._xlws.FILTER(C:C,B:B=B966))</f>
        <v>89.272727272727266</v>
      </c>
      <c r="E966" s="61" cm="1">
        <f t="array" ref="E966">_xlfn.STDEV.S(_xlfn._xlws.FILTER(C:C,B:B=B966))</f>
        <v>25.461657115880758</v>
      </c>
      <c r="F966" s="61">
        <f t="shared" ref="F966:F1004" si="91">D966-(2*E966)</f>
        <v>38.34941304096575</v>
      </c>
      <c r="G966" s="61">
        <f t="shared" ref="G966:G1004" si="92">D966+(2*E966)</f>
        <v>140.19604150448879</v>
      </c>
      <c r="H966" s="61">
        <f t="shared" si="90"/>
        <v>2.18867422782608</v>
      </c>
      <c r="I966" s="28" t="str">
        <f t="shared" ref="I966:I1004" si="93">IF(H966&gt;=2,"High Anomaly",IF(H966&lt;=-2,"Low Anomaly","Normal"))</f>
        <v>High Anomaly</v>
      </c>
      <c r="J966" s="49" t="e">
        <f t="shared" ref="J966:J1004" si="94">IF(I966="Normal",C966,NA())</f>
        <v>#N/A</v>
      </c>
      <c r="K966" s="49">
        <f t="shared" ref="K966:K1004" si="95">IF(I966&lt;&gt;"Normal",C966,NA())</f>
        <v>145</v>
      </c>
    </row>
    <row r="967" spans="1:11">
      <c r="A967" s="74">
        <v>40586</v>
      </c>
      <c r="B967" s="75">
        <v>17</v>
      </c>
      <c r="C967" s="73">
        <v>137</v>
      </c>
      <c r="D967" s="72" cm="1">
        <f t="array" ref="D967">AVERAGE(_xlfn._xlws.FILTER(C:C,B:B=B967))</f>
        <v>140.20454545454547</v>
      </c>
      <c r="E967" s="61" cm="1">
        <f t="array" ref="E967">_xlfn.STDEV.S(_xlfn._xlws.FILTER(C:C,B:B=B967))</f>
        <v>54.067391000084555</v>
      </c>
      <c r="F967" s="61">
        <f t="shared" si="91"/>
        <v>32.069763454376357</v>
      </c>
      <c r="G967" s="61">
        <f t="shared" si="92"/>
        <v>248.33932745471458</v>
      </c>
      <c r="H967" s="61">
        <f t="shared" si="90"/>
        <v>-5.9269467145926388E-2</v>
      </c>
      <c r="I967" s="28" t="str">
        <f t="shared" si="93"/>
        <v>Normal</v>
      </c>
      <c r="J967" s="49">
        <f t="shared" si="94"/>
        <v>137</v>
      </c>
      <c r="K967" s="49" t="e">
        <f t="shared" si="95"/>
        <v>#N/A</v>
      </c>
    </row>
    <row r="968" spans="1:11">
      <c r="A968" s="74">
        <v>40586</v>
      </c>
      <c r="B968" s="75">
        <v>18</v>
      </c>
      <c r="C968" s="73">
        <v>64</v>
      </c>
      <c r="D968" s="72" cm="1">
        <f t="array" ref="D968">AVERAGE(_xlfn._xlws.FILTER(C:C,B:B=B968))</f>
        <v>122.86046511627907</v>
      </c>
      <c r="E968" s="61" cm="1">
        <f t="array" ref="E968">_xlfn.STDEV.S(_xlfn._xlws.FILTER(C:C,B:B=B968))</f>
        <v>48.613432101949932</v>
      </c>
      <c r="F968" s="61">
        <f t="shared" si="91"/>
        <v>25.633600912379208</v>
      </c>
      <c r="G968" s="61">
        <f t="shared" si="92"/>
        <v>220.08732932017892</v>
      </c>
      <c r="H968" s="61">
        <f t="shared" si="90"/>
        <v>-1.2107860435124087</v>
      </c>
      <c r="I968" s="28" t="str">
        <f t="shared" si="93"/>
        <v>Normal</v>
      </c>
      <c r="J968" s="49">
        <f t="shared" si="94"/>
        <v>64</v>
      </c>
      <c r="K968" s="49" t="e">
        <f t="shared" si="95"/>
        <v>#N/A</v>
      </c>
    </row>
    <row r="969" spans="1:11">
      <c r="A969" s="74">
        <v>40586</v>
      </c>
      <c r="B969" s="75">
        <v>19</v>
      </c>
      <c r="C969" s="73">
        <v>41</v>
      </c>
      <c r="D969" s="72" cm="1">
        <f t="array" ref="D969">AVERAGE(_xlfn._xlws.FILTER(C:C,B:B=B969))</f>
        <v>85.139534883720927</v>
      </c>
      <c r="E969" s="61" cm="1">
        <f t="array" ref="E969">_xlfn.STDEV.S(_xlfn._xlws.FILTER(C:C,B:B=B969))</f>
        <v>31.690904054294752</v>
      </c>
      <c r="F969" s="61">
        <f t="shared" si="91"/>
        <v>21.757726775131424</v>
      </c>
      <c r="G969" s="61">
        <f t="shared" si="92"/>
        <v>148.52134299231042</v>
      </c>
      <c r="H969" s="61">
        <f t="shared" si="90"/>
        <v>-1.392814001396061</v>
      </c>
      <c r="I969" s="28" t="str">
        <f t="shared" si="93"/>
        <v>Normal</v>
      </c>
      <c r="J969" s="49">
        <f t="shared" si="94"/>
        <v>41</v>
      </c>
      <c r="K969" s="49" t="e">
        <f t="shared" si="95"/>
        <v>#N/A</v>
      </c>
    </row>
    <row r="970" spans="1:11">
      <c r="A970" s="74">
        <v>40586</v>
      </c>
      <c r="B970" s="75">
        <v>20</v>
      </c>
      <c r="C970" s="73">
        <v>40</v>
      </c>
      <c r="D970" s="72" cm="1">
        <f t="array" ref="D970">AVERAGE(_xlfn._xlws.FILTER(C:C,B:B=B970))</f>
        <v>61.767441860465119</v>
      </c>
      <c r="E970" s="61" cm="1">
        <f t="array" ref="E970">_xlfn.STDEV.S(_xlfn._xlws.FILTER(C:C,B:B=B970))</f>
        <v>24.632380169685593</v>
      </c>
      <c r="F970" s="61">
        <f t="shared" si="91"/>
        <v>12.502681521093933</v>
      </c>
      <c r="G970" s="61">
        <f t="shared" si="92"/>
        <v>111.03220219983631</v>
      </c>
      <c r="H970" s="61">
        <f t="shared" si="90"/>
        <v>-0.8836921852665186</v>
      </c>
      <c r="I970" s="28" t="str">
        <f t="shared" si="93"/>
        <v>Normal</v>
      </c>
      <c r="J970" s="49">
        <f t="shared" si="94"/>
        <v>40</v>
      </c>
      <c r="K970" s="49" t="e">
        <f t="shared" si="95"/>
        <v>#N/A</v>
      </c>
    </row>
    <row r="971" spans="1:11">
      <c r="A971" s="74">
        <v>40586</v>
      </c>
      <c r="B971" s="75">
        <v>21</v>
      </c>
      <c r="C971" s="73">
        <v>51</v>
      </c>
      <c r="D971" s="72" cm="1">
        <f t="array" ref="D971">AVERAGE(_xlfn._xlws.FILTER(C:C,B:B=B971))</f>
        <v>46.418604651162788</v>
      </c>
      <c r="E971" s="61" cm="1">
        <f t="array" ref="E971">_xlfn.STDEV.S(_xlfn._xlws.FILTER(C:C,B:B=B971))</f>
        <v>14.656759464719496</v>
      </c>
      <c r="F971" s="61">
        <f t="shared" si="91"/>
        <v>17.105085721723796</v>
      </c>
      <c r="G971" s="61">
        <f t="shared" si="92"/>
        <v>75.73212358060178</v>
      </c>
      <c r="H971" s="61">
        <f t="shared" si="90"/>
        <v>0.31257900901390634</v>
      </c>
      <c r="I971" s="28" t="str">
        <f t="shared" si="93"/>
        <v>Normal</v>
      </c>
      <c r="J971" s="49">
        <f t="shared" si="94"/>
        <v>51</v>
      </c>
      <c r="K971" s="49" t="e">
        <f t="shared" si="95"/>
        <v>#N/A</v>
      </c>
    </row>
    <row r="972" spans="1:11">
      <c r="A972" s="74">
        <v>40586</v>
      </c>
      <c r="B972" s="75">
        <v>22</v>
      </c>
      <c r="C972" s="73">
        <v>45</v>
      </c>
      <c r="D972" s="72" cm="1">
        <f t="array" ref="D972">AVERAGE(_xlfn._xlws.FILTER(C:C,B:B=B972))</f>
        <v>35.069767441860463</v>
      </c>
      <c r="E972" s="61" cm="1">
        <f t="array" ref="E972">_xlfn.STDEV.S(_xlfn._xlws.FILTER(C:C,B:B=B972))</f>
        <v>11.95506537162667</v>
      </c>
      <c r="F972" s="61">
        <f t="shared" si="91"/>
        <v>11.159636698607123</v>
      </c>
      <c r="G972" s="61">
        <f t="shared" si="92"/>
        <v>58.979898185113804</v>
      </c>
      <c r="H972" s="61">
        <f t="shared" si="90"/>
        <v>0.83062971631315941</v>
      </c>
      <c r="I972" s="28" t="str">
        <f t="shared" si="93"/>
        <v>Normal</v>
      </c>
      <c r="J972" s="49">
        <f t="shared" si="94"/>
        <v>45</v>
      </c>
      <c r="K972" s="49" t="e">
        <f t="shared" si="95"/>
        <v>#N/A</v>
      </c>
    </row>
    <row r="973" spans="1:11">
      <c r="A973" s="74">
        <v>40586</v>
      </c>
      <c r="B973" s="75">
        <v>23</v>
      </c>
      <c r="C973" s="73">
        <v>32</v>
      </c>
      <c r="D973" s="72" cm="1">
        <f t="array" ref="D973">AVERAGE(_xlfn._xlws.FILTER(C:C,B:B=B973))</f>
        <v>25.186046511627907</v>
      </c>
      <c r="E973" s="61" cm="1">
        <f t="array" ref="E973">_xlfn.STDEV.S(_xlfn._xlws.FILTER(C:C,B:B=B973))</f>
        <v>11.751911321656188</v>
      </c>
      <c r="F973" s="61">
        <f t="shared" si="91"/>
        <v>1.6822238683155319</v>
      </c>
      <c r="G973" s="61">
        <f t="shared" si="92"/>
        <v>48.689869154940283</v>
      </c>
      <c r="H973" s="61">
        <f t="shared" si="90"/>
        <v>0.57981661892014746</v>
      </c>
      <c r="I973" s="28" t="str">
        <f t="shared" si="93"/>
        <v>Normal</v>
      </c>
      <c r="J973" s="49">
        <f t="shared" si="94"/>
        <v>32</v>
      </c>
      <c r="K973" s="49" t="e">
        <f t="shared" si="95"/>
        <v>#N/A</v>
      </c>
    </row>
    <row r="974" spans="1:11">
      <c r="A974" s="74">
        <v>40587</v>
      </c>
      <c r="B974" s="75">
        <v>0</v>
      </c>
      <c r="C974" s="73">
        <v>39</v>
      </c>
      <c r="D974" s="72" cm="1">
        <f t="array" ref="D974">AVERAGE(_xlfn._xlws.FILTER(C:C,B:B=B974))</f>
        <v>16.348837209302324</v>
      </c>
      <c r="E974" s="61" cm="1">
        <f t="array" ref="E974">_xlfn.STDEV.S(_xlfn._xlws.FILTER(C:C,B:B=B974))</f>
        <v>10.44232167427621</v>
      </c>
      <c r="F974" s="61">
        <f t="shared" si="91"/>
        <v>-4.535806139250095</v>
      </c>
      <c r="G974" s="61">
        <f t="shared" si="92"/>
        <v>37.233480557854747</v>
      </c>
      <c r="H974" s="61">
        <f t="shared" si="90"/>
        <v>2.1691692228268478</v>
      </c>
      <c r="I974" s="28" t="str">
        <f t="shared" si="93"/>
        <v>High Anomaly</v>
      </c>
      <c r="J974" s="49" t="e">
        <f t="shared" si="94"/>
        <v>#N/A</v>
      </c>
      <c r="K974" s="49">
        <f t="shared" si="95"/>
        <v>39</v>
      </c>
    </row>
    <row r="975" spans="1:11">
      <c r="A975" s="74">
        <v>40587</v>
      </c>
      <c r="B975" s="75">
        <v>1</v>
      </c>
      <c r="C975" s="73">
        <v>24</v>
      </c>
      <c r="D975" s="72" cm="1">
        <f t="array" ref="D975">AVERAGE(_xlfn._xlws.FILTER(C:C,B:B=B975))</f>
        <v>10.697674418604651</v>
      </c>
      <c r="E975" s="61" cm="1">
        <f t="array" ref="E975">_xlfn.STDEV.S(_xlfn._xlws.FILTER(C:C,B:B=B975))</f>
        <v>10.060613641515801</v>
      </c>
      <c r="F975" s="61">
        <f t="shared" si="91"/>
        <v>-9.4235528644269504</v>
      </c>
      <c r="G975" s="61">
        <f t="shared" si="92"/>
        <v>30.81890170163625</v>
      </c>
      <c r="H975" s="61">
        <f t="shared" si="90"/>
        <v>1.3222181126708221</v>
      </c>
      <c r="I975" s="28" t="str">
        <f t="shared" si="93"/>
        <v>Normal</v>
      </c>
      <c r="J975" s="49">
        <f t="shared" si="94"/>
        <v>24</v>
      </c>
      <c r="K975" s="49" t="e">
        <f t="shared" si="95"/>
        <v>#N/A</v>
      </c>
    </row>
    <row r="976" spans="1:11">
      <c r="A976" s="74">
        <v>40587</v>
      </c>
      <c r="B976" s="75">
        <v>2</v>
      </c>
      <c r="C976" s="73">
        <v>20</v>
      </c>
      <c r="D976" s="72" cm="1">
        <f t="array" ref="D976">AVERAGE(_xlfn._xlws.FILTER(C:C,B:B=B976))</f>
        <v>7.1707317073170733</v>
      </c>
      <c r="E976" s="61" cm="1">
        <f t="array" ref="E976">_xlfn.STDEV.S(_xlfn._xlws.FILTER(C:C,B:B=B976))</f>
        <v>7.3685223723090854</v>
      </c>
      <c r="F976" s="61">
        <f t="shared" si="91"/>
        <v>-7.5663130373010974</v>
      </c>
      <c r="G976" s="61">
        <f t="shared" si="92"/>
        <v>21.907776451935245</v>
      </c>
      <c r="H976" s="61">
        <f t="shared" si="90"/>
        <v>1.7410910416578673</v>
      </c>
      <c r="I976" s="28" t="str">
        <f t="shared" si="93"/>
        <v>Normal</v>
      </c>
      <c r="J976" s="49">
        <f t="shared" si="94"/>
        <v>20</v>
      </c>
      <c r="K976" s="49" t="e">
        <f t="shared" si="95"/>
        <v>#N/A</v>
      </c>
    </row>
    <row r="977" spans="1:11">
      <c r="A977" s="74">
        <v>40587</v>
      </c>
      <c r="B977" s="75">
        <v>3</v>
      </c>
      <c r="C977" s="73">
        <v>12</v>
      </c>
      <c r="D977" s="72" cm="1">
        <f t="array" ref="D977">AVERAGE(_xlfn._xlws.FILTER(C:C,B:B=B977))</f>
        <v>4.870967741935484</v>
      </c>
      <c r="E977" s="61" cm="1">
        <f t="array" ref="E977">_xlfn.STDEV.S(_xlfn._xlws.FILTER(C:C,B:B=B977))</f>
        <v>4.4702120418303126</v>
      </c>
      <c r="F977" s="61">
        <f t="shared" si="91"/>
        <v>-4.0694563417251413</v>
      </c>
      <c r="G977" s="61">
        <f t="shared" si="92"/>
        <v>13.811391825596109</v>
      </c>
      <c r="H977" s="61">
        <f t="shared" si="90"/>
        <v>1.5947861513847919</v>
      </c>
      <c r="I977" s="28" t="str">
        <f t="shared" si="93"/>
        <v>Normal</v>
      </c>
      <c r="J977" s="49">
        <f t="shared" si="94"/>
        <v>12</v>
      </c>
      <c r="K977" s="49" t="e">
        <f t="shared" si="95"/>
        <v>#N/A</v>
      </c>
    </row>
    <row r="978" spans="1:11">
      <c r="A978" s="74">
        <v>40587</v>
      </c>
      <c r="B978" s="75">
        <v>4</v>
      </c>
      <c r="C978" s="73">
        <v>2</v>
      </c>
      <c r="D978" s="72" cm="1">
        <f t="array" ref="D978">AVERAGE(_xlfn._xlws.FILTER(C:C,B:B=B978))</f>
        <v>2.15625</v>
      </c>
      <c r="E978" s="61" cm="1">
        <f t="array" ref="E978">_xlfn.STDEV.S(_xlfn._xlws.FILTER(C:C,B:B=B978))</f>
        <v>1.5263148747143209</v>
      </c>
      <c r="F978" s="61">
        <f t="shared" si="91"/>
        <v>-0.89637974942864185</v>
      </c>
      <c r="G978" s="61">
        <f t="shared" si="92"/>
        <v>5.2088797494286414</v>
      </c>
      <c r="H978" s="61">
        <f t="shared" si="90"/>
        <v>-0.102370751008533</v>
      </c>
      <c r="I978" s="28" t="str">
        <f t="shared" si="93"/>
        <v>Normal</v>
      </c>
      <c r="J978" s="49">
        <f t="shared" si="94"/>
        <v>2</v>
      </c>
      <c r="K978" s="49" t="e">
        <f t="shared" si="95"/>
        <v>#N/A</v>
      </c>
    </row>
    <row r="979" spans="1:11">
      <c r="A979" s="74">
        <v>40587</v>
      </c>
      <c r="B979" s="75">
        <v>6</v>
      </c>
      <c r="C979" s="73">
        <v>5</v>
      </c>
      <c r="D979" s="72" cm="1">
        <f t="array" ref="D979">AVERAGE(_xlfn._xlws.FILTER(C:C,B:B=B979))</f>
        <v>19.571428571428573</v>
      </c>
      <c r="E979" s="61" cm="1">
        <f t="array" ref="E979">_xlfn.STDEV.S(_xlfn._xlws.FILTER(C:C,B:B=B979))</f>
        <v>14.202615453298934</v>
      </c>
      <c r="F979" s="61">
        <f t="shared" si="91"/>
        <v>-8.8338023351692954</v>
      </c>
      <c r="G979" s="61">
        <f t="shared" si="92"/>
        <v>47.976659478026441</v>
      </c>
      <c r="H979" s="61">
        <f t="shared" si="90"/>
        <v>-1.025967971838875</v>
      </c>
      <c r="I979" s="28" t="str">
        <f t="shared" si="93"/>
        <v>Normal</v>
      </c>
      <c r="J979" s="49">
        <f t="shared" si="94"/>
        <v>5</v>
      </c>
      <c r="K979" s="49" t="e">
        <f t="shared" si="95"/>
        <v>#N/A</v>
      </c>
    </row>
    <row r="980" spans="1:11">
      <c r="A980" s="74">
        <v>40587</v>
      </c>
      <c r="B980" s="75">
        <v>7</v>
      </c>
      <c r="C980" s="73">
        <v>3</v>
      </c>
      <c r="D980" s="72" cm="1">
        <f t="array" ref="D980">AVERAGE(_xlfn._xlws.FILTER(C:C,B:B=B980))</f>
        <v>54.395348837209305</v>
      </c>
      <c r="E980" s="61" cm="1">
        <f t="array" ref="E980">_xlfn.STDEV.S(_xlfn._xlws.FILTER(C:C,B:B=B980))</f>
        <v>39.112864486352777</v>
      </c>
      <c r="F980" s="61">
        <f t="shared" si="91"/>
        <v>-23.830380135496249</v>
      </c>
      <c r="G980" s="61">
        <f t="shared" si="92"/>
        <v>132.62107780991485</v>
      </c>
      <c r="H980" s="61">
        <f t="shared" si="90"/>
        <v>-1.3140267150502905</v>
      </c>
      <c r="I980" s="28" t="str">
        <f t="shared" si="93"/>
        <v>Normal</v>
      </c>
      <c r="J980" s="49">
        <f t="shared" si="94"/>
        <v>3</v>
      </c>
      <c r="K980" s="49" t="e">
        <f t="shared" si="95"/>
        <v>#N/A</v>
      </c>
    </row>
    <row r="981" spans="1:11">
      <c r="A981" s="74">
        <v>40587</v>
      </c>
      <c r="B981" s="75">
        <v>8</v>
      </c>
      <c r="C981" s="73">
        <v>12</v>
      </c>
      <c r="D981" s="72" cm="1">
        <f t="array" ref="D981">AVERAGE(_xlfn._xlws.FILTER(C:C,B:B=B981))</f>
        <v>128.28571428571428</v>
      </c>
      <c r="E981" s="61" cm="1">
        <f t="array" ref="E981">_xlfn.STDEV.S(_xlfn._xlws.FILTER(C:C,B:B=B981))</f>
        <v>88.551565717048547</v>
      </c>
      <c r="F981" s="61">
        <f t="shared" si="91"/>
        <v>-48.817417148382816</v>
      </c>
      <c r="G981" s="61">
        <f t="shared" si="92"/>
        <v>305.38884571981134</v>
      </c>
      <c r="H981" s="61">
        <f t="shared" si="90"/>
        <v>-1.3131977209447145</v>
      </c>
      <c r="I981" s="28" t="str">
        <f t="shared" si="93"/>
        <v>Normal</v>
      </c>
      <c r="J981" s="49">
        <f t="shared" si="94"/>
        <v>12</v>
      </c>
      <c r="K981" s="49" t="e">
        <f t="shared" si="95"/>
        <v>#N/A</v>
      </c>
    </row>
    <row r="982" spans="1:11">
      <c r="A982" s="74">
        <v>40587</v>
      </c>
      <c r="B982" s="75">
        <v>9</v>
      </c>
      <c r="C982" s="73">
        <v>47</v>
      </c>
      <c r="D982" s="72" cm="1">
        <f t="array" ref="D982">AVERAGE(_xlfn._xlws.FILTER(C:C,B:B=B982))</f>
        <v>87.428571428571431</v>
      </c>
      <c r="E982" s="61" cm="1">
        <f t="array" ref="E982">_xlfn.STDEV.S(_xlfn._xlws.FILTER(C:C,B:B=B982))</f>
        <v>45.93852884078624</v>
      </c>
      <c r="F982" s="61">
        <f t="shared" si="91"/>
        <v>-4.4484862530010503</v>
      </c>
      <c r="G982" s="61">
        <f t="shared" si="92"/>
        <v>179.30562911014391</v>
      </c>
      <c r="H982" s="61">
        <f t="shared" si="90"/>
        <v>-0.88005803513405445</v>
      </c>
      <c r="I982" s="28" t="str">
        <f t="shared" si="93"/>
        <v>Normal</v>
      </c>
      <c r="J982" s="49">
        <f t="shared" si="94"/>
        <v>47</v>
      </c>
      <c r="K982" s="49" t="e">
        <f t="shared" si="95"/>
        <v>#N/A</v>
      </c>
    </row>
    <row r="983" spans="1:11">
      <c r="A983" s="74">
        <v>40587</v>
      </c>
      <c r="B983" s="75">
        <v>10</v>
      </c>
      <c r="C983" s="73">
        <v>105</v>
      </c>
      <c r="D983" s="72" cm="1">
        <f t="array" ref="D983">AVERAGE(_xlfn._xlws.FILTER(C:C,B:B=B983))</f>
        <v>53.642857142857146</v>
      </c>
      <c r="E983" s="61" cm="1">
        <f t="array" ref="E983">_xlfn.STDEV.S(_xlfn._xlws.FILTER(C:C,B:B=B983))</f>
        <v>15.395313554536934</v>
      </c>
      <c r="F983" s="61">
        <f t="shared" si="91"/>
        <v>22.852230033783279</v>
      </c>
      <c r="G983" s="61">
        <f t="shared" si="92"/>
        <v>84.43348425193102</v>
      </c>
      <c r="H983" s="61">
        <f t="shared" si="90"/>
        <v>3.3358945678640057</v>
      </c>
      <c r="I983" s="28" t="str">
        <f t="shared" si="93"/>
        <v>High Anomaly</v>
      </c>
      <c r="J983" s="49" t="e">
        <f t="shared" si="94"/>
        <v>#N/A</v>
      </c>
      <c r="K983" s="49">
        <f t="shared" si="95"/>
        <v>105</v>
      </c>
    </row>
    <row r="984" spans="1:11">
      <c r="A984" s="74">
        <v>40587</v>
      </c>
      <c r="B984" s="75">
        <v>11</v>
      </c>
      <c r="C984" s="73">
        <v>112</v>
      </c>
      <c r="D984" s="72" cm="1">
        <f t="array" ref="D984">AVERAGE(_xlfn._xlws.FILTER(C:C,B:B=B984))</f>
        <v>59.38095238095238</v>
      </c>
      <c r="E984" s="61" cm="1">
        <f t="array" ref="E984">_xlfn.STDEV.S(_xlfn._xlws.FILTER(C:C,B:B=B984))</f>
        <v>20.89573696860419</v>
      </c>
      <c r="F984" s="61">
        <f t="shared" si="91"/>
        <v>17.589478443743999</v>
      </c>
      <c r="G984" s="61">
        <f t="shared" si="92"/>
        <v>101.17242631816076</v>
      </c>
      <c r="H984" s="61">
        <f t="shared" si="90"/>
        <v>2.5181714192759821</v>
      </c>
      <c r="I984" s="28" t="str">
        <f t="shared" si="93"/>
        <v>High Anomaly</v>
      </c>
      <c r="J984" s="49" t="e">
        <f t="shared" si="94"/>
        <v>#N/A</v>
      </c>
      <c r="K984" s="49">
        <f t="shared" si="95"/>
        <v>112</v>
      </c>
    </row>
    <row r="985" spans="1:11">
      <c r="A985" s="74">
        <v>40587</v>
      </c>
      <c r="B985" s="75">
        <v>12</v>
      </c>
      <c r="C985" s="73">
        <v>152</v>
      </c>
      <c r="D985" s="72" cm="1">
        <f t="array" ref="D985">AVERAGE(_xlfn._xlws.FILTER(C:C,B:B=B985))</f>
        <v>76.348837209302332</v>
      </c>
      <c r="E985" s="61" cm="1">
        <f t="array" ref="E985">_xlfn.STDEV.S(_xlfn._xlws.FILTER(C:C,B:B=B985))</f>
        <v>29.034366927857054</v>
      </c>
      <c r="F985" s="61">
        <f t="shared" si="91"/>
        <v>18.280103353588224</v>
      </c>
      <c r="G985" s="61">
        <f t="shared" si="92"/>
        <v>134.41757106501643</v>
      </c>
      <c r="H985" s="61">
        <f t="shared" si="90"/>
        <v>2.6055730086580287</v>
      </c>
      <c r="I985" s="28" t="str">
        <f t="shared" si="93"/>
        <v>High Anomaly</v>
      </c>
      <c r="J985" s="49" t="e">
        <f t="shared" si="94"/>
        <v>#N/A</v>
      </c>
      <c r="K985" s="49">
        <f t="shared" si="95"/>
        <v>152</v>
      </c>
    </row>
    <row r="986" spans="1:11">
      <c r="A986" s="74">
        <v>40587</v>
      </c>
      <c r="B986" s="75">
        <v>13</v>
      </c>
      <c r="C986" s="73">
        <v>154</v>
      </c>
      <c r="D986" s="72" cm="1">
        <f t="array" ref="D986">AVERAGE(_xlfn._xlws.FILTER(C:C,B:B=B986))</f>
        <v>78.511627906976742</v>
      </c>
      <c r="E986" s="61" cm="1">
        <f t="array" ref="E986">_xlfn.STDEV.S(_xlfn._xlws.FILTER(C:C,B:B=B986))</f>
        <v>30.072430098825187</v>
      </c>
      <c r="F986" s="61">
        <f t="shared" si="91"/>
        <v>18.366767709326368</v>
      </c>
      <c r="G986" s="61">
        <f t="shared" si="92"/>
        <v>138.6564881046271</v>
      </c>
      <c r="H986" s="61">
        <f t="shared" si="90"/>
        <v>2.5102185571618403</v>
      </c>
      <c r="I986" s="28" t="str">
        <f t="shared" si="93"/>
        <v>High Anomaly</v>
      </c>
      <c r="J986" s="49" t="e">
        <f t="shared" si="94"/>
        <v>#N/A</v>
      </c>
      <c r="K986" s="49">
        <f t="shared" si="95"/>
        <v>154</v>
      </c>
    </row>
    <row r="987" spans="1:11">
      <c r="A987" s="74">
        <v>40587</v>
      </c>
      <c r="B987" s="75">
        <v>14</v>
      </c>
      <c r="C987" s="73">
        <v>161</v>
      </c>
      <c r="D987" s="72" cm="1">
        <f t="array" ref="D987">AVERAGE(_xlfn._xlws.FILTER(C:C,B:B=B987))</f>
        <v>74.418604651162795</v>
      </c>
      <c r="E987" s="61" cm="1">
        <f t="array" ref="E987">_xlfn.STDEV.S(_xlfn._xlws.FILTER(C:C,B:B=B987))</f>
        <v>30.30576918056515</v>
      </c>
      <c r="F987" s="61">
        <f t="shared" si="91"/>
        <v>13.807066290032495</v>
      </c>
      <c r="G987" s="61">
        <f t="shared" si="92"/>
        <v>135.03014301229308</v>
      </c>
      <c r="H987" s="61">
        <f t="shared" si="90"/>
        <v>2.8569278289218003</v>
      </c>
      <c r="I987" s="28" t="str">
        <f t="shared" si="93"/>
        <v>High Anomaly</v>
      </c>
      <c r="J987" s="49" t="e">
        <f t="shared" si="94"/>
        <v>#N/A</v>
      </c>
      <c r="K987" s="49">
        <f t="shared" si="95"/>
        <v>161</v>
      </c>
    </row>
    <row r="988" spans="1:11">
      <c r="A988" s="74">
        <v>40587</v>
      </c>
      <c r="B988" s="75">
        <v>15</v>
      </c>
      <c r="C988" s="73">
        <v>162</v>
      </c>
      <c r="D988" s="72" cm="1">
        <f t="array" ref="D988">AVERAGE(_xlfn._xlws.FILTER(C:C,B:B=B988))</f>
        <v>77.95348837209302</v>
      </c>
      <c r="E988" s="61" cm="1">
        <f t="array" ref="E988">_xlfn.STDEV.S(_xlfn._xlws.FILTER(C:C,B:B=B988))</f>
        <v>34.481156681772681</v>
      </c>
      <c r="F988" s="61">
        <f t="shared" si="91"/>
        <v>8.9911750085476569</v>
      </c>
      <c r="G988" s="61">
        <f t="shared" si="92"/>
        <v>146.91580173563838</v>
      </c>
      <c r="H988" s="61">
        <f t="shared" si="90"/>
        <v>2.4374620725045277</v>
      </c>
      <c r="I988" s="28" t="str">
        <f t="shared" si="93"/>
        <v>High Anomaly</v>
      </c>
      <c r="J988" s="49" t="e">
        <f t="shared" si="94"/>
        <v>#N/A</v>
      </c>
      <c r="K988" s="49">
        <f t="shared" si="95"/>
        <v>162</v>
      </c>
    </row>
    <row r="989" spans="1:11">
      <c r="A989" s="74">
        <v>40587</v>
      </c>
      <c r="B989" s="75">
        <v>16</v>
      </c>
      <c r="C989" s="73">
        <v>134</v>
      </c>
      <c r="D989" s="72" cm="1">
        <f t="array" ref="D989">AVERAGE(_xlfn._xlws.FILTER(C:C,B:B=B989))</f>
        <v>89.272727272727266</v>
      </c>
      <c r="E989" s="61" cm="1">
        <f t="array" ref="E989">_xlfn.STDEV.S(_xlfn._xlws.FILTER(C:C,B:B=B989))</f>
        <v>25.461657115880758</v>
      </c>
      <c r="F989" s="61">
        <f t="shared" si="91"/>
        <v>38.34941304096575</v>
      </c>
      <c r="G989" s="61">
        <f t="shared" si="92"/>
        <v>140.19604150448879</v>
      </c>
      <c r="H989" s="61">
        <f t="shared" si="90"/>
        <v>1.7566520719256629</v>
      </c>
      <c r="I989" s="28" t="str">
        <f t="shared" si="93"/>
        <v>Normal</v>
      </c>
      <c r="J989" s="49">
        <f t="shared" si="94"/>
        <v>134</v>
      </c>
      <c r="K989" s="49" t="e">
        <f t="shared" si="95"/>
        <v>#N/A</v>
      </c>
    </row>
    <row r="990" spans="1:11">
      <c r="A990" s="74">
        <v>40587</v>
      </c>
      <c r="B990" s="75">
        <v>17</v>
      </c>
      <c r="C990" s="73">
        <v>125</v>
      </c>
      <c r="D990" s="72" cm="1">
        <f t="array" ref="D990">AVERAGE(_xlfn._xlws.FILTER(C:C,B:B=B990))</f>
        <v>140.20454545454547</v>
      </c>
      <c r="E990" s="61" cm="1">
        <f t="array" ref="E990">_xlfn.STDEV.S(_xlfn._xlws.FILTER(C:C,B:B=B990))</f>
        <v>54.067391000084555</v>
      </c>
      <c r="F990" s="61">
        <f t="shared" si="91"/>
        <v>32.069763454376357</v>
      </c>
      <c r="G990" s="61">
        <f t="shared" si="92"/>
        <v>248.33932745471458</v>
      </c>
      <c r="H990" s="61">
        <f t="shared" si="90"/>
        <v>-0.28121470582003283</v>
      </c>
      <c r="I990" s="28" t="str">
        <f t="shared" si="93"/>
        <v>Normal</v>
      </c>
      <c r="J990" s="49">
        <f t="shared" si="94"/>
        <v>125</v>
      </c>
      <c r="K990" s="49" t="e">
        <f t="shared" si="95"/>
        <v>#N/A</v>
      </c>
    </row>
    <row r="991" spans="1:11">
      <c r="A991" s="74">
        <v>40587</v>
      </c>
      <c r="B991" s="75">
        <v>18</v>
      </c>
      <c r="C991" s="73">
        <v>95</v>
      </c>
      <c r="D991" s="72" cm="1">
        <f t="array" ref="D991">AVERAGE(_xlfn._xlws.FILTER(C:C,B:B=B991))</f>
        <v>122.86046511627907</v>
      </c>
      <c r="E991" s="61" cm="1">
        <f t="array" ref="E991">_xlfn.STDEV.S(_xlfn._xlws.FILTER(C:C,B:B=B991))</f>
        <v>48.613432101949932</v>
      </c>
      <c r="F991" s="61">
        <f t="shared" si="91"/>
        <v>25.633600912379208</v>
      </c>
      <c r="G991" s="61">
        <f t="shared" si="92"/>
        <v>220.08732932017892</v>
      </c>
      <c r="H991" s="61">
        <f t="shared" si="90"/>
        <v>-0.57310220471270867</v>
      </c>
      <c r="I991" s="28" t="str">
        <f t="shared" si="93"/>
        <v>Normal</v>
      </c>
      <c r="J991" s="49">
        <f t="shared" si="94"/>
        <v>95</v>
      </c>
      <c r="K991" s="49" t="e">
        <f t="shared" si="95"/>
        <v>#N/A</v>
      </c>
    </row>
    <row r="992" spans="1:11">
      <c r="A992" s="74">
        <v>40587</v>
      </c>
      <c r="B992" s="75">
        <v>19</v>
      </c>
      <c r="C992" s="73">
        <v>61</v>
      </c>
      <c r="D992" s="72" cm="1">
        <f t="array" ref="D992">AVERAGE(_xlfn._xlws.FILTER(C:C,B:B=B992))</f>
        <v>85.139534883720927</v>
      </c>
      <c r="E992" s="61" cm="1">
        <f t="array" ref="E992">_xlfn.STDEV.S(_xlfn._xlws.FILTER(C:C,B:B=B992))</f>
        <v>31.690904054294752</v>
      </c>
      <c r="F992" s="61">
        <f t="shared" si="91"/>
        <v>21.757726775131424</v>
      </c>
      <c r="G992" s="61">
        <f t="shared" si="92"/>
        <v>148.52134299231042</v>
      </c>
      <c r="H992" s="61">
        <f t="shared" si="90"/>
        <v>-0.76171808927771933</v>
      </c>
      <c r="I992" s="28" t="str">
        <f t="shared" si="93"/>
        <v>Normal</v>
      </c>
      <c r="J992" s="49">
        <f t="shared" si="94"/>
        <v>61</v>
      </c>
      <c r="K992" s="49" t="e">
        <f t="shared" si="95"/>
        <v>#N/A</v>
      </c>
    </row>
    <row r="993" spans="1:11">
      <c r="A993" s="74">
        <v>40587</v>
      </c>
      <c r="B993" s="75">
        <v>20</v>
      </c>
      <c r="C993" s="73">
        <v>47</v>
      </c>
      <c r="D993" s="72" cm="1">
        <f t="array" ref="D993">AVERAGE(_xlfn._xlws.FILTER(C:C,B:B=B993))</f>
        <v>61.767441860465119</v>
      </c>
      <c r="E993" s="61" cm="1">
        <f t="array" ref="E993">_xlfn.STDEV.S(_xlfn._xlws.FILTER(C:C,B:B=B993))</f>
        <v>24.632380169685593</v>
      </c>
      <c r="F993" s="61">
        <f t="shared" si="91"/>
        <v>12.502681521093933</v>
      </c>
      <c r="G993" s="61">
        <f t="shared" si="92"/>
        <v>111.03220219983631</v>
      </c>
      <c r="H993" s="61">
        <f t="shared" si="90"/>
        <v>-0.59951339491905908</v>
      </c>
      <c r="I993" s="28" t="str">
        <f t="shared" si="93"/>
        <v>Normal</v>
      </c>
      <c r="J993" s="49">
        <f t="shared" si="94"/>
        <v>47</v>
      </c>
      <c r="K993" s="49" t="e">
        <f t="shared" si="95"/>
        <v>#N/A</v>
      </c>
    </row>
    <row r="994" spans="1:11">
      <c r="A994" s="74">
        <v>40587</v>
      </c>
      <c r="B994" s="75">
        <v>21</v>
      </c>
      <c r="C994" s="73">
        <v>51</v>
      </c>
      <c r="D994" s="72" cm="1">
        <f t="array" ref="D994">AVERAGE(_xlfn._xlws.FILTER(C:C,B:B=B994))</f>
        <v>46.418604651162788</v>
      </c>
      <c r="E994" s="61" cm="1">
        <f t="array" ref="E994">_xlfn.STDEV.S(_xlfn._xlws.FILTER(C:C,B:B=B994))</f>
        <v>14.656759464719496</v>
      </c>
      <c r="F994" s="61">
        <f t="shared" si="91"/>
        <v>17.105085721723796</v>
      </c>
      <c r="G994" s="61">
        <f t="shared" si="92"/>
        <v>75.73212358060178</v>
      </c>
      <c r="H994" s="61">
        <f t="shared" si="90"/>
        <v>0.31257900901390634</v>
      </c>
      <c r="I994" s="28" t="str">
        <f t="shared" si="93"/>
        <v>Normal</v>
      </c>
      <c r="J994" s="49">
        <f t="shared" si="94"/>
        <v>51</v>
      </c>
      <c r="K994" s="49" t="e">
        <f t="shared" si="95"/>
        <v>#N/A</v>
      </c>
    </row>
    <row r="995" spans="1:11">
      <c r="A995" s="74">
        <v>40587</v>
      </c>
      <c r="B995" s="75">
        <v>22</v>
      </c>
      <c r="C995" s="73">
        <v>36</v>
      </c>
      <c r="D995" s="72" cm="1">
        <f t="array" ref="D995">AVERAGE(_xlfn._xlws.FILTER(C:C,B:B=B995))</f>
        <v>35.069767441860463</v>
      </c>
      <c r="E995" s="61" cm="1">
        <f t="array" ref="E995">_xlfn.STDEV.S(_xlfn._xlws.FILTER(C:C,B:B=B995))</f>
        <v>11.95506537162667</v>
      </c>
      <c r="F995" s="61">
        <f t="shared" si="91"/>
        <v>11.159636698607123</v>
      </c>
      <c r="G995" s="61">
        <f t="shared" si="92"/>
        <v>58.979898185113804</v>
      </c>
      <c r="H995" s="61">
        <f t="shared" si="90"/>
        <v>7.7810746258844099E-2</v>
      </c>
      <c r="I995" s="28" t="str">
        <f t="shared" si="93"/>
        <v>Normal</v>
      </c>
      <c r="J995" s="49">
        <f t="shared" si="94"/>
        <v>36</v>
      </c>
      <c r="K995" s="49" t="e">
        <f t="shared" si="95"/>
        <v>#N/A</v>
      </c>
    </row>
    <row r="996" spans="1:11">
      <c r="A996" s="74">
        <v>40587</v>
      </c>
      <c r="B996" s="75">
        <v>23</v>
      </c>
      <c r="C996" s="73">
        <v>30</v>
      </c>
      <c r="D996" s="72" cm="1">
        <f t="array" ref="D996">AVERAGE(_xlfn._xlws.FILTER(C:C,B:B=B996))</f>
        <v>25.186046511627907</v>
      </c>
      <c r="E996" s="61" cm="1">
        <f t="array" ref="E996">_xlfn.STDEV.S(_xlfn._xlws.FILTER(C:C,B:B=B996))</f>
        <v>11.751911321656188</v>
      </c>
      <c r="F996" s="61">
        <f t="shared" si="91"/>
        <v>1.6822238683155319</v>
      </c>
      <c r="G996" s="61">
        <f t="shared" si="92"/>
        <v>48.689869154940283</v>
      </c>
      <c r="H996" s="61">
        <f t="shared" si="90"/>
        <v>0.40963153623368781</v>
      </c>
      <c r="I996" s="28" t="str">
        <f t="shared" si="93"/>
        <v>Normal</v>
      </c>
      <c r="J996" s="49">
        <f t="shared" si="94"/>
        <v>30</v>
      </c>
      <c r="K996" s="49" t="e">
        <f t="shared" si="95"/>
        <v>#N/A</v>
      </c>
    </row>
    <row r="997" spans="1:11">
      <c r="A997" s="74">
        <v>40588</v>
      </c>
      <c r="B997" s="75">
        <v>0</v>
      </c>
      <c r="C997" s="73">
        <v>11</v>
      </c>
      <c r="D997" s="72" cm="1">
        <f t="array" ref="D997">AVERAGE(_xlfn._xlws.FILTER(C:C,B:B=B997))</f>
        <v>16.348837209302324</v>
      </c>
      <c r="E997" s="61" cm="1">
        <f t="array" ref="E997">_xlfn.STDEV.S(_xlfn._xlws.FILTER(C:C,B:B=B997))</f>
        <v>10.44232167427621</v>
      </c>
      <c r="F997" s="61">
        <f t="shared" si="91"/>
        <v>-4.535806139250095</v>
      </c>
      <c r="G997" s="61">
        <f t="shared" si="92"/>
        <v>37.233480557854747</v>
      </c>
      <c r="H997" s="61">
        <f t="shared" si="90"/>
        <v>-0.51222681853200713</v>
      </c>
      <c r="I997" s="28" t="str">
        <f t="shared" si="93"/>
        <v>Normal</v>
      </c>
      <c r="J997" s="49">
        <f t="shared" si="94"/>
        <v>11</v>
      </c>
      <c r="K997" s="49" t="e">
        <f t="shared" si="95"/>
        <v>#N/A</v>
      </c>
    </row>
    <row r="998" spans="1:11">
      <c r="A998" s="74">
        <v>40588</v>
      </c>
      <c r="B998" s="75">
        <v>1</v>
      </c>
      <c r="C998" s="73">
        <v>7</v>
      </c>
      <c r="D998" s="72" cm="1">
        <f t="array" ref="D998">AVERAGE(_xlfn._xlws.FILTER(C:C,B:B=B998))</f>
        <v>10.697674418604651</v>
      </c>
      <c r="E998" s="61" cm="1">
        <f t="array" ref="E998">_xlfn.STDEV.S(_xlfn._xlws.FILTER(C:C,B:B=B998))</f>
        <v>10.060613641515801</v>
      </c>
      <c r="F998" s="61">
        <f t="shared" si="91"/>
        <v>-9.4235528644269504</v>
      </c>
      <c r="G998" s="61">
        <f t="shared" si="92"/>
        <v>30.81890170163625</v>
      </c>
      <c r="H998" s="61">
        <f t="shared" si="90"/>
        <v>-0.36753965020045576</v>
      </c>
      <c r="I998" s="28" t="str">
        <f t="shared" si="93"/>
        <v>Normal</v>
      </c>
      <c r="J998" s="49">
        <f t="shared" si="94"/>
        <v>7</v>
      </c>
      <c r="K998" s="49" t="e">
        <f t="shared" si="95"/>
        <v>#N/A</v>
      </c>
    </row>
    <row r="999" spans="1:11">
      <c r="A999" s="74">
        <v>40588</v>
      </c>
      <c r="B999" s="75">
        <v>2</v>
      </c>
      <c r="C999" s="73">
        <v>2</v>
      </c>
      <c r="D999" s="72" cm="1">
        <f t="array" ref="D999">AVERAGE(_xlfn._xlws.FILTER(C:C,B:B=B999))</f>
        <v>7.1707317073170733</v>
      </c>
      <c r="E999" s="61" cm="1">
        <f t="array" ref="E999">_xlfn.STDEV.S(_xlfn._xlws.FILTER(C:C,B:B=B999))</f>
        <v>7.3685223723090854</v>
      </c>
      <c r="F999" s="61">
        <f t="shared" si="91"/>
        <v>-7.5663130373010974</v>
      </c>
      <c r="G999" s="61">
        <f t="shared" si="92"/>
        <v>21.907776451935245</v>
      </c>
      <c r="H999" s="61">
        <f t="shared" si="90"/>
        <v>-0.70173251108644097</v>
      </c>
      <c r="I999" s="28" t="str">
        <f t="shared" si="93"/>
        <v>Normal</v>
      </c>
      <c r="J999" s="49">
        <f t="shared" si="94"/>
        <v>2</v>
      </c>
      <c r="K999" s="49" t="e">
        <f t="shared" si="95"/>
        <v>#N/A</v>
      </c>
    </row>
    <row r="1000" spans="1:11">
      <c r="A1000" s="74">
        <v>40588</v>
      </c>
      <c r="B1000" s="75">
        <v>3</v>
      </c>
      <c r="C1000" s="73">
        <v>2</v>
      </c>
      <c r="D1000" s="72" cm="1">
        <f t="array" ref="D1000">AVERAGE(_xlfn._xlws.FILTER(C:C,B:B=B1000))</f>
        <v>4.870967741935484</v>
      </c>
      <c r="E1000" s="61" cm="1">
        <f t="array" ref="E1000">_xlfn.STDEV.S(_xlfn._xlws.FILTER(C:C,B:B=B1000))</f>
        <v>4.4702120418303126</v>
      </c>
      <c r="F1000" s="61">
        <f t="shared" si="91"/>
        <v>-4.0694563417251413</v>
      </c>
      <c r="G1000" s="61">
        <f t="shared" si="92"/>
        <v>13.811391825596109</v>
      </c>
      <c r="H1000" s="61">
        <f t="shared" si="90"/>
        <v>-0.64224419671152255</v>
      </c>
      <c r="I1000" s="28" t="str">
        <f t="shared" si="93"/>
        <v>Normal</v>
      </c>
      <c r="J1000" s="49">
        <f t="shared" si="94"/>
        <v>2</v>
      </c>
      <c r="K1000" s="49" t="e">
        <f t="shared" si="95"/>
        <v>#N/A</v>
      </c>
    </row>
    <row r="1001" spans="1:11">
      <c r="A1001" s="74">
        <v>40588</v>
      </c>
      <c r="B1001" s="75">
        <v>4</v>
      </c>
      <c r="C1001" s="73">
        <v>2</v>
      </c>
      <c r="D1001" s="72" cm="1">
        <f t="array" ref="D1001">AVERAGE(_xlfn._xlws.FILTER(C:C,B:B=B1001))</f>
        <v>2.15625</v>
      </c>
      <c r="E1001" s="61" cm="1">
        <f t="array" ref="E1001">_xlfn.STDEV.S(_xlfn._xlws.FILTER(C:C,B:B=B1001))</f>
        <v>1.5263148747143209</v>
      </c>
      <c r="F1001" s="61">
        <f t="shared" si="91"/>
        <v>-0.89637974942864185</v>
      </c>
      <c r="G1001" s="61">
        <f t="shared" si="92"/>
        <v>5.2088797494286414</v>
      </c>
      <c r="H1001" s="61">
        <f t="shared" si="90"/>
        <v>-0.102370751008533</v>
      </c>
      <c r="I1001" s="28" t="str">
        <f t="shared" si="93"/>
        <v>Normal</v>
      </c>
      <c r="J1001" s="49">
        <f t="shared" si="94"/>
        <v>2</v>
      </c>
      <c r="K1001" s="49" t="e">
        <f t="shared" si="95"/>
        <v>#N/A</v>
      </c>
    </row>
    <row r="1002" spans="1:11">
      <c r="A1002" s="74">
        <v>40588</v>
      </c>
      <c r="B1002" s="75">
        <v>5</v>
      </c>
      <c r="C1002" s="73">
        <v>3</v>
      </c>
      <c r="D1002" s="72" cm="1">
        <f t="array" ref="D1002">AVERAGE(_xlfn._xlws.FILTER(C:C,B:B=B1002))</f>
        <v>4.2051282051282053</v>
      </c>
      <c r="E1002" s="61" cm="1">
        <f t="array" ref="E1002">_xlfn.STDEV.S(_xlfn._xlws.FILTER(C:C,B:B=B1002))</f>
        <v>2.5358429220352288</v>
      </c>
      <c r="F1002" s="61">
        <f t="shared" si="91"/>
        <v>-0.86655763894225224</v>
      </c>
      <c r="G1002" s="61">
        <f t="shared" si="92"/>
        <v>9.2768140491986628</v>
      </c>
      <c r="H1002" s="61">
        <f t="shared" si="90"/>
        <v>-0.47523771865214265</v>
      </c>
      <c r="I1002" s="28" t="str">
        <f t="shared" si="93"/>
        <v>Normal</v>
      </c>
      <c r="J1002" s="49">
        <f t="shared" si="94"/>
        <v>3</v>
      </c>
      <c r="K1002" s="49" t="e">
        <f t="shared" si="95"/>
        <v>#N/A</v>
      </c>
    </row>
    <row r="1003" spans="1:11">
      <c r="A1003" s="74">
        <v>40588</v>
      </c>
      <c r="B1003" s="75">
        <v>6</v>
      </c>
      <c r="C1003" s="73">
        <v>26</v>
      </c>
      <c r="D1003" s="72" cm="1">
        <f t="array" ref="D1003">AVERAGE(_xlfn._xlws.FILTER(C:C,B:B=B1003))</f>
        <v>19.571428571428573</v>
      </c>
      <c r="E1003" s="61" cm="1">
        <f t="array" ref="E1003">_xlfn.STDEV.S(_xlfn._xlws.FILTER(C:C,B:B=B1003))</f>
        <v>14.202615453298934</v>
      </c>
      <c r="F1003" s="61">
        <f t="shared" si="91"/>
        <v>-8.8338023351692954</v>
      </c>
      <c r="G1003" s="61">
        <f t="shared" si="92"/>
        <v>47.976659478026441</v>
      </c>
      <c r="H1003" s="61">
        <f t="shared" si="90"/>
        <v>0.45263292875244471</v>
      </c>
      <c r="I1003" s="28" t="str">
        <f t="shared" si="93"/>
        <v>Normal</v>
      </c>
      <c r="J1003" s="49">
        <f t="shared" si="94"/>
        <v>26</v>
      </c>
      <c r="K1003" s="49" t="e">
        <f t="shared" si="95"/>
        <v>#N/A</v>
      </c>
    </row>
    <row r="1004" spans="1:11">
      <c r="A1004" s="74">
        <v>40588</v>
      </c>
      <c r="B1004" s="75">
        <v>7</v>
      </c>
      <c r="C1004" s="73">
        <v>98</v>
      </c>
      <c r="D1004" s="72" cm="1">
        <f t="array" ref="D1004">AVERAGE(_xlfn._xlws.FILTER(C:C,B:B=B1004))</f>
        <v>54.395348837209305</v>
      </c>
      <c r="E1004" s="61" cm="1">
        <f t="array" ref="E1004">_xlfn.STDEV.S(_xlfn._xlws.FILTER(C:C,B:B=B1004))</f>
        <v>39.112864486352777</v>
      </c>
      <c r="F1004" s="61">
        <f t="shared" si="91"/>
        <v>-23.830380135496249</v>
      </c>
      <c r="G1004" s="61">
        <f t="shared" si="92"/>
        <v>132.62107780991485</v>
      </c>
      <c r="H1004" s="61">
        <f t="shared" si="90"/>
        <v>1.1148416700087305</v>
      </c>
      <c r="I1004" s="28" t="str">
        <f t="shared" si="93"/>
        <v>Normal</v>
      </c>
      <c r="J1004" s="49">
        <f t="shared" si="94"/>
        <v>98</v>
      </c>
      <c r="K1004" s="49" t="e">
        <f t="shared" si="95"/>
        <v>#N/A</v>
      </c>
    </row>
  </sheetData>
  <mergeCells count="1">
    <mergeCell ref="A2:K3"/>
  </mergeCells>
  <conditionalFormatting sqref="C5:C1004">
    <cfRule type="dataBar" priority="3">
      <dataBar>
        <cfvo type="min"/>
        <cfvo type="max"/>
        <color rgb="FF638EC6"/>
      </dataBar>
      <extLst>
        <ext xmlns:x14="http://schemas.microsoft.com/office/spreadsheetml/2009/9/main" uri="{B025F937-C7B1-47D3-B67F-A62EFF666E3E}">
          <x14:id>{1EE8906C-C700-4931-AAE2-977F08A7AA3D}</x14:id>
        </ext>
      </extLst>
    </cfRule>
  </conditionalFormatting>
  <conditionalFormatting sqref="I4:I1004">
    <cfRule type="colorScale" priority="1">
      <colorScale>
        <cfvo type="min"/>
        <cfvo type="percentile" val="50"/>
        <cfvo type="max"/>
        <color rgb="FFF8696B"/>
        <color rgb="FFFFEB84"/>
        <color rgb="FF63BE7B"/>
      </colorScale>
    </cfRule>
  </conditionalFormatting>
  <conditionalFormatting sqref="I4:I1048576 I1">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1EE8906C-C700-4931-AAE2-977F08A7AA3D}">
            <x14:dataBar minLength="0" maxLength="100" gradient="0">
              <x14:cfvo type="autoMin"/>
              <x14:cfvo type="autoMax"/>
              <x14:negativeFillColor rgb="FFFF0000"/>
              <x14:axisColor rgb="FF000000"/>
            </x14:dataBar>
          </x14:cfRule>
          <xm:sqref>C5:C1004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D20E-CE2B-4827-ABCA-7D62C1CCD783}">
  <dimension ref="A1:W103"/>
  <sheetViews>
    <sheetView showGridLines="0" zoomScale="70" zoomScaleNormal="70" workbookViewId="0">
      <selection activeCell="P79" sqref="P79"/>
    </sheetView>
  </sheetViews>
  <sheetFormatPr defaultRowHeight="12.5"/>
  <cols>
    <col min="1" max="1" width="6.08984375" customWidth="1"/>
    <col min="9" max="9" width="8.7265625" customWidth="1"/>
    <col min="10" max="10" width="22.81640625" bestFit="1" customWidth="1"/>
    <col min="11" max="11" width="7.90625" bestFit="1" customWidth="1"/>
    <col min="12" max="12" width="8.54296875" bestFit="1" customWidth="1"/>
    <col min="13" max="13" width="11.26953125" bestFit="1" customWidth="1"/>
    <col min="14" max="14" width="9.26953125" bestFit="1" customWidth="1"/>
    <col min="15" max="15" width="6.453125" bestFit="1" customWidth="1"/>
    <col min="16" max="16" width="8.81640625" bestFit="1" customWidth="1"/>
    <col min="17" max="17" width="7.7265625" bestFit="1" customWidth="1"/>
    <col min="18" max="18" width="1.90625" customWidth="1"/>
    <col min="23" max="23" width="5.7265625" customWidth="1"/>
  </cols>
  <sheetData>
    <row r="1" spans="1:23">
      <c r="A1" s="69"/>
      <c r="B1" s="69"/>
      <c r="C1" s="69"/>
      <c r="D1" s="69"/>
      <c r="E1" s="69"/>
      <c r="F1" s="69"/>
      <c r="G1" s="69"/>
      <c r="H1" s="69"/>
      <c r="I1" s="69"/>
      <c r="J1" s="69"/>
      <c r="K1" s="69"/>
      <c r="L1" s="69"/>
      <c r="M1" s="69"/>
      <c r="N1" s="69"/>
      <c r="O1" s="69"/>
      <c r="P1" s="69"/>
      <c r="Q1" s="69"/>
      <c r="R1" s="69"/>
      <c r="S1" s="69"/>
      <c r="T1" s="69"/>
      <c r="U1" s="69"/>
      <c r="V1" s="69"/>
      <c r="W1" s="69"/>
    </row>
    <row r="2" spans="1:23" ht="12.5" customHeight="1">
      <c r="A2" s="86"/>
      <c r="B2" s="84" t="s">
        <v>83</v>
      </c>
      <c r="C2" s="84"/>
      <c r="D2" s="84"/>
      <c r="E2" s="84"/>
      <c r="F2" s="84"/>
      <c r="G2" s="84"/>
      <c r="H2" s="84"/>
      <c r="I2" s="84"/>
      <c r="J2" s="84"/>
      <c r="K2" s="84"/>
      <c r="L2" s="84"/>
      <c r="M2" s="84"/>
      <c r="N2" s="84"/>
      <c r="O2" s="84"/>
      <c r="P2" s="84"/>
      <c r="Q2" s="84"/>
      <c r="R2" s="84"/>
      <c r="S2" s="84"/>
      <c r="T2" s="84"/>
      <c r="U2" s="84"/>
      <c r="V2" s="84"/>
      <c r="W2" s="69"/>
    </row>
    <row r="3" spans="1:23" ht="12.5" customHeight="1">
      <c r="A3" s="86"/>
      <c r="B3" s="84"/>
      <c r="C3" s="84"/>
      <c r="D3" s="84"/>
      <c r="E3" s="84"/>
      <c r="F3" s="84"/>
      <c r="G3" s="84"/>
      <c r="H3" s="84"/>
      <c r="I3" s="84"/>
      <c r="J3" s="84"/>
      <c r="K3" s="84"/>
      <c r="L3" s="84"/>
      <c r="M3" s="84"/>
      <c r="N3" s="84"/>
      <c r="O3" s="84"/>
      <c r="P3" s="84"/>
      <c r="Q3" s="84"/>
      <c r="R3" s="84"/>
      <c r="S3" s="84"/>
      <c r="T3" s="84"/>
      <c r="U3" s="84"/>
      <c r="V3" s="84"/>
      <c r="W3" s="69"/>
    </row>
    <row r="4" spans="1:23" ht="12.5" customHeight="1">
      <c r="A4" s="86"/>
      <c r="B4" s="84"/>
      <c r="C4" s="84"/>
      <c r="D4" s="84"/>
      <c r="E4" s="84"/>
      <c r="F4" s="84"/>
      <c r="G4" s="84"/>
      <c r="H4" s="84"/>
      <c r="I4" s="84"/>
      <c r="J4" s="84"/>
      <c r="K4" s="84"/>
      <c r="L4" s="84"/>
      <c r="M4" s="84"/>
      <c r="N4" s="84"/>
      <c r="O4" s="84"/>
      <c r="P4" s="84"/>
      <c r="Q4" s="84"/>
      <c r="R4" s="84"/>
      <c r="S4" s="84"/>
      <c r="T4" s="84"/>
      <c r="U4" s="84"/>
      <c r="V4" s="84"/>
      <c r="W4" s="69"/>
    </row>
    <row r="5" spans="1:23" ht="12.5" customHeight="1">
      <c r="A5" s="86"/>
      <c r="B5" s="84"/>
      <c r="C5" s="84"/>
      <c r="D5" s="84"/>
      <c r="E5" s="84"/>
      <c r="F5" s="84"/>
      <c r="G5" s="84"/>
      <c r="H5" s="84"/>
      <c r="I5" s="84"/>
      <c r="J5" s="84"/>
      <c r="K5" s="84"/>
      <c r="L5" s="84"/>
      <c r="M5" s="84"/>
      <c r="N5" s="84"/>
      <c r="O5" s="84"/>
      <c r="P5" s="84"/>
      <c r="Q5" s="84"/>
      <c r="R5" s="84"/>
      <c r="S5" s="84"/>
      <c r="T5" s="84"/>
      <c r="U5" s="84"/>
      <c r="V5" s="84"/>
      <c r="W5" s="69"/>
    </row>
    <row r="6" spans="1:23">
      <c r="A6" s="86"/>
      <c r="B6" s="87"/>
      <c r="C6" s="87"/>
      <c r="D6" s="87"/>
      <c r="E6" s="87"/>
      <c r="F6" s="87"/>
      <c r="G6" s="87"/>
      <c r="H6" s="87"/>
      <c r="I6" s="87"/>
      <c r="J6" s="87"/>
      <c r="K6" s="87"/>
      <c r="L6" s="87"/>
      <c r="M6" s="87"/>
      <c r="N6" s="87"/>
      <c r="O6" s="87"/>
      <c r="P6" s="87"/>
      <c r="Q6" s="69"/>
      <c r="R6" s="69"/>
      <c r="S6" s="69"/>
      <c r="T6" s="69"/>
      <c r="U6" s="69"/>
      <c r="V6" s="69"/>
      <c r="W6" s="69"/>
    </row>
    <row r="7" spans="1:23" ht="18.5" customHeight="1">
      <c r="A7" s="86"/>
      <c r="B7" s="78"/>
      <c r="C7" s="78"/>
      <c r="D7" s="78"/>
      <c r="E7" s="78"/>
      <c r="F7" s="78"/>
      <c r="G7" s="78"/>
      <c r="H7" s="78"/>
      <c r="I7" s="78"/>
      <c r="J7" s="78"/>
      <c r="K7" s="78"/>
      <c r="L7" s="78"/>
      <c r="M7" s="78"/>
      <c r="N7" s="78"/>
      <c r="O7" s="78"/>
      <c r="P7" s="78"/>
      <c r="Q7" s="69"/>
      <c r="R7" s="69"/>
      <c r="S7" s="69"/>
      <c r="T7" s="69"/>
      <c r="U7" s="69"/>
      <c r="V7" s="69"/>
      <c r="W7" s="69"/>
    </row>
    <row r="8" spans="1:23" ht="2" customHeight="1">
      <c r="A8" s="86"/>
      <c r="B8" s="78"/>
      <c r="C8" s="78"/>
      <c r="D8" s="78"/>
      <c r="E8" s="78"/>
      <c r="F8" s="78"/>
      <c r="G8" s="78"/>
      <c r="H8" s="78"/>
      <c r="I8" s="78"/>
      <c r="J8" s="78"/>
      <c r="K8" s="78"/>
      <c r="L8" s="78"/>
      <c r="M8" s="78"/>
      <c r="N8" s="78"/>
      <c r="O8" s="78"/>
      <c r="P8" s="78"/>
      <c r="Q8" s="69"/>
      <c r="R8" s="69"/>
      <c r="S8" s="69"/>
      <c r="T8" s="69"/>
      <c r="U8" s="69"/>
      <c r="V8" s="69"/>
      <c r="W8" s="69"/>
    </row>
    <row r="9" spans="1:23">
      <c r="A9" s="86"/>
      <c r="B9" s="78"/>
      <c r="C9" s="78"/>
      <c r="D9" s="78"/>
      <c r="E9" s="78"/>
      <c r="F9" s="78"/>
      <c r="G9" s="78"/>
      <c r="H9" s="78"/>
      <c r="I9" s="78"/>
      <c r="J9" s="78"/>
      <c r="K9" s="78"/>
      <c r="L9" s="78"/>
      <c r="M9" s="78"/>
      <c r="N9" s="78"/>
      <c r="O9" s="78"/>
      <c r="P9" s="78"/>
      <c r="Q9" s="69"/>
      <c r="R9" s="69"/>
      <c r="S9" s="69"/>
      <c r="T9" s="69"/>
      <c r="U9" s="69"/>
      <c r="V9" s="69"/>
      <c r="W9" s="69"/>
    </row>
    <row r="10" spans="1:23">
      <c r="A10" s="86"/>
      <c r="B10" s="78"/>
      <c r="C10" s="78"/>
      <c r="D10" s="78"/>
      <c r="E10" s="78"/>
      <c r="F10" s="78"/>
      <c r="G10" s="78"/>
      <c r="H10" s="78"/>
      <c r="I10" s="78"/>
      <c r="J10" s="78"/>
      <c r="K10" s="78"/>
      <c r="L10" s="78"/>
      <c r="M10" s="78"/>
      <c r="N10" s="78"/>
      <c r="O10" s="78"/>
      <c r="P10" s="78"/>
      <c r="Q10" s="69"/>
      <c r="R10" s="69"/>
      <c r="S10" s="69"/>
      <c r="T10" s="69"/>
      <c r="U10" s="69"/>
      <c r="V10" s="69"/>
      <c r="W10" s="69"/>
    </row>
    <row r="11" spans="1:23">
      <c r="A11" s="86"/>
      <c r="B11" s="87"/>
      <c r="C11" s="87"/>
      <c r="D11" s="87"/>
      <c r="E11" s="87"/>
      <c r="F11" s="87"/>
      <c r="G11" s="87"/>
      <c r="H11" s="87"/>
      <c r="I11" s="87"/>
      <c r="J11" s="87"/>
      <c r="K11" s="87"/>
      <c r="L11" s="87"/>
      <c r="M11" s="87"/>
      <c r="N11" s="87"/>
      <c r="O11" s="87"/>
      <c r="P11" s="87"/>
      <c r="Q11" s="69"/>
      <c r="R11" s="69"/>
      <c r="S11" s="69"/>
      <c r="T11" s="69"/>
      <c r="U11" s="69"/>
      <c r="V11" s="69"/>
      <c r="W11" s="69"/>
    </row>
    <row r="12" spans="1:23">
      <c r="A12" s="86"/>
      <c r="B12" s="69"/>
      <c r="C12" s="69"/>
      <c r="D12" s="69"/>
      <c r="E12" s="69"/>
      <c r="F12" s="69"/>
      <c r="G12" s="69"/>
      <c r="H12" s="69"/>
      <c r="I12" s="69"/>
      <c r="J12" s="69"/>
      <c r="K12" s="69"/>
      <c r="L12" s="69"/>
      <c r="M12" s="69"/>
      <c r="N12" s="69"/>
      <c r="O12" s="69"/>
      <c r="P12" s="69"/>
      <c r="Q12" s="69"/>
      <c r="R12" s="69"/>
      <c r="S12" s="69"/>
      <c r="T12" s="69"/>
      <c r="U12" s="69"/>
      <c r="V12" s="69"/>
      <c r="W12" s="69"/>
    </row>
    <row r="13" spans="1:23">
      <c r="A13" s="86"/>
      <c r="B13" s="69"/>
      <c r="C13" s="69"/>
      <c r="D13" s="69"/>
      <c r="E13" s="69"/>
      <c r="F13" s="69"/>
      <c r="G13" s="69"/>
      <c r="H13" s="69"/>
      <c r="I13" s="69"/>
      <c r="J13" s="69"/>
      <c r="K13" s="69"/>
      <c r="L13" s="69"/>
      <c r="M13" s="69"/>
      <c r="N13" s="69"/>
      <c r="O13" s="69"/>
      <c r="P13" s="69"/>
      <c r="Q13" s="69"/>
      <c r="R13" s="69"/>
      <c r="S13" s="69"/>
      <c r="T13" s="69"/>
      <c r="U13" s="69"/>
      <c r="V13" s="69"/>
      <c r="W13" s="69"/>
    </row>
    <row r="14" spans="1:23">
      <c r="A14" s="86"/>
      <c r="B14" s="69"/>
      <c r="C14" s="69"/>
      <c r="D14" s="69"/>
      <c r="E14" s="69"/>
      <c r="F14" s="69"/>
      <c r="G14" s="69"/>
      <c r="H14" s="69"/>
      <c r="I14" s="69"/>
      <c r="J14" s="69"/>
      <c r="K14" s="69"/>
      <c r="L14" s="69"/>
      <c r="M14" s="69"/>
      <c r="N14" s="69"/>
      <c r="O14" s="69"/>
      <c r="P14" s="69"/>
      <c r="Q14" s="69"/>
      <c r="R14" s="69"/>
      <c r="S14" s="69"/>
      <c r="T14" s="69"/>
      <c r="U14" s="69"/>
      <c r="V14" s="69"/>
      <c r="W14" s="69"/>
    </row>
    <row r="15" spans="1:23">
      <c r="A15" s="86"/>
      <c r="B15" s="69"/>
      <c r="C15" s="69"/>
      <c r="D15" s="69"/>
      <c r="E15" s="69"/>
      <c r="F15" s="69"/>
      <c r="G15" s="69"/>
      <c r="H15" s="69"/>
      <c r="I15" s="69"/>
      <c r="J15" s="69"/>
      <c r="K15" s="69"/>
      <c r="L15" s="69"/>
      <c r="M15" s="69"/>
      <c r="N15" s="69"/>
      <c r="O15" s="69"/>
      <c r="P15" s="69"/>
      <c r="Q15" s="69"/>
      <c r="R15" s="69"/>
      <c r="S15" s="69"/>
      <c r="T15" s="69"/>
      <c r="U15" s="69"/>
      <c r="V15" s="69"/>
      <c r="W15" s="69"/>
    </row>
    <row r="16" spans="1:23">
      <c r="A16" s="86"/>
      <c r="B16" s="69"/>
      <c r="C16" s="69"/>
      <c r="D16" s="69"/>
      <c r="E16" s="69"/>
      <c r="F16" s="69"/>
      <c r="G16" s="69"/>
      <c r="H16" s="69"/>
      <c r="I16" s="69"/>
      <c r="J16" s="69"/>
      <c r="K16" s="69"/>
      <c r="L16" s="69"/>
      <c r="M16" s="69"/>
      <c r="N16" s="69"/>
      <c r="O16" s="69"/>
      <c r="P16" s="69"/>
      <c r="Q16" s="69"/>
      <c r="R16" s="69"/>
      <c r="S16" s="69"/>
      <c r="T16" s="69"/>
      <c r="U16" s="69"/>
      <c r="V16" s="69"/>
      <c r="W16" s="69"/>
    </row>
    <row r="17" spans="1:23">
      <c r="A17" s="86"/>
      <c r="B17" s="69"/>
      <c r="C17" s="69"/>
      <c r="D17" s="69"/>
      <c r="E17" s="69"/>
      <c r="F17" s="69"/>
      <c r="G17" s="69"/>
      <c r="H17" s="69"/>
      <c r="I17" s="69"/>
      <c r="J17" s="69"/>
      <c r="K17" s="69"/>
      <c r="L17" s="69"/>
      <c r="M17" s="69"/>
      <c r="N17" s="69"/>
      <c r="O17" s="69"/>
      <c r="P17" s="69"/>
      <c r="Q17" s="69"/>
      <c r="R17" s="69"/>
      <c r="S17" s="69"/>
      <c r="T17" s="69"/>
      <c r="U17" s="69"/>
      <c r="V17" s="69"/>
      <c r="W17" s="69"/>
    </row>
    <row r="18" spans="1:23">
      <c r="A18" s="86"/>
      <c r="B18" s="86"/>
      <c r="C18" s="86"/>
      <c r="D18" s="86"/>
      <c r="E18" s="86"/>
      <c r="F18" s="86"/>
      <c r="G18" s="86"/>
      <c r="H18" s="86"/>
      <c r="I18" s="86"/>
      <c r="J18" s="86"/>
      <c r="K18" s="86"/>
      <c r="L18" s="86"/>
      <c r="M18" s="86"/>
      <c r="N18" s="86"/>
      <c r="O18" s="86"/>
      <c r="P18" s="86"/>
      <c r="Q18" s="69"/>
      <c r="R18" s="69"/>
      <c r="S18" s="69"/>
      <c r="T18" s="69"/>
      <c r="U18" s="69"/>
      <c r="V18" s="69"/>
      <c r="W18" s="69"/>
    </row>
    <row r="19" spans="1:23">
      <c r="A19" s="86"/>
      <c r="B19" s="69"/>
      <c r="C19" s="69"/>
      <c r="D19" s="69"/>
      <c r="E19" s="69"/>
      <c r="F19" s="69"/>
      <c r="G19" s="69"/>
      <c r="H19" s="69"/>
      <c r="I19" s="69"/>
      <c r="J19" s="69"/>
      <c r="K19" s="69"/>
      <c r="L19" s="69"/>
      <c r="M19" s="69"/>
      <c r="N19" s="69"/>
      <c r="O19" s="69"/>
      <c r="P19" s="69"/>
      <c r="Q19" s="69"/>
      <c r="R19" s="69"/>
      <c r="S19" s="69"/>
      <c r="T19" s="69"/>
      <c r="U19" s="69"/>
      <c r="V19" s="69"/>
      <c r="W19" s="69"/>
    </row>
    <row r="20" spans="1:23">
      <c r="A20" s="86"/>
      <c r="B20" s="69"/>
      <c r="C20" s="69"/>
      <c r="D20" s="69"/>
      <c r="E20" s="69"/>
      <c r="F20" s="69"/>
      <c r="G20" s="69"/>
      <c r="H20" s="69"/>
      <c r="I20" s="69"/>
      <c r="J20" s="69"/>
      <c r="K20" s="69"/>
      <c r="L20" s="69"/>
      <c r="M20" s="69"/>
      <c r="N20" s="69"/>
      <c r="O20" s="69"/>
      <c r="P20" s="69"/>
      <c r="Q20" s="69"/>
      <c r="R20" s="69"/>
      <c r="S20" s="69"/>
      <c r="T20" s="69"/>
      <c r="U20" s="69"/>
      <c r="V20" s="69"/>
      <c r="W20" s="69"/>
    </row>
    <row r="21" spans="1:23">
      <c r="A21" s="86"/>
      <c r="B21" s="69"/>
      <c r="C21" s="69"/>
      <c r="D21" s="69"/>
      <c r="E21" s="69"/>
      <c r="F21" s="69"/>
      <c r="G21" s="69"/>
      <c r="H21" s="69"/>
      <c r="I21" s="69"/>
      <c r="J21" s="69"/>
      <c r="K21" s="69"/>
      <c r="L21" s="69"/>
      <c r="M21" s="69"/>
      <c r="N21" s="69"/>
      <c r="O21" s="69"/>
      <c r="P21" s="69"/>
      <c r="Q21" s="69"/>
      <c r="R21" s="69"/>
      <c r="S21" s="69"/>
      <c r="T21" s="69"/>
      <c r="U21" s="69"/>
      <c r="V21" s="69"/>
      <c r="W21" s="69"/>
    </row>
    <row r="22" spans="1:23">
      <c r="A22" s="86"/>
      <c r="B22" s="69"/>
      <c r="C22" s="69"/>
      <c r="D22" s="69"/>
      <c r="E22" s="69"/>
      <c r="F22" s="69"/>
      <c r="G22" s="69"/>
      <c r="H22" s="69"/>
      <c r="I22" s="69"/>
      <c r="J22" s="69"/>
      <c r="K22" s="69"/>
      <c r="L22" s="69"/>
      <c r="M22" s="69"/>
      <c r="N22" s="69"/>
      <c r="O22" s="69"/>
      <c r="P22" s="69"/>
      <c r="Q22" s="69"/>
      <c r="R22" s="69"/>
      <c r="S22" s="69"/>
      <c r="T22" s="69"/>
      <c r="U22" s="69"/>
      <c r="V22" s="69"/>
      <c r="W22" s="69"/>
    </row>
    <row r="23" spans="1:23">
      <c r="A23" s="86"/>
      <c r="B23" s="69"/>
      <c r="C23" s="69"/>
      <c r="D23" s="69"/>
      <c r="E23" s="69"/>
      <c r="F23" s="69"/>
      <c r="G23" s="69"/>
      <c r="H23" s="69"/>
      <c r="I23" s="69"/>
      <c r="J23" s="69"/>
      <c r="K23" s="69"/>
      <c r="L23" s="69"/>
      <c r="M23" s="69"/>
      <c r="N23" s="69"/>
      <c r="O23" s="69"/>
      <c r="P23" s="69"/>
      <c r="Q23" s="69"/>
      <c r="R23" s="69"/>
      <c r="S23" s="69"/>
      <c r="T23" s="69"/>
      <c r="U23" s="69"/>
      <c r="V23" s="69"/>
      <c r="W23" s="69"/>
    </row>
    <row r="24" spans="1:23">
      <c r="A24" s="86"/>
      <c r="B24" s="69"/>
      <c r="C24" s="69"/>
      <c r="D24" s="69"/>
      <c r="E24" s="69"/>
      <c r="F24" s="69"/>
      <c r="G24" s="69"/>
      <c r="H24" s="69"/>
      <c r="I24" s="69"/>
      <c r="J24" s="69"/>
      <c r="K24" s="69"/>
      <c r="L24" s="69"/>
      <c r="M24" s="69"/>
      <c r="N24" s="69"/>
      <c r="O24" s="69"/>
      <c r="P24" s="69"/>
      <c r="Q24" s="69"/>
      <c r="R24" s="69"/>
      <c r="S24" s="69"/>
      <c r="T24" s="69"/>
      <c r="U24" s="69"/>
      <c r="V24" s="69"/>
      <c r="W24" s="69"/>
    </row>
    <row r="25" spans="1:23">
      <c r="A25" s="86"/>
      <c r="B25" s="86"/>
      <c r="C25" s="86"/>
      <c r="D25" s="86"/>
      <c r="E25" s="86"/>
      <c r="F25" s="86"/>
      <c r="G25" s="86"/>
      <c r="H25" s="86"/>
      <c r="I25" s="86"/>
      <c r="J25" s="86"/>
      <c r="K25" s="86"/>
      <c r="L25" s="86"/>
      <c r="M25" s="86"/>
      <c r="N25" s="86"/>
      <c r="O25" s="86"/>
      <c r="P25" s="86"/>
      <c r="Q25" s="69"/>
      <c r="R25" s="69"/>
      <c r="S25" s="69"/>
      <c r="T25" s="69"/>
      <c r="U25" s="69"/>
      <c r="V25" s="69"/>
      <c r="W25" s="69"/>
    </row>
    <row r="26" spans="1:23">
      <c r="A26" s="86"/>
      <c r="B26" s="69"/>
      <c r="C26" s="69"/>
      <c r="D26" s="69"/>
      <c r="E26" s="69"/>
      <c r="F26" s="69"/>
      <c r="G26" s="69"/>
      <c r="H26" s="69"/>
      <c r="I26" s="69"/>
      <c r="J26" s="69"/>
      <c r="K26" s="69"/>
      <c r="L26" s="69"/>
      <c r="M26" s="69"/>
      <c r="N26" s="69"/>
      <c r="O26" s="69"/>
      <c r="P26" s="69"/>
      <c r="Q26" s="69"/>
      <c r="R26" s="69"/>
      <c r="S26" s="69"/>
      <c r="T26" s="69"/>
      <c r="U26" s="69"/>
      <c r="V26" s="69"/>
      <c r="W26" s="69"/>
    </row>
    <row r="27" spans="1:23">
      <c r="A27" s="86"/>
      <c r="B27" s="69"/>
      <c r="C27" s="69"/>
      <c r="D27" s="69"/>
      <c r="E27" s="69"/>
      <c r="F27" s="69"/>
      <c r="G27" s="69"/>
      <c r="H27" s="69"/>
      <c r="I27" s="69"/>
      <c r="J27" s="69"/>
      <c r="K27" s="69"/>
      <c r="L27" s="69"/>
      <c r="M27" s="69"/>
      <c r="N27" s="69"/>
      <c r="O27" s="69"/>
      <c r="P27" s="69"/>
      <c r="Q27" s="69"/>
      <c r="R27" s="69"/>
      <c r="S27" s="69"/>
      <c r="T27" s="69"/>
      <c r="U27" s="69"/>
      <c r="V27" s="69"/>
      <c r="W27" s="69"/>
    </row>
    <row r="28" spans="1:23">
      <c r="A28" s="86"/>
      <c r="B28" s="69"/>
      <c r="C28" s="69"/>
      <c r="D28" s="69"/>
      <c r="E28" s="69"/>
      <c r="F28" s="69"/>
      <c r="G28" s="69"/>
      <c r="H28" s="69"/>
      <c r="I28" s="69"/>
      <c r="J28" s="69"/>
      <c r="K28" s="69"/>
      <c r="L28" s="69"/>
      <c r="M28" s="69"/>
      <c r="N28" s="69"/>
      <c r="O28" s="69"/>
      <c r="P28" s="69"/>
      <c r="Q28" s="69"/>
      <c r="R28" s="69"/>
      <c r="S28" s="69"/>
      <c r="T28" s="69"/>
      <c r="U28" s="69"/>
      <c r="V28" s="69"/>
      <c r="W28" s="69"/>
    </row>
    <row r="29" spans="1:23">
      <c r="A29" s="86"/>
      <c r="B29" s="69"/>
      <c r="C29" s="69"/>
      <c r="D29" s="69"/>
      <c r="E29" s="69"/>
      <c r="F29" s="69"/>
      <c r="G29" s="69"/>
      <c r="H29" s="69"/>
      <c r="I29" s="69"/>
      <c r="J29" s="69"/>
      <c r="K29" s="69"/>
      <c r="L29" s="69"/>
      <c r="M29" s="69"/>
      <c r="N29" s="69"/>
      <c r="O29" s="69"/>
      <c r="P29" s="69"/>
      <c r="Q29" s="69"/>
      <c r="R29" s="69"/>
      <c r="S29" s="69"/>
      <c r="T29" s="69"/>
      <c r="U29" s="69"/>
      <c r="V29" s="69"/>
      <c r="W29" s="69"/>
    </row>
    <row r="30" spans="1:23">
      <c r="A30" s="86"/>
      <c r="B30" s="69"/>
      <c r="C30" s="69"/>
      <c r="D30" s="69"/>
      <c r="E30" s="69"/>
      <c r="F30" s="69"/>
      <c r="G30" s="69"/>
      <c r="H30" s="69"/>
      <c r="I30" s="69"/>
      <c r="J30" s="69"/>
      <c r="K30" s="69"/>
      <c r="L30" s="69"/>
      <c r="M30" s="69"/>
      <c r="N30" s="69"/>
      <c r="O30" s="69"/>
      <c r="P30" s="69"/>
      <c r="Q30" s="69"/>
      <c r="R30" s="69"/>
      <c r="S30" s="69"/>
      <c r="T30" s="69"/>
      <c r="U30" s="69"/>
      <c r="V30" s="69"/>
      <c r="W30" s="69"/>
    </row>
    <row r="31" spans="1:23">
      <c r="A31" s="86"/>
      <c r="B31" s="69"/>
      <c r="C31" s="69"/>
      <c r="D31" s="69"/>
      <c r="E31" s="69"/>
      <c r="F31" s="69"/>
      <c r="G31" s="69"/>
      <c r="H31" s="69"/>
      <c r="I31" s="69"/>
      <c r="J31" s="69"/>
      <c r="K31" s="69"/>
      <c r="L31" s="69"/>
      <c r="M31" s="69"/>
      <c r="N31" s="69"/>
      <c r="O31" s="69"/>
      <c r="P31" s="69"/>
      <c r="Q31" s="69"/>
      <c r="R31" s="69"/>
      <c r="S31" s="69"/>
      <c r="T31" s="69"/>
      <c r="U31" s="69"/>
      <c r="V31" s="69"/>
      <c r="W31" s="69"/>
    </row>
    <row r="32" spans="1:23">
      <c r="A32" s="86"/>
      <c r="B32" s="69"/>
      <c r="C32" s="69"/>
      <c r="D32" s="69"/>
      <c r="E32" s="69"/>
      <c r="F32" s="69"/>
      <c r="G32" s="69"/>
      <c r="H32" s="69"/>
      <c r="I32" s="69"/>
      <c r="J32" s="69"/>
      <c r="K32" s="69"/>
      <c r="L32" s="69"/>
      <c r="M32" s="69"/>
      <c r="N32" s="69"/>
      <c r="O32" s="69"/>
      <c r="P32" s="69"/>
      <c r="Q32" s="69"/>
      <c r="R32" s="69"/>
      <c r="S32" s="69"/>
      <c r="T32" s="69"/>
      <c r="U32" s="69"/>
      <c r="V32" s="69"/>
      <c r="W32" s="69"/>
    </row>
    <row r="33" spans="1:23">
      <c r="A33" s="86"/>
      <c r="B33" s="69"/>
      <c r="C33" s="69"/>
      <c r="D33" s="69"/>
      <c r="E33" s="69"/>
      <c r="F33" s="69"/>
      <c r="G33" s="69"/>
      <c r="H33" s="69"/>
      <c r="I33" s="69"/>
      <c r="J33" s="69"/>
      <c r="K33" s="69"/>
      <c r="L33" s="69"/>
      <c r="M33" s="69"/>
      <c r="N33" s="69"/>
      <c r="O33" s="69"/>
      <c r="P33" s="69"/>
      <c r="Q33" s="69"/>
      <c r="R33" s="69"/>
      <c r="S33" s="69"/>
      <c r="T33" s="69"/>
      <c r="U33" s="69"/>
      <c r="V33" s="69"/>
      <c r="W33" s="69"/>
    </row>
    <row r="34" spans="1:23">
      <c r="A34" s="86"/>
      <c r="B34" s="69"/>
      <c r="C34" s="69"/>
      <c r="D34" s="69"/>
      <c r="E34" s="69"/>
      <c r="F34" s="69"/>
      <c r="G34" s="69"/>
      <c r="H34" s="69"/>
      <c r="I34" s="69"/>
      <c r="J34" s="69"/>
      <c r="K34" s="69"/>
      <c r="L34" s="69"/>
      <c r="M34" s="69"/>
      <c r="N34" s="69"/>
      <c r="O34" s="69"/>
      <c r="P34" s="69"/>
      <c r="Q34" s="69"/>
      <c r="R34" s="69"/>
      <c r="S34" s="69"/>
      <c r="T34" s="69"/>
      <c r="U34" s="69"/>
      <c r="V34" s="69"/>
      <c r="W34" s="69"/>
    </row>
    <row r="35" spans="1:23">
      <c r="A35" s="86"/>
      <c r="B35" s="69"/>
      <c r="C35" s="69"/>
      <c r="D35" s="69"/>
      <c r="E35" s="69"/>
      <c r="F35" s="69"/>
      <c r="G35" s="69"/>
      <c r="H35" s="69"/>
      <c r="I35" s="69"/>
      <c r="J35" s="69"/>
      <c r="K35" s="69"/>
      <c r="L35" s="69"/>
      <c r="M35" s="69"/>
      <c r="N35" s="69"/>
      <c r="O35" s="69"/>
      <c r="P35" s="69"/>
      <c r="Q35" s="69"/>
      <c r="R35" s="69"/>
      <c r="S35" s="69"/>
      <c r="T35" s="69"/>
      <c r="U35" s="69"/>
      <c r="V35" s="69"/>
      <c r="W35" s="69"/>
    </row>
    <row r="36" spans="1:23">
      <c r="A36" s="86"/>
      <c r="B36" s="69"/>
      <c r="C36" s="69"/>
      <c r="D36" s="69"/>
      <c r="E36" s="69"/>
      <c r="F36" s="69"/>
      <c r="G36" s="69"/>
      <c r="H36" s="69"/>
      <c r="I36" s="69"/>
      <c r="J36" s="69"/>
      <c r="K36" s="69"/>
      <c r="L36" s="69"/>
      <c r="M36" s="69"/>
      <c r="N36" s="69"/>
      <c r="O36" s="69"/>
      <c r="P36" s="69"/>
      <c r="Q36" s="69"/>
      <c r="R36" s="69"/>
      <c r="S36" s="69"/>
      <c r="T36" s="69"/>
      <c r="U36" s="69"/>
      <c r="V36" s="69"/>
      <c r="W36" s="69"/>
    </row>
    <row r="37" spans="1:23">
      <c r="A37" s="86"/>
      <c r="B37" s="69"/>
      <c r="C37" s="69"/>
      <c r="D37" s="69"/>
      <c r="E37" s="69"/>
      <c r="F37" s="69"/>
      <c r="G37" s="69"/>
      <c r="H37" s="69"/>
      <c r="I37" s="69"/>
      <c r="J37" s="69"/>
      <c r="K37" s="69"/>
      <c r="L37" s="69"/>
      <c r="M37" s="69"/>
      <c r="N37" s="69"/>
      <c r="O37" s="69"/>
      <c r="P37" s="69"/>
      <c r="Q37" s="69"/>
      <c r="R37" s="69"/>
      <c r="S37" s="69"/>
      <c r="T37" s="69"/>
      <c r="U37" s="69"/>
      <c r="V37" s="69"/>
      <c r="W37" s="69"/>
    </row>
    <row r="38" spans="1:23">
      <c r="A38" s="86"/>
      <c r="B38" s="69"/>
      <c r="C38" s="69"/>
      <c r="D38" s="69"/>
      <c r="E38" s="69"/>
      <c r="F38" s="69"/>
      <c r="G38" s="69"/>
      <c r="H38" s="69"/>
      <c r="I38" s="69"/>
      <c r="J38" s="69"/>
      <c r="K38" s="69"/>
      <c r="L38" s="69"/>
      <c r="M38" s="69"/>
      <c r="N38" s="69"/>
      <c r="O38" s="69"/>
      <c r="P38" s="69"/>
      <c r="Q38" s="69"/>
      <c r="R38" s="69"/>
      <c r="S38" s="69"/>
      <c r="T38" s="69"/>
      <c r="U38" s="69"/>
      <c r="V38" s="69"/>
      <c r="W38" s="69"/>
    </row>
    <row r="39" spans="1:23">
      <c r="A39" s="86"/>
      <c r="B39" s="69"/>
      <c r="C39" s="69"/>
      <c r="D39" s="69"/>
      <c r="E39" s="69"/>
      <c r="F39" s="69"/>
      <c r="G39" s="69"/>
      <c r="H39" s="69"/>
      <c r="I39" s="69"/>
      <c r="J39" s="69"/>
      <c r="K39" s="69"/>
      <c r="L39" s="69"/>
      <c r="M39" s="69"/>
      <c r="N39" s="69"/>
      <c r="O39" s="69"/>
      <c r="P39" s="69"/>
      <c r="Q39" s="69"/>
      <c r="R39" s="69"/>
      <c r="S39" s="69"/>
      <c r="T39" s="69"/>
      <c r="U39" s="69"/>
      <c r="V39" s="69"/>
      <c r="W39" s="69"/>
    </row>
    <row r="40" spans="1:23">
      <c r="A40" s="86"/>
      <c r="B40" s="69"/>
      <c r="C40" s="69"/>
      <c r="D40" s="69"/>
      <c r="E40" s="69"/>
      <c r="F40" s="69"/>
      <c r="G40" s="69"/>
      <c r="H40" s="69"/>
      <c r="I40" s="69"/>
      <c r="J40" s="69"/>
      <c r="K40" s="69"/>
      <c r="L40" s="69"/>
      <c r="M40" s="69"/>
      <c r="N40" s="69"/>
      <c r="O40" s="69"/>
      <c r="P40" s="69"/>
      <c r="Q40" s="69"/>
      <c r="R40" s="69"/>
      <c r="S40" s="69"/>
      <c r="T40" s="69"/>
      <c r="U40" s="69"/>
      <c r="V40" s="69"/>
      <c r="W40" s="69"/>
    </row>
    <row r="41" spans="1:23">
      <c r="A41" s="86"/>
      <c r="B41" s="69"/>
      <c r="C41" s="69"/>
      <c r="D41" s="69"/>
      <c r="E41" s="69"/>
      <c r="F41" s="69"/>
      <c r="G41" s="69"/>
      <c r="H41" s="69"/>
      <c r="I41" s="69"/>
      <c r="J41" s="69"/>
      <c r="K41" s="69"/>
      <c r="L41" s="69"/>
      <c r="M41" s="69"/>
      <c r="N41" s="69"/>
      <c r="O41" s="69"/>
      <c r="P41" s="69"/>
      <c r="Q41" s="69"/>
      <c r="R41" s="69"/>
      <c r="S41" s="69"/>
      <c r="T41" s="69"/>
      <c r="U41" s="69"/>
      <c r="V41" s="69"/>
      <c r="W41" s="69"/>
    </row>
    <row r="42" spans="1:23">
      <c r="A42" s="86"/>
      <c r="B42" s="69"/>
      <c r="C42" s="69"/>
      <c r="D42" s="69"/>
      <c r="E42" s="69"/>
      <c r="F42" s="69"/>
      <c r="G42" s="69"/>
      <c r="H42" s="69"/>
      <c r="I42" s="69"/>
      <c r="J42" s="69"/>
      <c r="K42" s="69"/>
      <c r="L42" s="69"/>
      <c r="M42" s="69"/>
      <c r="N42" s="69"/>
      <c r="O42" s="69"/>
      <c r="P42" s="69"/>
      <c r="Q42" s="69"/>
      <c r="R42" s="69"/>
      <c r="S42" s="69"/>
      <c r="T42" s="69"/>
      <c r="U42" s="69"/>
      <c r="V42" s="69"/>
      <c r="W42" s="69"/>
    </row>
    <row r="43" spans="1:23">
      <c r="A43" s="86"/>
      <c r="B43" s="69"/>
      <c r="C43" s="69"/>
      <c r="D43" s="69"/>
      <c r="E43" s="69"/>
      <c r="F43" s="69"/>
      <c r="G43" s="69"/>
      <c r="H43" s="69"/>
      <c r="I43" s="69"/>
      <c r="J43" s="69"/>
      <c r="K43" s="69"/>
      <c r="L43" s="69"/>
      <c r="M43" s="69"/>
      <c r="N43" s="69"/>
      <c r="O43" s="69"/>
      <c r="P43" s="69"/>
      <c r="Q43" s="69"/>
      <c r="R43" s="69"/>
      <c r="S43" s="69"/>
      <c r="T43" s="69"/>
      <c r="U43" s="69"/>
      <c r="V43" s="69"/>
      <c r="W43" s="69"/>
    </row>
    <row r="44" spans="1:23">
      <c r="A44" s="86"/>
      <c r="B44" s="69"/>
      <c r="C44" s="69"/>
      <c r="D44" s="69"/>
      <c r="E44" s="69"/>
      <c r="F44" s="69"/>
      <c r="G44" s="69"/>
      <c r="H44" s="69"/>
      <c r="I44" s="69"/>
      <c r="J44" s="69"/>
      <c r="K44" s="69"/>
      <c r="L44" s="69"/>
      <c r="M44" s="69"/>
      <c r="N44" s="69"/>
      <c r="O44" s="69"/>
      <c r="P44" s="69"/>
      <c r="Q44" s="69"/>
      <c r="R44" s="69"/>
      <c r="S44" s="69"/>
      <c r="T44" s="69"/>
      <c r="U44" s="69"/>
      <c r="V44" s="69"/>
      <c r="W44" s="69"/>
    </row>
    <row r="45" spans="1:23">
      <c r="A45" s="86"/>
      <c r="B45" s="69"/>
      <c r="C45" s="69"/>
      <c r="D45" s="69"/>
      <c r="E45" s="69"/>
      <c r="F45" s="69"/>
      <c r="G45" s="69"/>
      <c r="H45" s="69"/>
      <c r="I45" s="69"/>
      <c r="J45" s="69"/>
      <c r="K45" s="69"/>
      <c r="L45" s="69"/>
      <c r="M45" s="69"/>
      <c r="N45" s="69"/>
      <c r="O45" s="69"/>
      <c r="P45" s="69"/>
      <c r="Q45" s="69"/>
      <c r="R45" s="69"/>
      <c r="S45" s="69"/>
      <c r="T45" s="69"/>
      <c r="U45" s="69"/>
      <c r="V45" s="69"/>
      <c r="W45" s="69"/>
    </row>
    <row r="46" spans="1:23">
      <c r="A46" s="86"/>
      <c r="B46" s="69"/>
      <c r="C46" s="69"/>
      <c r="D46" s="69"/>
      <c r="E46" s="69"/>
      <c r="F46" s="69"/>
      <c r="G46" s="69"/>
      <c r="H46" s="69"/>
      <c r="I46" s="69"/>
      <c r="J46" s="69"/>
      <c r="K46" s="69"/>
      <c r="L46" s="69"/>
      <c r="M46" s="69"/>
      <c r="N46" s="69"/>
      <c r="O46" s="69"/>
      <c r="P46" s="69"/>
      <c r="Q46" s="69"/>
      <c r="R46" s="69"/>
      <c r="S46" s="69"/>
      <c r="T46" s="69"/>
      <c r="U46" s="69"/>
      <c r="V46" s="69"/>
      <c r="W46" s="69"/>
    </row>
    <row r="47" spans="1:23">
      <c r="A47" s="86"/>
      <c r="B47" s="69"/>
      <c r="C47" s="69"/>
      <c r="D47" s="69"/>
      <c r="E47" s="69"/>
      <c r="F47" s="69"/>
      <c r="G47" s="69"/>
      <c r="H47" s="69"/>
      <c r="I47" s="69"/>
      <c r="J47" s="69"/>
      <c r="K47" s="69"/>
      <c r="L47" s="69"/>
      <c r="M47" s="69"/>
      <c r="N47" s="69"/>
      <c r="O47" s="69"/>
      <c r="P47" s="69"/>
      <c r="Q47" s="69"/>
      <c r="R47" s="69"/>
      <c r="S47" s="69"/>
      <c r="T47" s="69"/>
      <c r="U47" s="69"/>
      <c r="V47" s="69"/>
      <c r="W47" s="69"/>
    </row>
    <row r="48" spans="1:23">
      <c r="A48" s="86"/>
      <c r="B48" s="69"/>
      <c r="C48" s="69"/>
      <c r="D48" s="69"/>
      <c r="E48" s="69"/>
      <c r="F48" s="69"/>
      <c r="G48" s="69"/>
      <c r="H48" s="69"/>
      <c r="I48" s="69"/>
      <c r="J48" s="69"/>
      <c r="K48" s="69"/>
      <c r="L48" s="69"/>
      <c r="M48" s="69"/>
      <c r="N48" s="69"/>
      <c r="O48" s="69"/>
      <c r="P48" s="69"/>
      <c r="Q48" s="69"/>
      <c r="R48" s="69"/>
      <c r="S48" s="69"/>
      <c r="T48" s="69"/>
      <c r="U48" s="69"/>
      <c r="V48" s="69"/>
      <c r="W48" s="69"/>
    </row>
    <row r="49" spans="1:23">
      <c r="A49" s="86"/>
      <c r="B49" s="69"/>
      <c r="C49" s="69"/>
      <c r="D49" s="69"/>
      <c r="E49" s="69"/>
      <c r="F49" s="69"/>
      <c r="G49" s="69"/>
      <c r="H49" s="69"/>
      <c r="I49" s="69"/>
      <c r="J49" s="69"/>
      <c r="K49" s="69"/>
      <c r="L49" s="69"/>
      <c r="M49" s="69"/>
      <c r="N49" s="69"/>
      <c r="O49" s="69"/>
      <c r="P49" s="69"/>
      <c r="Q49" s="69"/>
      <c r="R49" s="69"/>
      <c r="S49" s="69"/>
      <c r="T49" s="69"/>
      <c r="U49" s="69"/>
      <c r="V49" s="69"/>
      <c r="W49" s="69"/>
    </row>
    <row r="50" spans="1:23">
      <c r="A50" s="86"/>
      <c r="B50" s="69"/>
      <c r="C50" s="69"/>
      <c r="D50" s="69"/>
      <c r="E50" s="69"/>
      <c r="F50" s="69"/>
      <c r="G50" s="69"/>
      <c r="H50" s="69"/>
      <c r="I50" s="69"/>
      <c r="J50" s="69"/>
      <c r="K50" s="69"/>
      <c r="L50" s="69"/>
      <c r="M50" s="69"/>
      <c r="N50" s="69"/>
      <c r="O50" s="69"/>
      <c r="P50" s="69"/>
      <c r="Q50" s="69"/>
      <c r="R50" s="69"/>
      <c r="S50" s="69"/>
      <c r="T50" s="69"/>
      <c r="U50" s="69"/>
      <c r="V50" s="69"/>
      <c r="W50" s="69"/>
    </row>
    <row r="51" spans="1:23">
      <c r="A51" s="86"/>
      <c r="B51" s="69"/>
      <c r="C51" s="69"/>
      <c r="D51" s="69"/>
      <c r="E51" s="69"/>
      <c r="F51" s="69"/>
      <c r="G51" s="69"/>
      <c r="H51" s="69"/>
      <c r="I51" s="69"/>
      <c r="J51" s="69"/>
      <c r="K51" s="69"/>
      <c r="L51" s="69"/>
      <c r="M51" s="69"/>
      <c r="N51" s="69"/>
      <c r="O51" s="69"/>
      <c r="P51" s="69"/>
      <c r="Q51" s="69"/>
      <c r="R51" s="69"/>
      <c r="S51" s="69"/>
      <c r="T51" s="69"/>
      <c r="U51" s="69"/>
      <c r="V51" s="69"/>
      <c r="W51" s="69"/>
    </row>
    <row r="52" spans="1:23" ht="12.5" customHeight="1">
      <c r="A52" s="86"/>
      <c r="B52" s="69"/>
      <c r="C52" s="69"/>
      <c r="D52" s="69"/>
      <c r="E52" s="69"/>
      <c r="F52" s="69"/>
      <c r="G52" s="85" t="s">
        <v>99</v>
      </c>
      <c r="H52" s="85"/>
      <c r="I52" s="85"/>
      <c r="J52" s="85"/>
      <c r="K52" s="85"/>
      <c r="L52" s="85"/>
      <c r="M52" s="85"/>
      <c r="N52" s="85"/>
      <c r="O52" s="85"/>
      <c r="P52" s="85"/>
      <c r="Q52" s="69"/>
      <c r="R52" s="69"/>
      <c r="S52" s="69"/>
      <c r="T52" s="69"/>
      <c r="U52" s="69"/>
      <c r="V52" s="69"/>
      <c r="W52" s="69"/>
    </row>
    <row r="53" spans="1:23">
      <c r="A53" s="86"/>
      <c r="B53" s="69"/>
      <c r="C53" s="69"/>
      <c r="D53" s="69"/>
      <c r="E53" s="69"/>
      <c r="F53" s="69"/>
      <c r="G53" s="85"/>
      <c r="H53" s="85"/>
      <c r="I53" s="85"/>
      <c r="J53" s="85"/>
      <c r="K53" s="85"/>
      <c r="L53" s="85"/>
      <c r="M53" s="85"/>
      <c r="N53" s="85"/>
      <c r="O53" s="85"/>
      <c r="P53" s="85"/>
      <c r="Q53" s="69"/>
      <c r="R53" s="69"/>
      <c r="S53" s="69"/>
      <c r="T53" s="69"/>
      <c r="U53" s="69"/>
      <c r="V53" s="69"/>
      <c r="W53" s="69"/>
    </row>
    <row r="54" spans="1:23">
      <c r="A54" s="86"/>
      <c r="B54" s="69"/>
      <c r="C54" s="69"/>
      <c r="D54" s="69"/>
      <c r="E54" s="69"/>
      <c r="F54" s="69"/>
      <c r="G54" s="69"/>
      <c r="H54" s="69"/>
      <c r="I54" s="69"/>
      <c r="J54" s="69"/>
      <c r="K54" s="69"/>
      <c r="L54" s="69"/>
      <c r="M54" s="69"/>
      <c r="N54" s="69"/>
      <c r="O54" s="69"/>
      <c r="P54" s="69"/>
      <c r="Q54" s="69"/>
      <c r="R54" s="69"/>
      <c r="S54" s="69"/>
      <c r="T54" s="69"/>
      <c r="U54" s="69"/>
      <c r="V54" s="69"/>
      <c r="W54" s="69"/>
    </row>
    <row r="55" spans="1:23">
      <c r="A55" s="86"/>
      <c r="B55" s="69"/>
      <c r="C55" s="69"/>
      <c r="D55" s="69"/>
      <c r="E55" s="69"/>
      <c r="F55" s="69"/>
      <c r="G55" s="69"/>
      <c r="H55" s="69"/>
      <c r="I55" s="69"/>
      <c r="J55" s="69"/>
      <c r="K55" s="69"/>
      <c r="L55" s="69"/>
      <c r="M55" s="69"/>
      <c r="N55" s="69"/>
      <c r="O55" s="69"/>
      <c r="P55" s="69"/>
      <c r="Q55" s="69"/>
      <c r="R55" s="69"/>
      <c r="S55" s="69"/>
      <c r="T55" s="69"/>
      <c r="U55" s="69"/>
      <c r="V55" s="69"/>
      <c r="W55" s="69"/>
    </row>
    <row r="56" spans="1:23">
      <c r="A56" s="86"/>
      <c r="B56" s="69"/>
      <c r="C56" s="69"/>
      <c r="D56" s="69"/>
      <c r="E56" s="69"/>
      <c r="F56" s="69"/>
      <c r="G56" s="69"/>
      <c r="H56" s="69"/>
      <c r="I56" s="69"/>
      <c r="J56" s="69"/>
      <c r="K56" s="69"/>
      <c r="L56" s="69"/>
      <c r="M56" s="69"/>
      <c r="N56" s="69"/>
      <c r="O56" s="69"/>
      <c r="P56" s="69"/>
      <c r="Q56" s="69"/>
      <c r="R56" s="69"/>
      <c r="S56" s="69"/>
      <c r="T56" s="69"/>
      <c r="U56" s="69"/>
      <c r="V56" s="69"/>
      <c r="W56" s="69"/>
    </row>
    <row r="57" spans="1:23">
      <c r="A57" s="86"/>
      <c r="B57" s="69"/>
      <c r="C57" s="69"/>
      <c r="D57" s="69"/>
      <c r="E57" s="69"/>
      <c r="F57" s="69"/>
      <c r="G57" s="69"/>
      <c r="H57" s="69"/>
      <c r="I57" s="69"/>
      <c r="J57" s="69"/>
      <c r="K57" s="69"/>
      <c r="L57" s="69"/>
      <c r="M57" s="69"/>
      <c r="N57" s="69"/>
      <c r="O57" s="69"/>
      <c r="P57" s="69"/>
      <c r="Q57" s="69"/>
      <c r="R57" s="69"/>
      <c r="S57" s="69"/>
      <c r="T57" s="69"/>
      <c r="U57" s="69"/>
      <c r="V57" s="69"/>
      <c r="W57" s="69"/>
    </row>
    <row r="58" spans="1:23">
      <c r="A58" s="86"/>
      <c r="B58" s="69"/>
      <c r="C58" s="69"/>
      <c r="D58" s="69"/>
      <c r="E58" s="69"/>
      <c r="F58" s="69"/>
      <c r="G58" s="69"/>
      <c r="H58" s="69"/>
      <c r="I58" s="69"/>
      <c r="J58" s="69"/>
      <c r="K58" s="69"/>
      <c r="L58" s="69"/>
      <c r="M58" s="69"/>
      <c r="N58" s="69"/>
      <c r="O58" s="69"/>
      <c r="P58" s="69"/>
      <c r="Q58" s="69"/>
      <c r="R58" s="69"/>
      <c r="S58" s="69"/>
      <c r="T58" s="69"/>
      <c r="U58" s="69"/>
      <c r="V58" s="69"/>
      <c r="W58" s="69"/>
    </row>
    <row r="59" spans="1:23">
      <c r="A59" s="86"/>
      <c r="B59" s="69"/>
      <c r="C59" s="69"/>
      <c r="D59" s="69"/>
      <c r="E59" s="69"/>
      <c r="F59" s="69"/>
      <c r="G59" s="69"/>
      <c r="H59" s="69"/>
      <c r="I59" s="69"/>
      <c r="J59" s="69"/>
      <c r="K59" s="69"/>
      <c r="L59" s="69"/>
      <c r="M59" s="69"/>
      <c r="N59" s="69"/>
      <c r="O59" s="69"/>
      <c r="P59" s="69"/>
      <c r="Q59" s="69"/>
      <c r="R59" s="69"/>
      <c r="S59" s="69"/>
      <c r="T59" s="69"/>
      <c r="U59" s="69"/>
      <c r="V59" s="69"/>
      <c r="W59" s="69"/>
    </row>
    <row r="60" spans="1:23">
      <c r="A60" s="86"/>
      <c r="B60" s="69"/>
      <c r="C60" s="69"/>
      <c r="D60" s="69"/>
      <c r="E60" s="69"/>
      <c r="F60" s="69"/>
      <c r="G60" s="69"/>
      <c r="H60" s="69"/>
      <c r="I60" s="69"/>
      <c r="J60" s="69"/>
      <c r="K60" s="69"/>
      <c r="L60" s="69"/>
      <c r="M60" s="69"/>
      <c r="N60" s="69"/>
      <c r="O60" s="69"/>
      <c r="P60" s="69"/>
      <c r="Q60" s="69"/>
      <c r="R60" s="69"/>
      <c r="S60" s="69"/>
      <c r="T60" s="69"/>
      <c r="U60" s="69"/>
      <c r="V60" s="69"/>
      <c r="W60" s="69"/>
    </row>
    <row r="61" spans="1:23">
      <c r="A61" s="86"/>
      <c r="B61" s="69"/>
      <c r="C61" s="69"/>
      <c r="D61" s="69"/>
      <c r="E61" s="69"/>
      <c r="F61" s="69"/>
      <c r="G61" s="69"/>
      <c r="H61" s="69"/>
      <c r="I61" s="69"/>
      <c r="J61" s="69"/>
      <c r="K61" s="69"/>
      <c r="L61" s="69"/>
      <c r="M61" s="69"/>
      <c r="N61" s="69"/>
      <c r="O61" s="69"/>
      <c r="P61" s="69"/>
      <c r="Q61" s="69"/>
      <c r="R61" s="69"/>
      <c r="S61" s="69"/>
      <c r="T61" s="69"/>
      <c r="U61" s="69"/>
      <c r="V61" s="69"/>
      <c r="W61" s="69"/>
    </row>
    <row r="62" spans="1:23">
      <c r="A62" s="86"/>
      <c r="B62" s="69"/>
      <c r="C62" s="69"/>
      <c r="D62" s="69"/>
      <c r="E62" s="69"/>
      <c r="F62" s="69"/>
      <c r="G62" s="69"/>
      <c r="H62" s="69"/>
      <c r="I62" s="69"/>
      <c r="J62" s="69"/>
      <c r="K62" s="69"/>
      <c r="L62" s="69"/>
      <c r="M62" s="69"/>
      <c r="N62" s="69"/>
      <c r="O62" s="69"/>
      <c r="P62" s="69"/>
      <c r="Q62" s="69"/>
      <c r="R62" s="69"/>
      <c r="S62" s="69"/>
      <c r="T62" s="69"/>
      <c r="U62" s="69"/>
      <c r="V62" s="69"/>
      <c r="W62" s="69"/>
    </row>
    <row r="63" spans="1:23">
      <c r="A63" s="86"/>
      <c r="B63" s="69"/>
      <c r="C63" s="69"/>
      <c r="D63" s="69"/>
      <c r="E63" s="69"/>
      <c r="F63" s="69"/>
      <c r="G63" s="69"/>
      <c r="H63" s="69"/>
      <c r="I63" s="69"/>
      <c r="J63" s="69"/>
      <c r="K63" s="69"/>
      <c r="L63" s="69"/>
      <c r="M63" s="69"/>
      <c r="N63" s="69"/>
      <c r="O63" s="69"/>
      <c r="P63" s="69"/>
      <c r="Q63" s="69"/>
      <c r="R63" s="69"/>
      <c r="S63" s="69"/>
      <c r="T63" s="69"/>
      <c r="U63" s="69"/>
      <c r="V63" s="69"/>
      <c r="W63" s="69"/>
    </row>
    <row r="64" spans="1:23">
      <c r="A64" s="86"/>
      <c r="B64" s="69"/>
      <c r="C64" s="69"/>
      <c r="D64" s="69"/>
      <c r="E64" s="69"/>
      <c r="F64" s="69"/>
      <c r="G64" s="69"/>
      <c r="H64" s="69"/>
      <c r="I64" s="69"/>
      <c r="J64" s="69"/>
      <c r="K64" s="69"/>
      <c r="L64" s="69"/>
      <c r="M64" s="69"/>
      <c r="N64" s="69"/>
      <c r="O64" s="69"/>
      <c r="P64" s="69"/>
      <c r="Q64" s="69"/>
      <c r="R64" s="69"/>
      <c r="S64" s="69"/>
      <c r="T64" s="69"/>
      <c r="U64" s="69"/>
      <c r="V64" s="69"/>
      <c r="W64" s="69"/>
    </row>
    <row r="65" spans="1:23">
      <c r="A65" s="86"/>
      <c r="B65" s="69"/>
      <c r="C65" s="69"/>
      <c r="D65" s="69"/>
      <c r="E65" s="69"/>
      <c r="F65" s="69"/>
      <c r="G65" s="69"/>
      <c r="H65" s="69"/>
      <c r="I65" s="69"/>
      <c r="J65" s="69"/>
      <c r="K65" s="69"/>
      <c r="L65" s="69"/>
      <c r="M65" s="69"/>
      <c r="N65" s="69"/>
      <c r="O65" s="69"/>
      <c r="P65" s="69"/>
      <c r="Q65" s="69"/>
      <c r="R65" s="69"/>
      <c r="S65" s="69"/>
      <c r="T65" s="69"/>
      <c r="U65" s="69"/>
      <c r="V65" s="69"/>
      <c r="W65" s="69"/>
    </row>
    <row r="66" spans="1:23">
      <c r="A66" s="86"/>
      <c r="B66" s="69"/>
      <c r="C66" s="69"/>
      <c r="D66" s="69"/>
      <c r="E66" s="69"/>
      <c r="F66" s="69"/>
      <c r="G66" s="69"/>
      <c r="H66" s="69"/>
      <c r="I66" s="69"/>
      <c r="J66" s="69"/>
      <c r="K66" s="69"/>
      <c r="L66" s="69"/>
      <c r="M66" s="69"/>
      <c r="N66" s="69"/>
      <c r="O66" s="69"/>
      <c r="P66" s="69"/>
      <c r="Q66" s="69"/>
      <c r="R66" s="69"/>
      <c r="S66" s="69"/>
      <c r="T66" s="69"/>
      <c r="U66" s="69"/>
      <c r="V66" s="69"/>
      <c r="W66" s="69"/>
    </row>
    <row r="67" spans="1:23">
      <c r="A67" s="86"/>
      <c r="B67" s="69"/>
      <c r="C67" s="69"/>
      <c r="D67" s="69"/>
      <c r="E67" s="69"/>
      <c r="F67" s="69"/>
      <c r="G67" s="69"/>
      <c r="H67" s="69"/>
      <c r="I67" s="69"/>
      <c r="J67" s="69"/>
      <c r="K67" s="69"/>
      <c r="L67" s="69"/>
      <c r="M67" s="69"/>
      <c r="N67" s="69"/>
      <c r="O67" s="69"/>
      <c r="P67" s="69"/>
      <c r="Q67" s="69"/>
      <c r="R67" s="69"/>
      <c r="S67" s="69"/>
      <c r="T67" s="69"/>
      <c r="U67" s="69"/>
      <c r="V67" s="69"/>
      <c r="W67" s="69"/>
    </row>
    <row r="68" spans="1:23">
      <c r="A68" s="86"/>
      <c r="B68" s="69"/>
      <c r="C68" s="69"/>
      <c r="D68" s="69"/>
      <c r="E68" s="69"/>
      <c r="F68" s="69"/>
      <c r="G68" s="69"/>
      <c r="H68" s="69"/>
      <c r="I68" s="69"/>
      <c r="J68" s="69"/>
      <c r="K68" s="69"/>
      <c r="L68" s="69"/>
      <c r="M68" s="69"/>
      <c r="N68" s="69"/>
      <c r="O68" s="69"/>
      <c r="P68" s="69"/>
      <c r="Q68" s="69"/>
      <c r="R68" s="69"/>
      <c r="S68" s="69"/>
      <c r="T68" s="69"/>
      <c r="U68" s="69"/>
      <c r="V68" s="69"/>
      <c r="W68" s="69"/>
    </row>
    <row r="69" spans="1:23">
      <c r="A69" s="86"/>
      <c r="B69" s="69"/>
      <c r="C69" s="69"/>
      <c r="D69" s="69"/>
      <c r="E69" s="69"/>
      <c r="F69" s="69"/>
      <c r="G69" s="69"/>
      <c r="H69" s="69"/>
      <c r="I69" s="69"/>
      <c r="J69" s="69"/>
      <c r="K69" s="69"/>
      <c r="L69" s="69"/>
      <c r="M69" s="69"/>
      <c r="N69" s="69"/>
      <c r="O69" s="69"/>
      <c r="P69" s="69"/>
      <c r="Q69" s="69"/>
      <c r="R69" s="69"/>
      <c r="S69" s="69"/>
      <c r="T69" s="69"/>
      <c r="U69" s="69"/>
      <c r="V69" s="69"/>
      <c r="W69" s="69"/>
    </row>
    <row r="70" spans="1:23">
      <c r="A70" s="86"/>
      <c r="B70" s="69"/>
      <c r="C70" s="69"/>
      <c r="D70" s="69"/>
      <c r="E70" s="69"/>
      <c r="F70" s="69"/>
      <c r="G70" s="69"/>
      <c r="H70" s="69"/>
      <c r="I70" s="69"/>
      <c r="J70" s="69"/>
      <c r="K70" s="69"/>
      <c r="L70" s="69"/>
      <c r="M70" s="69"/>
      <c r="N70" s="69"/>
      <c r="O70" s="69"/>
      <c r="P70" s="69"/>
      <c r="Q70" s="69"/>
      <c r="R70" s="69"/>
      <c r="S70" s="69"/>
      <c r="T70" s="69"/>
      <c r="U70" s="69"/>
      <c r="V70" s="69"/>
      <c r="W70" s="69"/>
    </row>
    <row r="71" spans="1:23">
      <c r="A71" s="86"/>
      <c r="B71" s="69"/>
      <c r="C71" s="69"/>
      <c r="D71" s="69"/>
      <c r="E71" s="69"/>
      <c r="F71" s="69"/>
      <c r="G71" s="69"/>
      <c r="H71" s="69"/>
      <c r="I71" s="69"/>
      <c r="J71" s="69"/>
      <c r="K71" s="69"/>
      <c r="L71" s="69"/>
      <c r="M71" s="69"/>
      <c r="N71" s="69"/>
      <c r="O71" s="69"/>
      <c r="P71" s="69"/>
      <c r="Q71" s="69"/>
      <c r="R71" s="69"/>
      <c r="S71" s="69"/>
      <c r="T71" s="69"/>
      <c r="U71" s="69"/>
      <c r="V71" s="69"/>
      <c r="W71" s="69"/>
    </row>
    <row r="72" spans="1:23">
      <c r="A72" s="86"/>
      <c r="B72" s="69"/>
      <c r="C72" s="69"/>
      <c r="D72" s="69"/>
      <c r="E72" s="69"/>
      <c r="F72" s="69"/>
      <c r="G72" s="69"/>
      <c r="H72" s="69"/>
      <c r="I72" s="69"/>
      <c r="J72" s="69"/>
      <c r="K72" s="69"/>
      <c r="L72" s="69"/>
      <c r="M72" s="69"/>
      <c r="N72" s="69"/>
      <c r="O72" s="69"/>
      <c r="P72" s="69"/>
      <c r="Q72" s="69"/>
      <c r="R72" s="69"/>
      <c r="S72" s="69"/>
      <c r="T72" s="69"/>
      <c r="U72" s="69"/>
      <c r="V72" s="69"/>
      <c r="W72" s="69"/>
    </row>
    <row r="73" spans="1:23">
      <c r="A73" s="69"/>
      <c r="B73" s="69"/>
      <c r="C73" s="69"/>
      <c r="D73" s="69"/>
      <c r="E73" s="69"/>
      <c r="F73" s="69"/>
      <c r="G73" s="69"/>
      <c r="H73" s="69"/>
      <c r="I73" s="69"/>
      <c r="J73" s="69"/>
      <c r="K73" s="69"/>
      <c r="L73" s="69"/>
      <c r="M73" s="69"/>
      <c r="N73" s="69"/>
      <c r="O73" s="69"/>
      <c r="P73" s="69"/>
      <c r="Q73" s="69"/>
      <c r="R73" s="69"/>
      <c r="S73" s="69"/>
      <c r="T73" s="69"/>
      <c r="U73" s="69"/>
      <c r="V73" s="69"/>
      <c r="W73" s="69"/>
    </row>
    <row r="74" spans="1:23">
      <c r="A74" s="69"/>
      <c r="B74" s="86"/>
      <c r="C74" s="86"/>
      <c r="D74" s="86"/>
      <c r="E74" s="86"/>
      <c r="F74" s="86"/>
      <c r="G74" s="86"/>
      <c r="H74" s="86"/>
      <c r="I74" s="86"/>
      <c r="J74" s="86"/>
      <c r="K74" s="86"/>
      <c r="L74" s="86"/>
      <c r="M74" s="86"/>
      <c r="N74" s="86"/>
      <c r="O74" s="86"/>
      <c r="P74" s="86"/>
      <c r="Q74" s="86"/>
      <c r="R74" s="69"/>
      <c r="S74" s="69"/>
      <c r="T74" s="69"/>
      <c r="U74" s="69"/>
      <c r="V74" s="69"/>
      <c r="W74" s="69"/>
    </row>
    <row r="75" spans="1:23">
      <c r="A75" s="79"/>
      <c r="B75" s="79"/>
      <c r="C75" s="79"/>
      <c r="D75" s="79"/>
      <c r="E75" s="79"/>
      <c r="F75" s="79"/>
      <c r="G75" s="79"/>
      <c r="H75" s="79"/>
      <c r="I75" s="79"/>
      <c r="J75" s="79"/>
      <c r="K75" s="79"/>
      <c r="L75" s="79"/>
      <c r="M75" s="79"/>
      <c r="N75" s="79"/>
      <c r="O75" s="79"/>
      <c r="P75" s="79"/>
      <c r="Q75" s="79"/>
      <c r="R75" s="79"/>
      <c r="S75" s="79"/>
      <c r="T75" s="79"/>
      <c r="U75" s="79"/>
      <c r="V75" s="79"/>
      <c r="W75" s="79"/>
    </row>
    <row r="76" spans="1:23">
      <c r="A76" s="79"/>
      <c r="B76" s="79"/>
      <c r="C76" s="79"/>
      <c r="D76" s="79"/>
      <c r="E76" s="79"/>
      <c r="F76" s="79"/>
      <c r="G76" s="79"/>
      <c r="H76" s="79"/>
      <c r="I76" s="79"/>
      <c r="J76" s="79"/>
      <c r="K76" s="79"/>
      <c r="L76" s="79"/>
      <c r="M76" s="79"/>
      <c r="N76" s="79"/>
      <c r="O76" s="79"/>
      <c r="P76" s="79"/>
      <c r="Q76" s="79"/>
      <c r="R76" s="79"/>
      <c r="S76" s="79"/>
      <c r="T76" s="79"/>
      <c r="U76" s="79"/>
      <c r="V76" s="79"/>
      <c r="W76" s="79"/>
    </row>
    <row r="77" spans="1:23">
      <c r="A77" s="79"/>
      <c r="B77" s="79"/>
      <c r="C77" s="79"/>
      <c r="D77" s="79"/>
      <c r="E77" s="79"/>
      <c r="F77" s="79"/>
      <c r="G77" s="79"/>
      <c r="H77" s="79"/>
      <c r="I77" s="79"/>
      <c r="J77" s="79"/>
      <c r="K77" s="79"/>
      <c r="L77" s="79"/>
      <c r="M77" s="79"/>
      <c r="N77" s="79"/>
      <c r="O77" s="79"/>
      <c r="P77" s="79"/>
      <c r="Q77" s="79"/>
      <c r="R77" s="79"/>
      <c r="S77" s="79"/>
      <c r="T77" s="79"/>
      <c r="U77" s="79"/>
      <c r="V77" s="79"/>
      <c r="W77" s="79"/>
    </row>
    <row r="78" spans="1:23">
      <c r="A78" s="79"/>
      <c r="B78" s="79"/>
      <c r="C78" s="79"/>
      <c r="D78" s="79"/>
      <c r="E78" s="79"/>
      <c r="F78" s="79"/>
      <c r="G78" s="79"/>
      <c r="H78" s="79"/>
      <c r="I78" s="79"/>
      <c r="J78" s="79"/>
      <c r="K78" s="79"/>
      <c r="L78" s="79"/>
      <c r="M78" s="79"/>
      <c r="N78" s="79"/>
      <c r="O78" s="79"/>
      <c r="P78" s="79"/>
      <c r="Q78" s="79"/>
      <c r="R78" s="79"/>
      <c r="S78" s="79"/>
      <c r="T78" s="79"/>
      <c r="U78" s="79"/>
      <c r="V78" s="79"/>
      <c r="W78" s="79"/>
    </row>
    <row r="79" spans="1:23">
      <c r="A79" s="79"/>
      <c r="B79" s="79"/>
      <c r="C79" s="79"/>
      <c r="D79" s="79"/>
      <c r="E79" s="79"/>
      <c r="F79" s="79"/>
      <c r="G79" s="79"/>
      <c r="H79" s="79"/>
      <c r="I79" s="79"/>
      <c r="J79" s="79"/>
      <c r="K79" s="79"/>
      <c r="L79" s="79"/>
      <c r="M79" s="79"/>
      <c r="N79" s="79"/>
      <c r="O79" s="79"/>
      <c r="P79" s="79"/>
      <c r="Q79" s="79"/>
      <c r="R79" s="79"/>
      <c r="S79" s="79"/>
      <c r="T79" s="79"/>
      <c r="U79" s="79"/>
      <c r="V79" s="79"/>
      <c r="W79" s="79"/>
    </row>
    <row r="80" spans="1:23">
      <c r="A80" s="79"/>
      <c r="B80" s="79"/>
      <c r="C80" s="79"/>
      <c r="D80" s="79"/>
      <c r="E80" s="79"/>
      <c r="F80" s="79"/>
      <c r="G80" s="79"/>
      <c r="H80" s="79"/>
      <c r="I80" s="79"/>
      <c r="J80" s="79"/>
      <c r="K80" s="79"/>
      <c r="L80" s="79"/>
      <c r="M80" s="79"/>
      <c r="N80" s="79"/>
      <c r="O80" s="79"/>
      <c r="P80" s="79"/>
      <c r="Q80" s="79"/>
      <c r="R80" s="79"/>
      <c r="S80" s="79"/>
      <c r="T80" s="79"/>
      <c r="U80" s="79"/>
      <c r="V80" s="79"/>
      <c r="W80" s="79"/>
    </row>
    <row r="81" spans="1:23">
      <c r="A81" s="79"/>
      <c r="B81" s="79"/>
      <c r="C81" s="79"/>
      <c r="D81" s="79"/>
      <c r="E81" s="79"/>
      <c r="F81" s="79"/>
      <c r="G81" s="79"/>
      <c r="H81" s="79"/>
      <c r="I81" s="79"/>
      <c r="J81" s="79"/>
      <c r="K81" s="79"/>
      <c r="L81" s="79"/>
      <c r="M81" s="79"/>
      <c r="N81" s="79"/>
      <c r="O81" s="79"/>
      <c r="P81" s="79"/>
      <c r="Q81" s="79"/>
      <c r="R81" s="79"/>
      <c r="S81" s="79"/>
      <c r="T81" s="79"/>
      <c r="U81" s="79"/>
      <c r="V81" s="79"/>
      <c r="W81" s="79"/>
    </row>
    <row r="82" spans="1:23">
      <c r="A82" s="79"/>
      <c r="B82" s="79"/>
      <c r="C82" s="79"/>
      <c r="D82" s="79"/>
      <c r="E82" s="79"/>
      <c r="F82" s="79"/>
      <c r="G82" s="79"/>
      <c r="H82" s="79"/>
      <c r="I82" s="79"/>
      <c r="J82" s="79"/>
      <c r="K82" s="79"/>
      <c r="L82" s="79"/>
      <c r="M82" s="79"/>
      <c r="N82" s="79"/>
      <c r="O82" s="79"/>
      <c r="P82" s="79"/>
      <c r="Q82" s="79"/>
      <c r="R82" s="79"/>
      <c r="S82" s="79"/>
      <c r="T82" s="79"/>
      <c r="U82" s="79"/>
      <c r="V82" s="79"/>
      <c r="W82" s="79"/>
    </row>
    <row r="83" spans="1:23">
      <c r="A83" s="26"/>
      <c r="B83" s="26"/>
      <c r="C83" s="26"/>
      <c r="D83" s="26"/>
      <c r="E83" s="26"/>
      <c r="F83" s="26"/>
      <c r="G83" s="26"/>
      <c r="H83" s="26"/>
      <c r="I83" s="26"/>
      <c r="J83" s="26"/>
      <c r="K83" s="26"/>
      <c r="L83" s="26"/>
      <c r="M83" s="26"/>
      <c r="N83" s="26"/>
      <c r="O83" s="26"/>
      <c r="P83" s="26"/>
      <c r="Q83" s="26"/>
      <c r="R83" s="26"/>
      <c r="S83" s="26"/>
      <c r="T83" s="26"/>
      <c r="U83" s="26"/>
      <c r="V83" s="26"/>
      <c r="W83" s="26"/>
    </row>
    <row r="84" spans="1:23">
      <c r="A84" s="26"/>
      <c r="B84" s="26"/>
      <c r="C84" s="26"/>
      <c r="D84" s="26"/>
      <c r="E84" s="26"/>
      <c r="F84" s="26"/>
      <c r="G84" s="26"/>
      <c r="H84" s="26"/>
      <c r="I84" s="26"/>
      <c r="J84" s="26"/>
      <c r="K84" s="26"/>
      <c r="L84" s="26"/>
      <c r="M84" s="26"/>
      <c r="N84" s="26"/>
      <c r="O84" s="26"/>
      <c r="P84" s="26"/>
      <c r="Q84" s="26"/>
      <c r="R84" s="26"/>
      <c r="S84" s="26"/>
      <c r="T84" s="26"/>
      <c r="U84" s="26"/>
      <c r="V84" s="26"/>
      <c r="W84" s="26"/>
    </row>
    <row r="85" spans="1:23">
      <c r="A85" s="26"/>
      <c r="B85" s="26"/>
      <c r="C85" s="26"/>
      <c r="D85" s="26"/>
      <c r="E85" s="26"/>
      <c r="F85" s="26"/>
      <c r="G85" s="26"/>
      <c r="H85" s="26"/>
      <c r="I85" s="26"/>
      <c r="J85" s="26"/>
      <c r="K85" s="26"/>
      <c r="L85" s="26"/>
      <c r="M85" s="26"/>
      <c r="N85" s="26"/>
      <c r="O85" s="26"/>
      <c r="P85" s="26"/>
      <c r="Q85" s="26"/>
      <c r="R85" s="26"/>
      <c r="S85" s="26"/>
      <c r="T85" s="26"/>
      <c r="U85" s="26"/>
      <c r="V85" s="26"/>
      <c r="W85" s="26"/>
    </row>
    <row r="86" spans="1:23">
      <c r="A86" s="26"/>
      <c r="B86" s="26"/>
      <c r="C86" s="26"/>
      <c r="D86" s="26"/>
      <c r="E86" s="26"/>
      <c r="F86" s="26"/>
      <c r="G86" s="26"/>
      <c r="H86" s="26"/>
      <c r="I86" s="26"/>
      <c r="J86" s="26"/>
      <c r="K86" s="26"/>
      <c r="L86" s="26"/>
      <c r="M86" s="26"/>
      <c r="N86" s="26"/>
      <c r="O86" s="26"/>
      <c r="P86" s="26"/>
      <c r="Q86" s="26"/>
      <c r="R86" s="26"/>
      <c r="S86" s="26"/>
      <c r="T86" s="26"/>
      <c r="U86" s="26"/>
      <c r="V86" s="26"/>
      <c r="W86" s="26"/>
    </row>
    <row r="87" spans="1:23">
      <c r="A87" s="26"/>
      <c r="B87" s="26"/>
      <c r="C87" s="26"/>
      <c r="D87" s="26"/>
      <c r="E87" s="26"/>
      <c r="F87" s="26"/>
      <c r="G87" s="26"/>
      <c r="H87" s="26"/>
      <c r="I87" s="26"/>
      <c r="J87" s="26"/>
      <c r="K87" s="26"/>
      <c r="L87" s="26"/>
      <c r="M87" s="26"/>
      <c r="N87" s="26"/>
      <c r="O87" s="26"/>
      <c r="P87" s="26"/>
      <c r="Q87" s="26"/>
      <c r="R87" s="26"/>
      <c r="S87" s="26"/>
      <c r="T87" s="26"/>
      <c r="U87" s="26"/>
      <c r="V87" s="26"/>
      <c r="W87" s="26"/>
    </row>
    <row r="88" spans="1:23">
      <c r="A88" s="26"/>
      <c r="B88" s="26"/>
      <c r="C88" s="26"/>
      <c r="D88" s="26"/>
      <c r="E88" s="26"/>
      <c r="F88" s="26"/>
      <c r="G88" s="26"/>
      <c r="H88" s="26"/>
      <c r="I88" s="26"/>
      <c r="J88" s="26"/>
      <c r="K88" s="26"/>
      <c r="L88" s="26"/>
      <c r="M88" s="26"/>
      <c r="N88" s="26"/>
      <c r="O88" s="26"/>
      <c r="P88" s="26"/>
      <c r="Q88" s="26"/>
      <c r="R88" s="26"/>
      <c r="S88" s="26"/>
      <c r="T88" s="26"/>
      <c r="U88" s="26"/>
      <c r="V88" s="26"/>
      <c r="W88" s="26"/>
    </row>
    <row r="89" spans="1:23">
      <c r="A89" s="26"/>
      <c r="B89" s="26"/>
      <c r="C89" s="26"/>
      <c r="D89" s="26"/>
      <c r="E89" s="26"/>
      <c r="F89" s="26"/>
      <c r="G89" s="26"/>
      <c r="H89" s="26"/>
      <c r="I89" s="26"/>
      <c r="J89" s="26"/>
      <c r="K89" s="26"/>
      <c r="L89" s="26"/>
      <c r="M89" s="26"/>
      <c r="N89" s="26"/>
      <c r="O89" s="26"/>
      <c r="P89" s="26"/>
      <c r="Q89" s="26"/>
      <c r="R89" s="26"/>
      <c r="S89" s="26"/>
      <c r="T89" s="26"/>
      <c r="U89" s="26"/>
      <c r="V89" s="26"/>
      <c r="W89" s="26"/>
    </row>
    <row r="90" spans="1:23">
      <c r="A90" s="26"/>
      <c r="B90" s="26"/>
      <c r="C90" s="26"/>
      <c r="D90" s="26"/>
      <c r="E90" s="26"/>
      <c r="F90" s="26"/>
      <c r="G90" s="26"/>
      <c r="H90" s="26"/>
      <c r="I90" s="26"/>
      <c r="J90" s="26"/>
      <c r="K90" s="26"/>
      <c r="L90" s="26"/>
      <c r="M90" s="26"/>
      <c r="N90" s="26"/>
      <c r="O90" s="26"/>
      <c r="P90" s="26"/>
      <c r="Q90" s="26"/>
      <c r="R90" s="26"/>
      <c r="S90" s="26"/>
      <c r="T90" s="26"/>
      <c r="U90" s="26"/>
      <c r="V90" s="26"/>
      <c r="W90" s="26"/>
    </row>
    <row r="91" spans="1:23">
      <c r="A91" s="26"/>
      <c r="B91" s="26"/>
      <c r="C91" s="26"/>
      <c r="D91" s="26"/>
      <c r="E91" s="26"/>
      <c r="F91" s="26"/>
      <c r="G91" s="26"/>
      <c r="H91" s="26"/>
      <c r="I91" s="26"/>
      <c r="J91" s="26"/>
      <c r="K91" s="26"/>
      <c r="L91" s="26"/>
      <c r="M91" s="26"/>
      <c r="N91" s="26"/>
      <c r="O91" s="26"/>
      <c r="P91" s="26"/>
      <c r="Q91" s="26"/>
      <c r="R91" s="26"/>
      <c r="S91" s="26"/>
      <c r="T91" s="26"/>
      <c r="U91" s="26"/>
      <c r="V91" s="26"/>
      <c r="W91" s="26"/>
    </row>
    <row r="92" spans="1:23">
      <c r="A92" s="26"/>
      <c r="B92" s="26"/>
      <c r="C92" s="26"/>
      <c r="D92" s="26"/>
      <c r="E92" s="26"/>
      <c r="F92" s="26"/>
      <c r="G92" s="26"/>
      <c r="H92" s="26"/>
      <c r="I92" s="26"/>
      <c r="J92" s="26"/>
      <c r="K92" s="26"/>
      <c r="L92" s="26"/>
      <c r="M92" s="26"/>
      <c r="N92" s="26"/>
      <c r="O92" s="26"/>
      <c r="P92" s="26"/>
      <c r="Q92" s="26"/>
      <c r="R92" s="26"/>
      <c r="S92" s="26"/>
      <c r="T92" s="26"/>
      <c r="U92" s="26"/>
      <c r="V92" s="26"/>
      <c r="W92" s="26"/>
    </row>
    <row r="93" spans="1:23">
      <c r="A93" s="26"/>
      <c r="B93" s="26"/>
      <c r="C93" s="26"/>
      <c r="D93" s="26"/>
      <c r="E93" s="26"/>
      <c r="F93" s="26"/>
      <c r="G93" s="26"/>
      <c r="H93" s="26"/>
      <c r="I93" s="26"/>
      <c r="J93" s="26"/>
      <c r="K93" s="26"/>
      <c r="L93" s="26"/>
      <c r="M93" s="26"/>
      <c r="N93" s="26"/>
      <c r="O93" s="26"/>
      <c r="P93" s="26"/>
      <c r="Q93" s="26"/>
      <c r="R93" s="26"/>
      <c r="S93" s="26"/>
      <c r="T93" s="26"/>
      <c r="U93" s="26"/>
      <c r="V93" s="26"/>
      <c r="W93" s="26"/>
    </row>
    <row r="94" spans="1:23">
      <c r="A94" s="26"/>
      <c r="B94" s="26"/>
      <c r="C94" s="26"/>
      <c r="D94" s="26"/>
      <c r="E94" s="26"/>
      <c r="F94" s="26"/>
      <c r="G94" s="26"/>
      <c r="H94" s="26"/>
      <c r="I94" s="26"/>
      <c r="J94" s="26"/>
      <c r="K94" s="26"/>
      <c r="L94" s="26"/>
      <c r="M94" s="26"/>
      <c r="N94" s="26"/>
      <c r="O94" s="26"/>
      <c r="P94" s="26"/>
      <c r="Q94" s="26"/>
      <c r="R94" s="26"/>
      <c r="S94" s="26"/>
      <c r="T94" s="26"/>
      <c r="U94" s="26"/>
      <c r="V94" s="26"/>
      <c r="W94" s="26"/>
    </row>
    <row r="95" spans="1:23">
      <c r="A95" s="26"/>
      <c r="B95" s="26"/>
      <c r="C95" s="26"/>
      <c r="D95" s="26"/>
      <c r="E95" s="26"/>
      <c r="F95" s="26"/>
      <c r="G95" s="26"/>
      <c r="H95" s="26"/>
      <c r="I95" s="26"/>
      <c r="J95" s="26"/>
      <c r="K95" s="26"/>
      <c r="L95" s="26"/>
      <c r="M95" s="26"/>
      <c r="N95" s="26"/>
      <c r="O95" s="26"/>
      <c r="P95" s="26"/>
      <c r="Q95" s="26"/>
      <c r="R95" s="26"/>
      <c r="S95" s="26"/>
      <c r="T95" s="26"/>
      <c r="U95" s="26"/>
      <c r="V95" s="26"/>
      <c r="W95" s="26"/>
    </row>
    <row r="96" spans="1:23">
      <c r="A96" s="26"/>
      <c r="B96" s="26"/>
      <c r="C96" s="26"/>
      <c r="D96" s="26"/>
      <c r="E96" s="26"/>
      <c r="F96" s="26"/>
      <c r="G96" s="26"/>
      <c r="H96" s="26"/>
      <c r="I96" s="26"/>
      <c r="J96" s="26"/>
      <c r="K96" s="26"/>
      <c r="L96" s="26"/>
      <c r="M96" s="26"/>
      <c r="N96" s="26"/>
      <c r="O96" s="26"/>
      <c r="P96" s="26"/>
      <c r="Q96" s="26"/>
      <c r="R96" s="26"/>
      <c r="S96" s="26"/>
      <c r="T96" s="26"/>
      <c r="U96" s="26"/>
      <c r="V96" s="26"/>
      <c r="W96" s="26"/>
    </row>
    <row r="97" spans="1:23">
      <c r="A97" s="26"/>
      <c r="B97" s="26"/>
      <c r="C97" s="26"/>
      <c r="D97" s="26"/>
      <c r="E97" s="26"/>
      <c r="F97" s="26"/>
      <c r="G97" s="26"/>
      <c r="H97" s="26"/>
      <c r="I97" s="26"/>
      <c r="J97" s="26"/>
      <c r="K97" s="26"/>
      <c r="L97" s="26"/>
      <c r="M97" s="26"/>
      <c r="N97" s="26"/>
      <c r="O97" s="26"/>
      <c r="P97" s="26"/>
      <c r="Q97" s="26"/>
      <c r="R97" s="26"/>
      <c r="S97" s="26"/>
      <c r="T97" s="26"/>
      <c r="U97" s="26"/>
      <c r="V97" s="26"/>
      <c r="W97" s="26"/>
    </row>
    <row r="98" spans="1:23">
      <c r="A98" s="26"/>
      <c r="B98" s="26"/>
      <c r="C98" s="26"/>
      <c r="D98" s="26"/>
      <c r="E98" s="26"/>
      <c r="F98" s="26"/>
      <c r="G98" s="26"/>
      <c r="H98" s="26"/>
      <c r="I98" s="26"/>
      <c r="J98" s="26"/>
      <c r="K98" s="26"/>
      <c r="L98" s="26"/>
      <c r="M98" s="26"/>
      <c r="N98" s="26"/>
      <c r="O98" s="26"/>
      <c r="P98" s="26"/>
      <c r="Q98" s="26"/>
      <c r="R98" s="26"/>
      <c r="S98" s="26"/>
      <c r="T98" s="26"/>
      <c r="U98" s="26"/>
      <c r="V98" s="26"/>
      <c r="W98" s="26"/>
    </row>
    <row r="99" spans="1:23">
      <c r="A99" s="26"/>
      <c r="B99" s="26"/>
      <c r="C99" s="26"/>
      <c r="D99" s="26"/>
      <c r="E99" s="26"/>
      <c r="F99" s="26"/>
      <c r="G99" s="26"/>
      <c r="H99" s="26"/>
      <c r="I99" s="26"/>
      <c r="J99" s="26"/>
      <c r="K99" s="26"/>
      <c r="L99" s="26"/>
      <c r="M99" s="26"/>
      <c r="N99" s="26"/>
      <c r="O99" s="26"/>
      <c r="P99" s="26"/>
      <c r="Q99" s="26"/>
      <c r="R99" s="26"/>
      <c r="S99" s="26"/>
      <c r="T99" s="26"/>
      <c r="U99" s="26"/>
      <c r="V99" s="26"/>
      <c r="W99" s="26"/>
    </row>
    <row r="100" spans="1:23">
      <c r="A100" s="26"/>
      <c r="B100" s="26"/>
      <c r="C100" s="26"/>
      <c r="D100" s="26"/>
      <c r="E100" s="26"/>
      <c r="F100" s="26"/>
      <c r="G100" s="26"/>
      <c r="H100" s="26"/>
      <c r="I100" s="26"/>
      <c r="J100" s="26"/>
      <c r="K100" s="26"/>
      <c r="L100" s="26"/>
      <c r="M100" s="26"/>
      <c r="N100" s="26"/>
      <c r="O100" s="26"/>
      <c r="P100" s="26"/>
      <c r="Q100" s="26"/>
      <c r="R100" s="26"/>
      <c r="S100" s="26"/>
      <c r="T100" s="26"/>
      <c r="U100" s="26"/>
      <c r="V100" s="26"/>
      <c r="W100" s="26"/>
    </row>
    <row r="101" spans="1:23">
      <c r="A101" s="26"/>
      <c r="B101" s="26"/>
      <c r="C101" s="26"/>
      <c r="D101" s="26"/>
      <c r="E101" s="26"/>
      <c r="F101" s="26"/>
      <c r="G101" s="26"/>
      <c r="H101" s="26"/>
      <c r="I101" s="26"/>
      <c r="J101" s="26"/>
      <c r="K101" s="26"/>
      <c r="L101" s="26"/>
      <c r="M101" s="26"/>
      <c r="N101" s="26"/>
      <c r="O101" s="26"/>
      <c r="P101" s="26"/>
      <c r="Q101" s="26"/>
      <c r="R101" s="26"/>
      <c r="S101" s="26"/>
      <c r="T101" s="26"/>
      <c r="U101" s="26"/>
      <c r="V101" s="26"/>
      <c r="W101" s="26"/>
    </row>
    <row r="102" spans="1:23">
      <c r="A102" s="26"/>
      <c r="B102" s="26"/>
      <c r="C102" s="26"/>
      <c r="D102" s="26"/>
      <c r="E102" s="26"/>
      <c r="F102" s="26"/>
      <c r="G102" s="26"/>
      <c r="H102" s="26"/>
      <c r="I102" s="26"/>
      <c r="J102" s="26"/>
      <c r="K102" s="26"/>
      <c r="L102" s="26"/>
      <c r="M102" s="26"/>
      <c r="N102" s="26"/>
      <c r="O102" s="26"/>
      <c r="P102" s="26"/>
      <c r="Q102" s="26"/>
      <c r="R102" s="26"/>
      <c r="S102" s="26"/>
      <c r="T102" s="26"/>
      <c r="U102" s="26"/>
      <c r="V102" s="26"/>
      <c r="W102" s="26"/>
    </row>
    <row r="103" spans="1:23">
      <c r="A103" s="26"/>
      <c r="B103" s="26"/>
      <c r="C103" s="26"/>
      <c r="D103" s="26"/>
      <c r="E103" s="26"/>
      <c r="F103" s="26"/>
      <c r="G103" s="26"/>
      <c r="H103" s="26"/>
      <c r="I103" s="26"/>
      <c r="J103" s="26"/>
      <c r="K103" s="26"/>
      <c r="L103" s="26"/>
      <c r="M103" s="26"/>
      <c r="N103" s="26"/>
      <c r="O103" s="26"/>
      <c r="P103" s="26"/>
      <c r="Q103" s="26"/>
      <c r="R103" s="26"/>
      <c r="S103" s="26"/>
      <c r="T103" s="26"/>
      <c r="U103" s="26"/>
      <c r="V103" s="26"/>
      <c r="W103" s="26"/>
    </row>
  </sheetData>
  <mergeCells count="8">
    <mergeCell ref="B2:V5"/>
    <mergeCell ref="G52:P53"/>
    <mergeCell ref="B74:Q74"/>
    <mergeCell ref="A2:A72"/>
    <mergeCell ref="B6:P6"/>
    <mergeCell ref="B11:P11"/>
    <mergeCell ref="B18:P18"/>
    <mergeCell ref="B25:P25"/>
  </mergeCells>
  <phoneticPr fontId="10" type="noConversion"/>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9DBDA-4015-4522-B70A-D0C8126C91EB}">
  <dimension ref="A2:K27"/>
  <sheetViews>
    <sheetView workbookViewId="0">
      <selection activeCell="F1" sqref="F1"/>
    </sheetView>
  </sheetViews>
  <sheetFormatPr defaultRowHeight="12.5"/>
  <cols>
    <col min="1" max="1" width="37.453125" customWidth="1"/>
    <col min="2" max="2" width="26.26953125" customWidth="1"/>
    <col min="4" max="4" width="22.90625" customWidth="1"/>
  </cols>
  <sheetData>
    <row r="2" spans="1:11">
      <c r="A2" s="66" t="s">
        <v>76</v>
      </c>
      <c r="B2" t="s">
        <v>74</v>
      </c>
      <c r="D2" s="66" t="s">
        <v>86</v>
      </c>
      <c r="E2" s="66" t="s">
        <v>85</v>
      </c>
    </row>
    <row r="3" spans="1:11">
      <c r="A3" s="67" t="s">
        <v>29</v>
      </c>
      <c r="B3" s="65">
        <v>23308</v>
      </c>
      <c r="D3" s="66" t="s">
        <v>33</v>
      </c>
      <c r="E3" t="s">
        <v>20</v>
      </c>
      <c r="F3" t="s">
        <v>21</v>
      </c>
      <c r="G3" t="s">
        <v>22</v>
      </c>
      <c r="H3" t="s">
        <v>23</v>
      </c>
      <c r="I3" t="s">
        <v>24</v>
      </c>
      <c r="J3" t="s">
        <v>25</v>
      </c>
      <c r="K3" t="s">
        <v>19</v>
      </c>
    </row>
    <row r="4" spans="1:11">
      <c r="A4" s="67" t="s">
        <v>30</v>
      </c>
      <c r="B4" s="65">
        <v>16187</v>
      </c>
      <c r="D4" s="67">
        <v>0</v>
      </c>
      <c r="E4" s="65">
        <v>67</v>
      </c>
      <c r="F4" s="65">
        <v>44</v>
      </c>
      <c r="G4" s="65">
        <v>52</v>
      </c>
      <c r="H4" s="65">
        <v>59</v>
      </c>
      <c r="I4" s="65">
        <v>88</v>
      </c>
      <c r="J4" s="65">
        <v>179</v>
      </c>
      <c r="K4" s="65">
        <v>214</v>
      </c>
    </row>
    <row r="5" spans="1:11">
      <c r="A5" s="67" t="s">
        <v>28</v>
      </c>
      <c r="B5" s="65">
        <v>16968</v>
      </c>
      <c r="D5" s="67">
        <v>1</v>
      </c>
      <c r="E5" s="65">
        <v>39</v>
      </c>
      <c r="F5" s="65">
        <v>17</v>
      </c>
      <c r="G5" s="65">
        <v>34</v>
      </c>
      <c r="H5" s="65">
        <v>23</v>
      </c>
      <c r="I5" s="65">
        <v>35</v>
      </c>
      <c r="J5" s="65">
        <v>150</v>
      </c>
      <c r="K5" s="65">
        <v>162</v>
      </c>
    </row>
    <row r="6" spans="1:11">
      <c r="A6" s="67" t="s">
        <v>27</v>
      </c>
      <c r="B6" s="65">
        <v>1841</v>
      </c>
      <c r="D6" s="67">
        <v>2</v>
      </c>
      <c r="E6" s="65">
        <v>17</v>
      </c>
      <c r="F6" s="65">
        <v>10</v>
      </c>
      <c r="G6" s="65">
        <v>23</v>
      </c>
      <c r="H6" s="65">
        <v>11</v>
      </c>
      <c r="I6" s="65">
        <v>10</v>
      </c>
      <c r="J6" s="65">
        <v>118</v>
      </c>
      <c r="K6" s="65">
        <v>105</v>
      </c>
    </row>
    <row r="7" spans="1:11">
      <c r="A7" s="67" t="s">
        <v>77</v>
      </c>
      <c r="B7" s="65">
        <v>58304</v>
      </c>
      <c r="D7" s="67">
        <v>3</v>
      </c>
      <c r="E7" s="65">
        <v>9</v>
      </c>
      <c r="F7" s="65">
        <v>3</v>
      </c>
      <c r="G7" s="65">
        <v>3</v>
      </c>
      <c r="H7" s="65">
        <v>5</v>
      </c>
      <c r="I7" s="65">
        <v>4</v>
      </c>
      <c r="J7" s="65">
        <v>64</v>
      </c>
      <c r="K7" s="65">
        <v>63</v>
      </c>
    </row>
    <row r="8" spans="1:11">
      <c r="D8" s="67">
        <v>4</v>
      </c>
      <c r="E8" s="65">
        <v>14</v>
      </c>
      <c r="F8" s="65">
        <v>6</v>
      </c>
      <c r="G8" s="65">
        <v>5</v>
      </c>
      <c r="H8" s="65">
        <v>7</v>
      </c>
      <c r="I8" s="65">
        <v>2</v>
      </c>
      <c r="J8" s="65">
        <v>25</v>
      </c>
      <c r="K8" s="65">
        <v>10</v>
      </c>
    </row>
    <row r="9" spans="1:11">
      <c r="D9" s="67">
        <v>5</v>
      </c>
      <c r="E9" s="65">
        <v>33</v>
      </c>
      <c r="F9" s="65">
        <v>24</v>
      </c>
      <c r="G9" s="65">
        <v>26</v>
      </c>
      <c r="H9" s="65">
        <v>21</v>
      </c>
      <c r="I9" s="65">
        <v>33</v>
      </c>
      <c r="J9" s="65">
        <v>17</v>
      </c>
      <c r="K9" s="65">
        <v>10</v>
      </c>
    </row>
    <row r="10" spans="1:11">
      <c r="D10" s="67">
        <v>6</v>
      </c>
      <c r="E10" s="65">
        <v>174</v>
      </c>
      <c r="F10" s="65">
        <v>160</v>
      </c>
      <c r="G10" s="65">
        <v>150</v>
      </c>
      <c r="H10" s="65">
        <v>164</v>
      </c>
      <c r="I10" s="65">
        <v>146</v>
      </c>
      <c r="J10" s="65">
        <v>17</v>
      </c>
      <c r="K10" s="65">
        <v>11</v>
      </c>
    </row>
    <row r="11" spans="1:11">
      <c r="D11" s="67">
        <v>7</v>
      </c>
      <c r="E11" s="65">
        <v>503</v>
      </c>
      <c r="F11" s="65">
        <v>453</v>
      </c>
      <c r="G11" s="65">
        <v>410</v>
      </c>
      <c r="H11" s="65">
        <v>454</v>
      </c>
      <c r="I11" s="65">
        <v>443</v>
      </c>
      <c r="J11" s="65">
        <v>50</v>
      </c>
      <c r="K11" s="65">
        <v>26</v>
      </c>
    </row>
    <row r="12" spans="1:11">
      <c r="D12" s="67">
        <v>8</v>
      </c>
      <c r="E12" s="65">
        <v>967</v>
      </c>
      <c r="F12" s="65">
        <v>1012</v>
      </c>
      <c r="G12" s="65">
        <v>946</v>
      </c>
      <c r="H12" s="65">
        <v>1036</v>
      </c>
      <c r="I12" s="65">
        <v>1178</v>
      </c>
      <c r="J12" s="65">
        <v>147</v>
      </c>
      <c r="K12" s="65">
        <v>102</v>
      </c>
    </row>
    <row r="13" spans="1:11">
      <c r="D13" s="67">
        <v>9</v>
      </c>
      <c r="E13" s="65">
        <v>561</v>
      </c>
      <c r="F13" s="65">
        <v>625</v>
      </c>
      <c r="G13" s="65">
        <v>609</v>
      </c>
      <c r="H13" s="65">
        <v>659</v>
      </c>
      <c r="I13" s="65">
        <v>785</v>
      </c>
      <c r="J13" s="65">
        <v>204</v>
      </c>
      <c r="K13" s="65">
        <v>229</v>
      </c>
    </row>
    <row r="14" spans="1:11">
      <c r="D14" s="67">
        <v>10</v>
      </c>
      <c r="E14" s="65">
        <v>296</v>
      </c>
      <c r="F14" s="65">
        <v>246</v>
      </c>
      <c r="G14" s="65">
        <v>291</v>
      </c>
      <c r="H14" s="65">
        <v>227</v>
      </c>
      <c r="I14" s="65">
        <v>314</v>
      </c>
      <c r="J14" s="65">
        <v>382</v>
      </c>
      <c r="K14" s="65">
        <v>497</v>
      </c>
    </row>
    <row r="15" spans="1:11">
      <c r="D15" s="67">
        <v>11</v>
      </c>
      <c r="E15" s="65">
        <v>286</v>
      </c>
      <c r="F15" s="65">
        <v>254</v>
      </c>
      <c r="G15" s="65">
        <v>267</v>
      </c>
      <c r="H15" s="65">
        <v>273</v>
      </c>
      <c r="I15" s="65">
        <v>337</v>
      </c>
      <c r="J15" s="65">
        <v>478</v>
      </c>
      <c r="K15" s="65">
        <v>599</v>
      </c>
    </row>
    <row r="16" spans="1:11">
      <c r="D16" s="67">
        <v>12</v>
      </c>
      <c r="E16" s="65">
        <v>390</v>
      </c>
      <c r="F16" s="65">
        <v>364</v>
      </c>
      <c r="G16" s="65">
        <v>377</v>
      </c>
      <c r="H16" s="65">
        <v>358</v>
      </c>
      <c r="I16" s="65">
        <v>384</v>
      </c>
      <c r="J16" s="65">
        <v>591</v>
      </c>
      <c r="K16" s="65">
        <v>819</v>
      </c>
    </row>
    <row r="17" spans="4:11">
      <c r="D17" s="67">
        <v>13</v>
      </c>
      <c r="E17" s="65">
        <v>386</v>
      </c>
      <c r="F17" s="65">
        <v>366</v>
      </c>
      <c r="G17" s="65">
        <v>389</v>
      </c>
      <c r="H17" s="65">
        <v>361</v>
      </c>
      <c r="I17" s="65">
        <v>446</v>
      </c>
      <c r="J17" s="65">
        <v>653</v>
      </c>
      <c r="K17" s="65">
        <v>775</v>
      </c>
    </row>
    <row r="18" spans="4:11">
      <c r="D18" s="67">
        <v>14</v>
      </c>
      <c r="E18" s="65">
        <v>401</v>
      </c>
      <c r="F18" s="65">
        <v>340</v>
      </c>
      <c r="G18" s="65">
        <v>338</v>
      </c>
      <c r="H18" s="65">
        <v>288</v>
      </c>
      <c r="I18" s="65">
        <v>389</v>
      </c>
      <c r="J18" s="65">
        <v>668</v>
      </c>
      <c r="K18" s="65">
        <v>776</v>
      </c>
    </row>
    <row r="19" spans="4:11">
      <c r="D19" s="67">
        <v>15</v>
      </c>
      <c r="E19" s="65">
        <v>361</v>
      </c>
      <c r="F19" s="65">
        <v>334</v>
      </c>
      <c r="G19" s="65">
        <v>376</v>
      </c>
      <c r="H19" s="65">
        <v>302</v>
      </c>
      <c r="I19" s="65">
        <v>410</v>
      </c>
      <c r="J19" s="65">
        <v>770</v>
      </c>
      <c r="K19" s="65">
        <v>799</v>
      </c>
    </row>
    <row r="20" spans="4:11">
      <c r="D20" s="67">
        <v>16</v>
      </c>
      <c r="E20" s="65">
        <v>502</v>
      </c>
      <c r="F20" s="65">
        <v>483</v>
      </c>
      <c r="G20" s="65">
        <v>479</v>
      </c>
      <c r="H20" s="65">
        <v>437</v>
      </c>
      <c r="I20" s="65">
        <v>578</v>
      </c>
      <c r="J20" s="65">
        <v>703</v>
      </c>
      <c r="K20" s="65">
        <v>746</v>
      </c>
    </row>
    <row r="21" spans="4:11">
      <c r="D21" s="67">
        <v>17</v>
      </c>
      <c r="E21" s="65">
        <v>967</v>
      </c>
      <c r="F21" s="65">
        <v>1047</v>
      </c>
      <c r="G21" s="65">
        <v>908</v>
      </c>
      <c r="H21" s="65">
        <v>973</v>
      </c>
      <c r="I21" s="65">
        <v>1072</v>
      </c>
      <c r="J21" s="65">
        <v>592</v>
      </c>
      <c r="K21" s="65">
        <v>610</v>
      </c>
    </row>
    <row r="22" spans="4:11">
      <c r="D22" s="67">
        <v>18</v>
      </c>
      <c r="E22" s="65">
        <v>888</v>
      </c>
      <c r="F22" s="65">
        <v>955</v>
      </c>
      <c r="G22" s="65">
        <v>819</v>
      </c>
      <c r="H22" s="65">
        <v>903</v>
      </c>
      <c r="I22" s="65">
        <v>820</v>
      </c>
      <c r="J22" s="65">
        <v>443</v>
      </c>
      <c r="K22" s="65">
        <v>455</v>
      </c>
    </row>
    <row r="23" spans="4:11">
      <c r="D23" s="67">
        <v>19</v>
      </c>
      <c r="E23" s="65">
        <v>610</v>
      </c>
      <c r="F23" s="65">
        <v>617</v>
      </c>
      <c r="G23" s="65">
        <v>506</v>
      </c>
      <c r="H23" s="65">
        <v>650</v>
      </c>
      <c r="I23" s="65">
        <v>576</v>
      </c>
      <c r="J23" s="65">
        <v>383</v>
      </c>
      <c r="K23" s="65">
        <v>319</v>
      </c>
    </row>
    <row r="24" spans="4:11">
      <c r="D24" s="67">
        <v>20</v>
      </c>
      <c r="E24" s="65">
        <v>406</v>
      </c>
      <c r="F24" s="65">
        <v>418</v>
      </c>
      <c r="G24" s="65">
        <v>380</v>
      </c>
      <c r="H24" s="65">
        <v>524</v>
      </c>
      <c r="I24" s="65">
        <v>368</v>
      </c>
      <c r="J24" s="65">
        <v>302</v>
      </c>
      <c r="K24" s="65">
        <v>258</v>
      </c>
    </row>
    <row r="25" spans="4:11">
      <c r="D25" s="67">
        <v>21</v>
      </c>
      <c r="E25" s="65">
        <v>310</v>
      </c>
      <c r="F25" s="65">
        <v>272</v>
      </c>
      <c r="G25" s="65">
        <v>305</v>
      </c>
      <c r="H25" s="65">
        <v>309</v>
      </c>
      <c r="I25" s="65">
        <v>280</v>
      </c>
      <c r="J25" s="65">
        <v>310</v>
      </c>
      <c r="K25" s="65">
        <v>210</v>
      </c>
    </row>
    <row r="26" spans="4:11">
      <c r="D26" s="67">
        <v>22</v>
      </c>
      <c r="E26" s="65">
        <v>163</v>
      </c>
      <c r="F26" s="65">
        <v>215</v>
      </c>
      <c r="G26" s="65">
        <v>220</v>
      </c>
      <c r="H26" s="65">
        <v>257</v>
      </c>
      <c r="I26" s="65">
        <v>221</v>
      </c>
      <c r="J26" s="65">
        <v>240</v>
      </c>
      <c r="K26" s="65">
        <v>192</v>
      </c>
    </row>
    <row r="27" spans="4:11">
      <c r="D27" s="67">
        <v>23</v>
      </c>
      <c r="E27" s="65">
        <v>100</v>
      </c>
      <c r="F27" s="65">
        <v>118</v>
      </c>
      <c r="G27" s="65">
        <v>136</v>
      </c>
      <c r="H27" s="65">
        <v>157</v>
      </c>
      <c r="I27" s="65">
        <v>176</v>
      </c>
      <c r="J27" s="65">
        <v>262</v>
      </c>
      <c r="K27" s="65">
        <v>134</v>
      </c>
    </row>
  </sheetData>
  <conditionalFormatting pivot="1" sqref="E4:K27">
    <cfRule type="dataBar" priority="2">
      <dataBar>
        <cfvo type="min"/>
        <cfvo type="max"/>
        <color rgb="FF008AEF"/>
      </dataBar>
      <extLst>
        <ext xmlns:x14="http://schemas.microsoft.com/office/spreadsheetml/2009/9/main" uri="{B025F937-C7B1-47D3-B67F-A62EFF666E3E}">
          <x14:id>{04CA995B-A252-4C55-A097-68E2A22D1EF8}</x14:id>
        </ext>
      </extLst>
    </cfRule>
  </conditionalFormatting>
  <conditionalFormatting sqref="D4:K27">
    <cfRule type="colorScale" priority="1">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04CA995B-A252-4C55-A097-68E2A22D1EF8}">
            <x14:dataBar minLength="0" maxLength="100" gradient="0">
              <x14:cfvo type="autoMin"/>
              <x14:cfvo type="autoMax"/>
              <x14:negativeFillColor rgb="FFFF0000"/>
              <x14:axisColor rgb="FF000000"/>
            </x14:dataBar>
          </x14:cfRule>
          <xm:sqref>E4:K27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7BFE-1546-4173-88D6-1B8E7525E7C1}">
  <dimension ref="A2:V28"/>
  <sheetViews>
    <sheetView zoomScale="80" zoomScaleNormal="80" workbookViewId="0"/>
  </sheetViews>
  <sheetFormatPr defaultRowHeight="12.5"/>
  <cols>
    <col min="1" max="1" width="14.08984375" bestFit="1" customWidth="1"/>
    <col min="2" max="2" width="18.1796875" bestFit="1" customWidth="1"/>
    <col min="3" max="3" width="24.1796875" bestFit="1" customWidth="1"/>
    <col min="4" max="4" width="27.7265625" bestFit="1" customWidth="1"/>
    <col min="6" max="6" width="14.08984375" bestFit="1" customWidth="1"/>
    <col min="7" max="7" width="18.1796875" bestFit="1" customWidth="1"/>
    <col min="8" max="8" width="22.453125" bestFit="1" customWidth="1"/>
    <col min="11" max="11" width="14.08984375" bestFit="1" customWidth="1"/>
    <col min="12" max="12" width="18.1796875" bestFit="1" customWidth="1"/>
    <col min="13" max="13" width="21.36328125" bestFit="1" customWidth="1"/>
    <col min="14" max="14" width="14.08984375" bestFit="1" customWidth="1"/>
    <col min="15" max="15" width="18.1796875" bestFit="1" customWidth="1"/>
    <col min="16" max="16" width="27.7265625" bestFit="1" customWidth="1"/>
    <col min="17" max="17" width="24.1796875" bestFit="1" customWidth="1"/>
    <col min="18" max="18" width="27.81640625" bestFit="1" customWidth="1"/>
    <col min="19" max="19" width="14.08984375" bestFit="1" customWidth="1"/>
    <col min="20" max="20" width="18.1796875" bestFit="1" customWidth="1"/>
    <col min="21" max="21" width="24.1796875" bestFit="1" customWidth="1"/>
    <col min="22" max="22" width="27.7265625" bestFit="1" customWidth="1"/>
    <col min="24" max="24" width="14.08984375" bestFit="1" customWidth="1"/>
    <col min="25" max="25" width="18.1796875" bestFit="1" customWidth="1"/>
    <col min="30" max="30" width="22.81640625" bestFit="1" customWidth="1"/>
    <col min="31" max="31" width="7.90625" bestFit="1" customWidth="1"/>
    <col min="32" max="32" width="8.54296875" bestFit="1" customWidth="1"/>
    <col min="33" max="33" width="11.26953125" bestFit="1" customWidth="1"/>
    <col min="34" max="34" width="9.26953125" bestFit="1" customWidth="1"/>
    <col min="35" max="35" width="6.453125" bestFit="1" customWidth="1"/>
    <col min="36" max="36" width="8.81640625" bestFit="1" customWidth="1"/>
    <col min="37" max="37" width="7.7265625" bestFit="1" customWidth="1"/>
    <col min="38" max="38" width="11.08984375" bestFit="1" customWidth="1"/>
  </cols>
  <sheetData>
    <row r="2" spans="1:22">
      <c r="A2" s="66" t="s">
        <v>76</v>
      </c>
      <c r="B2" t="s">
        <v>74</v>
      </c>
      <c r="C2" t="s">
        <v>79</v>
      </c>
      <c r="D2" t="s">
        <v>80</v>
      </c>
      <c r="F2" s="66" t="s">
        <v>76</v>
      </c>
      <c r="G2" t="s">
        <v>74</v>
      </c>
      <c r="H2" t="s">
        <v>75</v>
      </c>
      <c r="K2" s="66" t="s">
        <v>43</v>
      </c>
      <c r="L2" t="s">
        <v>78</v>
      </c>
      <c r="N2" s="66" t="s">
        <v>76</v>
      </c>
      <c r="O2" t="s">
        <v>74</v>
      </c>
      <c r="P2" t="s">
        <v>80</v>
      </c>
      <c r="Q2" t="s">
        <v>79</v>
      </c>
      <c r="S2" s="66" t="s">
        <v>76</v>
      </c>
      <c r="T2" t="s">
        <v>74</v>
      </c>
      <c r="U2" t="s">
        <v>79</v>
      </c>
      <c r="V2" t="s">
        <v>80</v>
      </c>
    </row>
    <row r="3" spans="1:22">
      <c r="A3" s="67">
        <v>0</v>
      </c>
      <c r="B3" s="65">
        <v>703</v>
      </c>
      <c r="C3" s="65">
        <v>74</v>
      </c>
      <c r="D3" s="65">
        <v>629</v>
      </c>
      <c r="F3" s="67" t="s">
        <v>81</v>
      </c>
      <c r="G3" s="65">
        <v>38189</v>
      </c>
      <c r="H3" s="2">
        <v>55.507267441860463</v>
      </c>
      <c r="N3" s="67" t="s">
        <v>8</v>
      </c>
      <c r="O3" s="65">
        <v>37373</v>
      </c>
      <c r="P3" s="65">
        <v>34162</v>
      </c>
      <c r="Q3" s="65">
        <v>3211</v>
      </c>
      <c r="S3" s="67">
        <v>0</v>
      </c>
      <c r="T3" s="2">
        <v>7845</v>
      </c>
      <c r="U3" s="65">
        <v>638</v>
      </c>
      <c r="V3" s="65">
        <v>7207</v>
      </c>
    </row>
    <row r="4" spans="1:22">
      <c r="A4" s="67">
        <v>1</v>
      </c>
      <c r="B4" s="65">
        <v>460</v>
      </c>
      <c r="C4" s="65">
        <v>48</v>
      </c>
      <c r="D4" s="65">
        <v>412</v>
      </c>
      <c r="F4" s="67" t="s">
        <v>82</v>
      </c>
      <c r="G4" s="65">
        <v>20115</v>
      </c>
      <c r="H4" s="2">
        <v>64.47115384615384</v>
      </c>
      <c r="K4" s="66" t="s">
        <v>76</v>
      </c>
      <c r="L4" t="s">
        <v>74</v>
      </c>
      <c r="N4" s="67" t="s">
        <v>10</v>
      </c>
      <c r="O4" s="65">
        <v>2789</v>
      </c>
      <c r="P4" s="65">
        <v>2618</v>
      </c>
      <c r="Q4" s="65">
        <v>171</v>
      </c>
      <c r="S4" s="67">
        <v>0.09</v>
      </c>
      <c r="T4" s="2">
        <v>4149</v>
      </c>
      <c r="U4" s="65">
        <v>321</v>
      </c>
      <c r="V4" s="65">
        <v>3828</v>
      </c>
    </row>
    <row r="5" spans="1:22">
      <c r="A5" s="67">
        <v>2</v>
      </c>
      <c r="B5" s="65">
        <v>294</v>
      </c>
      <c r="C5" s="65">
        <v>33</v>
      </c>
      <c r="D5" s="65">
        <v>261</v>
      </c>
      <c r="F5" s="67" t="s">
        <v>77</v>
      </c>
      <c r="G5" s="65">
        <v>58304</v>
      </c>
      <c r="H5" s="2">
        <v>58.304000000000002</v>
      </c>
      <c r="K5" s="67">
        <v>0.02</v>
      </c>
      <c r="L5" s="65">
        <v>168</v>
      </c>
      <c r="N5" s="67" t="s">
        <v>9</v>
      </c>
      <c r="O5" s="65">
        <v>18106</v>
      </c>
      <c r="P5" s="65">
        <v>16568</v>
      </c>
      <c r="Q5" s="65">
        <v>1538</v>
      </c>
      <c r="S5" s="67">
        <v>0.1</v>
      </c>
      <c r="T5" s="2">
        <v>4350</v>
      </c>
      <c r="U5" s="65">
        <v>266</v>
      </c>
      <c r="V5" s="65">
        <v>4084</v>
      </c>
    </row>
    <row r="6" spans="1:22">
      <c r="A6" s="67">
        <v>3</v>
      </c>
      <c r="B6" s="65">
        <v>151</v>
      </c>
      <c r="C6" s="65">
        <v>34</v>
      </c>
      <c r="D6" s="65">
        <v>117</v>
      </c>
      <c r="K6" s="67">
        <v>0.04</v>
      </c>
      <c r="L6" s="65">
        <v>387</v>
      </c>
      <c r="N6" s="67" t="s">
        <v>11</v>
      </c>
      <c r="O6" s="65">
        <v>36</v>
      </c>
      <c r="P6" s="65">
        <v>35</v>
      </c>
      <c r="Q6" s="65">
        <v>1</v>
      </c>
      <c r="S6" s="67">
        <v>0.13</v>
      </c>
      <c r="T6" s="2">
        <v>5261</v>
      </c>
      <c r="U6" s="65">
        <v>311</v>
      </c>
      <c r="V6" s="65">
        <v>4950</v>
      </c>
    </row>
    <row r="7" spans="1:22">
      <c r="A7" s="67">
        <v>4</v>
      </c>
      <c r="B7" s="65">
        <v>69</v>
      </c>
      <c r="C7" s="65">
        <v>7</v>
      </c>
      <c r="D7" s="65">
        <v>62</v>
      </c>
      <c r="K7" s="67">
        <v>0.06</v>
      </c>
      <c r="L7" s="65">
        <v>608</v>
      </c>
      <c r="N7" s="67" t="s">
        <v>77</v>
      </c>
      <c r="O7" s="65">
        <v>58304</v>
      </c>
      <c r="P7" s="65">
        <v>53383</v>
      </c>
      <c r="Q7" s="65">
        <v>4921</v>
      </c>
      <c r="S7" s="67">
        <v>0.16</v>
      </c>
      <c r="T7" s="2">
        <v>5609</v>
      </c>
      <c r="U7" s="65">
        <v>406</v>
      </c>
      <c r="V7" s="65">
        <v>5203</v>
      </c>
    </row>
    <row r="8" spans="1:22">
      <c r="A8" s="67">
        <v>5</v>
      </c>
      <c r="B8" s="65">
        <v>164</v>
      </c>
      <c r="C8" s="65">
        <v>3</v>
      </c>
      <c r="D8" s="65">
        <v>161</v>
      </c>
      <c r="K8" s="67">
        <v>0.08</v>
      </c>
      <c r="L8" s="65">
        <v>357</v>
      </c>
      <c r="S8" s="67">
        <v>0.19</v>
      </c>
      <c r="T8" s="2">
        <v>4668</v>
      </c>
      <c r="U8" s="65">
        <v>346</v>
      </c>
      <c r="V8" s="65">
        <v>4322</v>
      </c>
    </row>
    <row r="9" spans="1:22">
      <c r="A9" s="67">
        <v>6</v>
      </c>
      <c r="B9" s="65">
        <v>822</v>
      </c>
      <c r="C9" s="65">
        <v>21</v>
      </c>
      <c r="D9" s="65">
        <v>801</v>
      </c>
      <c r="K9" s="67">
        <v>0.1</v>
      </c>
      <c r="L9" s="65">
        <v>1259</v>
      </c>
      <c r="S9" s="67">
        <v>0.22</v>
      </c>
      <c r="T9" s="2">
        <v>3546</v>
      </c>
      <c r="U9" s="65">
        <v>266</v>
      </c>
      <c r="V9" s="65">
        <v>3280</v>
      </c>
    </row>
    <row r="10" spans="1:22">
      <c r="A10" s="67">
        <v>7</v>
      </c>
      <c r="B10" s="65">
        <v>2339</v>
      </c>
      <c r="C10" s="65">
        <v>64</v>
      </c>
      <c r="D10" s="65">
        <v>2275</v>
      </c>
      <c r="K10" s="67">
        <v>0.12</v>
      </c>
      <c r="L10" s="65">
        <v>2104</v>
      </c>
      <c r="S10" s="67">
        <v>0.25</v>
      </c>
      <c r="T10" s="2">
        <v>4074</v>
      </c>
      <c r="U10" s="65">
        <v>504</v>
      </c>
      <c r="V10" s="65">
        <v>3570</v>
      </c>
    </row>
    <row r="11" spans="1:22">
      <c r="A11" s="67">
        <v>8</v>
      </c>
      <c r="B11" s="65">
        <v>5388</v>
      </c>
      <c r="C11" s="65">
        <v>127</v>
      </c>
      <c r="D11" s="65">
        <v>5261</v>
      </c>
      <c r="K11" s="67">
        <v>0.14000000000000001</v>
      </c>
      <c r="L11" s="65">
        <v>4335</v>
      </c>
      <c r="S11" s="67">
        <v>0.28000000000000003</v>
      </c>
      <c r="T11" s="2">
        <v>3516</v>
      </c>
      <c r="U11" s="65">
        <v>379</v>
      </c>
      <c r="V11" s="65">
        <v>3137</v>
      </c>
    </row>
    <row r="12" spans="1:22">
      <c r="A12" s="67">
        <v>9</v>
      </c>
      <c r="B12" s="65">
        <v>3672</v>
      </c>
      <c r="C12" s="65">
        <v>172</v>
      </c>
      <c r="D12" s="65">
        <v>3500</v>
      </c>
      <c r="K12" s="67">
        <v>0.16</v>
      </c>
      <c r="L12" s="65">
        <v>7003</v>
      </c>
      <c r="S12" s="67">
        <v>0.3</v>
      </c>
      <c r="T12" s="2">
        <v>2872</v>
      </c>
      <c r="U12" s="65">
        <v>363</v>
      </c>
      <c r="V12" s="65">
        <v>2509</v>
      </c>
    </row>
    <row r="13" spans="1:22">
      <c r="A13" s="67">
        <v>10</v>
      </c>
      <c r="B13" s="65">
        <v>2253</v>
      </c>
      <c r="C13" s="65">
        <v>216</v>
      </c>
      <c r="D13" s="65">
        <v>2037</v>
      </c>
      <c r="K13" s="67">
        <v>0.18</v>
      </c>
      <c r="L13" s="65">
        <v>4045</v>
      </c>
      <c r="S13" s="67">
        <v>0.33</v>
      </c>
      <c r="T13" s="2">
        <v>3608</v>
      </c>
      <c r="U13" s="65">
        <v>315</v>
      </c>
      <c r="V13" s="65">
        <v>3293</v>
      </c>
    </row>
    <row r="14" spans="1:22">
      <c r="A14" s="67">
        <v>11</v>
      </c>
      <c r="B14" s="65">
        <v>2494</v>
      </c>
      <c r="C14" s="65">
        <v>367</v>
      </c>
      <c r="D14" s="65">
        <v>2127</v>
      </c>
      <c r="K14" s="67">
        <v>0.2</v>
      </c>
      <c r="L14" s="65">
        <v>7926</v>
      </c>
      <c r="S14" s="67">
        <v>0.36</v>
      </c>
      <c r="T14" s="2">
        <v>2069</v>
      </c>
      <c r="U14" s="65">
        <v>159</v>
      </c>
      <c r="V14" s="65">
        <v>1910</v>
      </c>
    </row>
    <row r="15" spans="1:22">
      <c r="A15" s="67">
        <v>12</v>
      </c>
      <c r="B15" s="65">
        <v>3283</v>
      </c>
      <c r="C15" s="65">
        <v>482</v>
      </c>
      <c r="D15" s="65">
        <v>2801</v>
      </c>
      <c r="K15" s="67">
        <v>0.22</v>
      </c>
      <c r="L15" s="65">
        <v>7212</v>
      </c>
      <c r="S15" s="67">
        <v>0.39</v>
      </c>
      <c r="T15" s="2">
        <v>1250</v>
      </c>
      <c r="U15" s="65">
        <v>84</v>
      </c>
      <c r="V15" s="65">
        <v>1166</v>
      </c>
    </row>
    <row r="16" spans="1:22">
      <c r="A16" s="67">
        <v>13</v>
      </c>
      <c r="B16" s="65">
        <v>3376</v>
      </c>
      <c r="C16" s="65">
        <v>513</v>
      </c>
      <c r="D16" s="65">
        <v>2863</v>
      </c>
      <c r="K16" s="67">
        <v>0.24</v>
      </c>
      <c r="L16" s="65">
        <v>5965</v>
      </c>
      <c r="S16" s="67">
        <v>0.42</v>
      </c>
      <c r="T16" s="2">
        <v>1432</v>
      </c>
      <c r="U16" s="65">
        <v>203</v>
      </c>
      <c r="V16" s="65">
        <v>1229</v>
      </c>
    </row>
    <row r="17" spans="1:22">
      <c r="A17" s="67">
        <v>14</v>
      </c>
      <c r="B17" s="65">
        <v>3200</v>
      </c>
      <c r="C17" s="65">
        <v>466</v>
      </c>
      <c r="D17" s="65">
        <v>2734</v>
      </c>
      <c r="K17" s="67">
        <v>0.26</v>
      </c>
      <c r="L17" s="65">
        <v>3157</v>
      </c>
      <c r="S17" s="67">
        <v>0.45</v>
      </c>
      <c r="T17" s="2">
        <v>1107</v>
      </c>
      <c r="U17" s="65">
        <v>97</v>
      </c>
      <c r="V17" s="65">
        <v>1010</v>
      </c>
    </row>
    <row r="18" spans="1:22">
      <c r="A18" s="67">
        <v>15</v>
      </c>
      <c r="B18" s="65">
        <v>3352</v>
      </c>
      <c r="C18" s="65">
        <v>536</v>
      </c>
      <c r="D18" s="65">
        <v>2816</v>
      </c>
      <c r="K18" s="67">
        <v>0.28000000000000003</v>
      </c>
      <c r="L18" s="65">
        <v>1958</v>
      </c>
      <c r="S18" s="67">
        <v>0.46</v>
      </c>
      <c r="T18" s="2">
        <v>881</v>
      </c>
      <c r="U18" s="65">
        <v>141</v>
      </c>
      <c r="V18" s="65">
        <v>740</v>
      </c>
    </row>
    <row r="19" spans="1:22">
      <c r="A19" s="67">
        <v>16</v>
      </c>
      <c r="B19" s="65">
        <v>3928</v>
      </c>
      <c r="C19" s="65">
        <v>493</v>
      </c>
      <c r="D19" s="65">
        <v>3435</v>
      </c>
      <c r="K19" s="67">
        <v>0.3</v>
      </c>
      <c r="L19" s="65">
        <v>3551</v>
      </c>
      <c r="S19" s="67">
        <v>0.49</v>
      </c>
      <c r="T19" s="2">
        <v>629</v>
      </c>
      <c r="U19" s="65">
        <v>31</v>
      </c>
      <c r="V19" s="65">
        <v>598</v>
      </c>
    </row>
    <row r="20" spans="1:22">
      <c r="A20" s="67">
        <v>17</v>
      </c>
      <c r="B20" s="65">
        <v>6169</v>
      </c>
      <c r="C20" s="65">
        <v>395</v>
      </c>
      <c r="D20" s="65">
        <v>5774</v>
      </c>
      <c r="K20" s="67">
        <v>0.32</v>
      </c>
      <c r="L20" s="65">
        <v>1966</v>
      </c>
      <c r="S20" s="67">
        <v>0.52</v>
      </c>
      <c r="T20" s="2">
        <v>682</v>
      </c>
      <c r="U20" s="65">
        <v>45</v>
      </c>
      <c r="V20" s="65">
        <v>637</v>
      </c>
    </row>
    <row r="21" spans="1:22">
      <c r="A21" s="67">
        <v>18</v>
      </c>
      <c r="B21" s="65">
        <v>5283</v>
      </c>
      <c r="C21" s="65">
        <v>222</v>
      </c>
      <c r="D21" s="65">
        <v>5061</v>
      </c>
      <c r="K21" s="67">
        <v>0.34</v>
      </c>
      <c r="L21" s="65">
        <v>2478</v>
      </c>
      <c r="S21" s="67">
        <v>0.55000000000000004</v>
      </c>
      <c r="T21" s="2">
        <v>374</v>
      </c>
      <c r="U21" s="65">
        <v>20</v>
      </c>
      <c r="V21" s="65">
        <v>354</v>
      </c>
    </row>
    <row r="22" spans="1:22">
      <c r="A22" s="67">
        <v>19</v>
      </c>
      <c r="B22" s="65">
        <v>3661</v>
      </c>
      <c r="C22" s="65">
        <v>187</v>
      </c>
      <c r="D22" s="65">
        <v>3474</v>
      </c>
      <c r="K22" s="67">
        <v>0.36</v>
      </c>
      <c r="L22" s="65">
        <v>1341</v>
      </c>
      <c r="S22" s="67">
        <v>0.57999999999999996</v>
      </c>
      <c r="T22" s="2">
        <v>382</v>
      </c>
      <c r="U22" s="65">
        <v>26</v>
      </c>
      <c r="V22" s="65">
        <v>356</v>
      </c>
    </row>
    <row r="23" spans="1:22">
      <c r="A23" s="67">
        <v>20</v>
      </c>
      <c r="B23" s="65">
        <v>2656</v>
      </c>
      <c r="C23" s="65">
        <v>140</v>
      </c>
      <c r="D23" s="65">
        <v>2516</v>
      </c>
      <c r="K23" s="67">
        <v>0.38</v>
      </c>
      <c r="L23" s="65">
        <v>521</v>
      </c>
      <c r="S23" s="67" t="s">
        <v>77</v>
      </c>
      <c r="T23" s="2">
        <v>58304</v>
      </c>
      <c r="U23" s="65">
        <v>4921</v>
      </c>
      <c r="V23" s="65">
        <v>53383</v>
      </c>
    </row>
    <row r="24" spans="1:22">
      <c r="A24" s="67">
        <v>21</v>
      </c>
      <c r="B24" s="65">
        <v>1996</v>
      </c>
      <c r="C24" s="65">
        <v>117</v>
      </c>
      <c r="D24" s="65">
        <v>1879</v>
      </c>
      <c r="K24" s="67">
        <v>0.4</v>
      </c>
      <c r="L24" s="65">
        <v>985</v>
      </c>
    </row>
    <row r="25" spans="1:22">
      <c r="A25" s="67">
        <v>22</v>
      </c>
      <c r="B25" s="65">
        <v>1508</v>
      </c>
      <c r="C25" s="65">
        <v>103</v>
      </c>
      <c r="D25" s="65">
        <v>1405</v>
      </c>
      <c r="K25" s="67">
        <v>0.42</v>
      </c>
      <c r="L25" s="65">
        <v>519</v>
      </c>
    </row>
    <row r="26" spans="1:22">
      <c r="A26" s="67">
        <v>23</v>
      </c>
      <c r="B26" s="65">
        <v>1083</v>
      </c>
      <c r="C26" s="65">
        <v>101</v>
      </c>
      <c r="D26" s="65">
        <v>982</v>
      </c>
      <c r="K26" s="67">
        <v>0.44</v>
      </c>
      <c r="L26" s="65">
        <v>194</v>
      </c>
    </row>
    <row r="27" spans="1:22">
      <c r="A27" s="67" t="s">
        <v>77</v>
      </c>
      <c r="B27" s="65">
        <v>58304</v>
      </c>
      <c r="C27" s="65">
        <v>4921</v>
      </c>
      <c r="D27" s="65">
        <v>53383</v>
      </c>
      <c r="K27" s="67">
        <v>0.46</v>
      </c>
      <c r="L27" s="65">
        <v>265</v>
      </c>
    </row>
    <row r="28" spans="1:22">
      <c r="K28" s="67" t="s">
        <v>77</v>
      </c>
      <c r="L28" s="65">
        <v>58304</v>
      </c>
    </row>
  </sheetData>
  <pageMargins left="0.7" right="0.7" top="0.75" bottom="0.75" header="0.3" footer="0.3"/>
  <drawing r:id="rId6"/>
  <extLst>
    <ext xmlns:x15="http://schemas.microsoft.com/office/spreadsheetml/2010/11/main" uri="{7E03D99C-DC04-49d9-9315-930204A7B6E9}">
      <x15:timelineRefs>
        <x15:timelineRef r:id="rId7"/>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EDF9-0C82-42A7-A65B-E84935F8CCC0}">
  <sheetPr codeName="Sheet4"/>
  <dimension ref="A1:V1001"/>
  <sheetViews>
    <sheetView zoomScale="60" zoomScaleNormal="60" workbookViewId="0">
      <selection activeCell="N1" activeCellId="1" sqref="B1:B1048576 N1:N1048576"/>
    </sheetView>
  </sheetViews>
  <sheetFormatPr defaultRowHeight="12.5"/>
  <cols>
    <col min="1" max="1" width="7.7265625" bestFit="1" customWidth="1"/>
    <col min="2" max="2" width="14.453125" customWidth="1"/>
    <col min="3" max="3" width="10.453125" customWidth="1"/>
    <col min="4" max="4" width="17.7265625" customWidth="1"/>
    <col min="5" max="5" width="12.36328125" customWidth="1"/>
    <col min="6" max="6" width="14.54296875" customWidth="1"/>
    <col min="7" max="7" width="15" customWidth="1"/>
    <col min="8" max="8" width="19.7265625" customWidth="1"/>
    <col min="9" max="9" width="18.36328125" customWidth="1"/>
    <col min="10" max="10" width="13.81640625" customWidth="1"/>
    <col min="11" max="11" width="16.1796875" customWidth="1"/>
    <col min="12" max="12" width="20.26953125" customWidth="1"/>
    <col min="13" max="13" width="20.453125" customWidth="1"/>
    <col min="14" max="14" width="18.90625" customWidth="1"/>
    <col min="15" max="15" width="6.6328125" customWidth="1"/>
    <col min="16" max="16" width="21.90625" customWidth="1"/>
    <col min="17" max="17" width="21.08984375" customWidth="1"/>
    <col min="18" max="18" width="24.1796875" customWidth="1"/>
    <col min="19" max="19" width="7.08984375" customWidth="1"/>
    <col min="20" max="20" width="18.54296875" customWidth="1"/>
    <col min="21" max="21" width="23.26953125" customWidth="1"/>
    <col min="22" max="22" width="22.36328125" customWidth="1"/>
  </cols>
  <sheetData>
    <row r="1" spans="1:22">
      <c r="A1" s="39" t="s">
        <v>7</v>
      </c>
      <c r="B1" s="39" t="s">
        <v>32</v>
      </c>
      <c r="C1" s="39" t="s">
        <v>33</v>
      </c>
      <c r="D1" s="39" t="s">
        <v>26</v>
      </c>
      <c r="E1" s="39" t="s">
        <v>34</v>
      </c>
      <c r="F1" s="39" t="s">
        <v>35</v>
      </c>
      <c r="G1" s="39" t="s">
        <v>36</v>
      </c>
      <c r="H1" s="39" t="s">
        <v>43</v>
      </c>
      <c r="I1" s="39" t="s">
        <v>37</v>
      </c>
      <c r="J1" s="39" t="s">
        <v>38</v>
      </c>
      <c r="K1" s="39" t="s">
        <v>39</v>
      </c>
      <c r="L1" s="39" t="s">
        <v>40</v>
      </c>
      <c r="M1" s="39" t="s">
        <v>41</v>
      </c>
      <c r="N1" s="39" t="s">
        <v>42</v>
      </c>
    </row>
    <row r="2" spans="1:22" ht="13">
      <c r="A2" s="30">
        <v>1</v>
      </c>
      <c r="B2" s="31">
        <v>40544</v>
      </c>
      <c r="C2" s="30">
        <v>0</v>
      </c>
      <c r="D2" s="37" t="s">
        <v>27</v>
      </c>
      <c r="E2" s="37" t="b">
        <v>0</v>
      </c>
      <c r="F2" s="37" t="s">
        <v>25</v>
      </c>
      <c r="G2" s="37" t="s">
        <v>8</v>
      </c>
      <c r="H2" s="37">
        <v>0.28999999999999998</v>
      </c>
      <c r="I2" s="30">
        <v>0.24</v>
      </c>
      <c r="J2" s="37">
        <v>0.81</v>
      </c>
      <c r="K2" s="37">
        <v>0</v>
      </c>
      <c r="L2" s="37">
        <v>3</v>
      </c>
      <c r="M2" s="37">
        <v>13</v>
      </c>
      <c r="N2" s="37">
        <v>16</v>
      </c>
      <c r="P2" s="52" t="s">
        <v>48</v>
      </c>
      <c r="Q2" s="52" t="s">
        <v>26</v>
      </c>
      <c r="T2" s="90" t="s">
        <v>60</v>
      </c>
      <c r="U2" s="91"/>
      <c r="V2" s="92"/>
    </row>
    <row r="3" spans="1:22" ht="13">
      <c r="A3" s="30">
        <v>2</v>
      </c>
      <c r="B3" s="31">
        <v>40544</v>
      </c>
      <c r="C3" s="30">
        <v>1</v>
      </c>
      <c r="D3" s="37" t="s">
        <v>27</v>
      </c>
      <c r="E3" s="37" t="b">
        <v>0</v>
      </c>
      <c r="F3" s="37" t="s">
        <v>25</v>
      </c>
      <c r="G3" s="37" t="s">
        <v>8</v>
      </c>
      <c r="H3" s="37">
        <v>0.27</v>
      </c>
      <c r="I3" s="30">
        <v>0.22</v>
      </c>
      <c r="J3" s="37">
        <v>0.8</v>
      </c>
      <c r="K3" s="37">
        <v>0</v>
      </c>
      <c r="L3" s="37">
        <v>8</v>
      </c>
      <c r="M3" s="37">
        <v>32</v>
      </c>
      <c r="N3" s="37">
        <v>40</v>
      </c>
      <c r="P3" s="50" t="s">
        <v>44</v>
      </c>
      <c r="Q3" s="51" t="s">
        <v>27</v>
      </c>
      <c r="T3" s="55" t="s">
        <v>61</v>
      </c>
      <c r="U3" s="56" t="s">
        <v>57</v>
      </c>
      <c r="V3" s="56" t="s">
        <v>58</v>
      </c>
    </row>
    <row r="4" spans="1:22" ht="13">
      <c r="A4" s="30">
        <v>3</v>
      </c>
      <c r="B4" s="31">
        <v>40544</v>
      </c>
      <c r="C4" s="30">
        <v>2</v>
      </c>
      <c r="D4" s="37" t="s">
        <v>27</v>
      </c>
      <c r="E4" s="37" t="b">
        <v>0</v>
      </c>
      <c r="F4" s="37" t="s">
        <v>25</v>
      </c>
      <c r="G4" s="37" t="s">
        <v>8</v>
      </c>
      <c r="H4" s="37">
        <v>0.27</v>
      </c>
      <c r="I4" s="30">
        <v>0.22</v>
      </c>
      <c r="J4" s="37">
        <v>0.8</v>
      </c>
      <c r="K4" s="37">
        <v>0</v>
      </c>
      <c r="L4" s="37">
        <v>5</v>
      </c>
      <c r="M4" s="37">
        <v>27</v>
      </c>
      <c r="N4" s="37">
        <v>32</v>
      </c>
      <c r="P4" s="50" t="s">
        <v>45</v>
      </c>
      <c r="Q4" s="51" t="s">
        <v>28</v>
      </c>
      <c r="T4" s="57" t="s">
        <v>34</v>
      </c>
      <c r="U4" s="58">
        <f>SUMIF(E:E,TRUE,N:N)</f>
        <v>1000</v>
      </c>
      <c r="V4" s="61">
        <f>AVERAGEIF(E:E,TRUE,N:N)</f>
        <v>41.666666666666664</v>
      </c>
    </row>
    <row r="5" spans="1:22" ht="13">
      <c r="A5" s="30">
        <v>4</v>
      </c>
      <c r="B5" s="31">
        <v>40544</v>
      </c>
      <c r="C5" s="30">
        <v>3</v>
      </c>
      <c r="D5" s="37" t="s">
        <v>27</v>
      </c>
      <c r="E5" s="37" t="b">
        <v>0</v>
      </c>
      <c r="F5" s="37" t="s">
        <v>25</v>
      </c>
      <c r="G5" s="37" t="s">
        <v>8</v>
      </c>
      <c r="H5" s="37">
        <v>0.28999999999999998</v>
      </c>
      <c r="I5" s="30">
        <v>0.24</v>
      </c>
      <c r="J5" s="37">
        <v>0.75</v>
      </c>
      <c r="K5" s="37">
        <v>0</v>
      </c>
      <c r="L5" s="37">
        <v>3</v>
      </c>
      <c r="M5" s="37">
        <v>10</v>
      </c>
      <c r="N5" s="37">
        <v>13</v>
      </c>
      <c r="P5" s="50" t="s">
        <v>46</v>
      </c>
      <c r="Q5" s="51" t="s">
        <v>29</v>
      </c>
      <c r="T5" s="57" t="s">
        <v>62</v>
      </c>
      <c r="U5" s="58">
        <f>SUMIF(E:E,FALSE,N:N)</f>
        <v>57304</v>
      </c>
      <c r="V5" s="61">
        <f>AVERAGEIF(E:E,FALSE,N:N)</f>
        <v>58.713114754098363</v>
      </c>
    </row>
    <row r="6" spans="1:22" ht="13">
      <c r="A6" s="30">
        <v>5</v>
      </c>
      <c r="B6" s="31">
        <v>40544</v>
      </c>
      <c r="C6" s="30">
        <v>4</v>
      </c>
      <c r="D6" s="37" t="s">
        <v>27</v>
      </c>
      <c r="E6" s="37" t="b">
        <v>0</v>
      </c>
      <c r="F6" s="45" t="s">
        <v>25</v>
      </c>
      <c r="G6" s="37" t="s">
        <v>8</v>
      </c>
      <c r="H6" s="37">
        <v>0.28999999999999998</v>
      </c>
      <c r="I6" s="30">
        <v>0.24</v>
      </c>
      <c r="J6" s="37">
        <v>0.75</v>
      </c>
      <c r="K6" s="37">
        <v>0</v>
      </c>
      <c r="L6" s="37">
        <v>0</v>
      </c>
      <c r="M6" s="37">
        <v>1</v>
      </c>
      <c r="N6" s="37">
        <v>1</v>
      </c>
      <c r="P6" s="50" t="s">
        <v>47</v>
      </c>
      <c r="Q6" s="51" t="s">
        <v>30</v>
      </c>
    </row>
    <row r="7" spans="1:22">
      <c r="A7" s="30">
        <v>6</v>
      </c>
      <c r="B7" s="31">
        <v>40544</v>
      </c>
      <c r="C7" s="30">
        <v>5</v>
      </c>
      <c r="D7" s="37" t="s">
        <v>27</v>
      </c>
      <c r="E7" s="37" t="b">
        <v>0</v>
      </c>
      <c r="F7" s="37" t="s">
        <v>25</v>
      </c>
      <c r="G7" s="37" t="s">
        <v>9</v>
      </c>
      <c r="H7" s="37">
        <v>0.26</v>
      </c>
      <c r="I7" s="30">
        <v>0.24</v>
      </c>
      <c r="J7" s="37">
        <v>0.75</v>
      </c>
      <c r="K7" s="37">
        <v>0.09</v>
      </c>
      <c r="L7" s="37">
        <v>0</v>
      </c>
      <c r="M7" s="37">
        <v>1</v>
      </c>
      <c r="N7" s="37">
        <v>1</v>
      </c>
    </row>
    <row r="8" spans="1:22">
      <c r="A8" s="30">
        <v>7</v>
      </c>
      <c r="B8" s="31">
        <v>40544</v>
      </c>
      <c r="C8" s="30">
        <v>6</v>
      </c>
      <c r="D8" s="37" t="s">
        <v>28</v>
      </c>
      <c r="E8" s="37" t="b">
        <v>0</v>
      </c>
      <c r="F8" s="37" t="s">
        <v>25</v>
      </c>
      <c r="G8" s="37" t="s">
        <v>8</v>
      </c>
      <c r="H8" s="37">
        <v>0.27</v>
      </c>
      <c r="I8" s="30">
        <v>0.22</v>
      </c>
      <c r="J8" s="37">
        <v>0.8</v>
      </c>
      <c r="K8" s="37">
        <v>0</v>
      </c>
      <c r="L8" s="37">
        <v>2</v>
      </c>
      <c r="M8" s="37">
        <v>0</v>
      </c>
      <c r="N8" s="37">
        <v>2</v>
      </c>
    </row>
    <row r="9" spans="1:22" ht="13">
      <c r="A9" s="30">
        <v>8</v>
      </c>
      <c r="B9" s="31">
        <v>40544</v>
      </c>
      <c r="C9" s="30">
        <v>7</v>
      </c>
      <c r="D9" s="37" t="s">
        <v>28</v>
      </c>
      <c r="E9" s="37" t="b">
        <v>0</v>
      </c>
      <c r="F9" s="37" t="s">
        <v>25</v>
      </c>
      <c r="G9" s="37" t="s">
        <v>8</v>
      </c>
      <c r="H9" s="37">
        <v>0.26</v>
      </c>
      <c r="I9" s="30">
        <v>0.2</v>
      </c>
      <c r="J9" s="37">
        <v>0.86</v>
      </c>
      <c r="K9" s="37">
        <v>0</v>
      </c>
      <c r="L9" s="37">
        <v>1</v>
      </c>
      <c r="M9" s="37">
        <v>2</v>
      </c>
      <c r="N9" s="37">
        <v>3</v>
      </c>
      <c r="P9" s="88" t="s">
        <v>65</v>
      </c>
      <c r="Q9" s="88"/>
      <c r="R9" s="88"/>
      <c r="T9" s="89" t="s">
        <v>59</v>
      </c>
      <c r="U9" s="89"/>
      <c r="V9" s="89"/>
    </row>
    <row r="10" spans="1:22" ht="26">
      <c r="A10" s="30">
        <v>9</v>
      </c>
      <c r="B10" s="31">
        <v>40544</v>
      </c>
      <c r="C10" s="30">
        <v>8</v>
      </c>
      <c r="D10" s="37" t="s">
        <v>28</v>
      </c>
      <c r="E10" s="37" t="b">
        <v>0</v>
      </c>
      <c r="F10" s="37" t="s">
        <v>25</v>
      </c>
      <c r="G10" s="37" t="s">
        <v>8</v>
      </c>
      <c r="H10" s="37">
        <v>0.2</v>
      </c>
      <c r="I10" s="30">
        <v>0.24</v>
      </c>
      <c r="J10" s="37">
        <v>0.75</v>
      </c>
      <c r="K10" s="37">
        <v>0</v>
      </c>
      <c r="L10" s="37">
        <v>1</v>
      </c>
      <c r="M10" s="37">
        <v>7</v>
      </c>
      <c r="N10" s="37">
        <v>8</v>
      </c>
      <c r="P10" s="52" t="s">
        <v>49</v>
      </c>
      <c r="Q10" s="52" t="s">
        <v>50</v>
      </c>
      <c r="R10" s="53" t="s">
        <v>51</v>
      </c>
      <c r="T10" s="55" t="s">
        <v>35</v>
      </c>
      <c r="U10" s="56" t="s">
        <v>57</v>
      </c>
      <c r="V10" s="56" t="s">
        <v>58</v>
      </c>
    </row>
    <row r="11" spans="1:22">
      <c r="A11" s="30">
        <v>10</v>
      </c>
      <c r="B11" s="31">
        <v>40544</v>
      </c>
      <c r="C11" s="30">
        <v>9</v>
      </c>
      <c r="D11" s="37" t="s">
        <v>28</v>
      </c>
      <c r="E11" s="37" t="b">
        <v>0</v>
      </c>
      <c r="F11" s="37" t="s">
        <v>25</v>
      </c>
      <c r="G11" s="37" t="s">
        <v>8</v>
      </c>
      <c r="H11" s="37">
        <v>0.35</v>
      </c>
      <c r="I11" s="30">
        <v>0.32</v>
      </c>
      <c r="J11" s="37">
        <v>0.76</v>
      </c>
      <c r="K11" s="37">
        <v>0</v>
      </c>
      <c r="L11" s="37">
        <v>8</v>
      </c>
      <c r="M11" s="37">
        <v>6</v>
      </c>
      <c r="N11" s="37">
        <v>14</v>
      </c>
      <c r="P11" s="49">
        <f>SUM(Append1[Casual_customers])</f>
        <v>4921</v>
      </c>
      <c r="Q11" s="49">
        <f>SUM(Append1[Registered_customers])</f>
        <v>53383</v>
      </c>
      <c r="R11" s="49">
        <f>SUM(Append1[Total_count])</f>
        <v>58304</v>
      </c>
      <c r="T11" s="57" t="s">
        <v>20</v>
      </c>
      <c r="U11" s="58">
        <f>SUMIF(F:F,"Monday",N:N)</f>
        <v>8450</v>
      </c>
      <c r="V11" s="61">
        <f>AVERAGEIF(F:F,"Monday",N:N)</f>
        <v>56.711409395973156</v>
      </c>
    </row>
    <row r="12" spans="1:22" ht="13">
      <c r="A12" s="30">
        <v>11</v>
      </c>
      <c r="B12" s="31">
        <v>40544</v>
      </c>
      <c r="C12" s="30">
        <v>10</v>
      </c>
      <c r="D12" s="37" t="s">
        <v>28</v>
      </c>
      <c r="E12" s="37" t="b">
        <v>0</v>
      </c>
      <c r="F12" s="37" t="s">
        <v>25</v>
      </c>
      <c r="G12" s="37" t="s">
        <v>8</v>
      </c>
      <c r="H12" s="37">
        <v>0.39</v>
      </c>
      <c r="I12" s="30">
        <v>0.38</v>
      </c>
      <c r="J12" s="37">
        <v>0.76</v>
      </c>
      <c r="K12" s="37">
        <v>0.25</v>
      </c>
      <c r="L12" s="37">
        <v>12</v>
      </c>
      <c r="M12" s="37">
        <v>24</v>
      </c>
      <c r="N12" s="37">
        <v>36</v>
      </c>
      <c r="P12" s="53" t="s">
        <v>69</v>
      </c>
      <c r="Q12" s="53" t="s">
        <v>52</v>
      </c>
      <c r="R12" s="53" t="s">
        <v>53</v>
      </c>
      <c r="T12" s="57" t="s">
        <v>21</v>
      </c>
      <c r="U12" s="58">
        <f>SUMIF(F:F,"Tuesday",N:N)</f>
        <v>8383</v>
      </c>
      <c r="V12" s="61">
        <f>AVERAGEIF(F:F,"Tuesday",N:N)</f>
        <v>66.00787401574803</v>
      </c>
    </row>
    <row r="13" spans="1:22">
      <c r="A13" s="30">
        <v>12</v>
      </c>
      <c r="B13" s="31">
        <v>40544</v>
      </c>
      <c r="C13" s="30">
        <v>11</v>
      </c>
      <c r="D13" s="37" t="s">
        <v>28</v>
      </c>
      <c r="E13" s="37" t="b">
        <v>0</v>
      </c>
      <c r="F13" s="37" t="s">
        <v>25</v>
      </c>
      <c r="G13" s="37" t="s">
        <v>8</v>
      </c>
      <c r="H13" s="37">
        <v>0.33</v>
      </c>
      <c r="I13" s="30">
        <v>0.36</v>
      </c>
      <c r="J13" s="37">
        <v>0.81</v>
      </c>
      <c r="K13" s="37">
        <v>0.28000000000000003</v>
      </c>
      <c r="L13" s="37">
        <v>26</v>
      </c>
      <c r="M13" s="37">
        <v>30</v>
      </c>
      <c r="N13" s="37">
        <v>56</v>
      </c>
      <c r="P13" s="59">
        <f>AVERAGE(Append1[Total_count])</f>
        <v>58.304000000000002</v>
      </c>
      <c r="Q13" s="49">
        <f>MAX(N2:N1001)</f>
        <v>249</v>
      </c>
      <c r="R13" s="49">
        <f>MIN(N2:N1001)</f>
        <v>1</v>
      </c>
      <c r="T13" s="57" t="s">
        <v>22</v>
      </c>
      <c r="U13" s="58">
        <f>SUMIF(F:F,"Wednesday",N:N)</f>
        <v>8049</v>
      </c>
      <c r="V13" s="61">
        <f>AVERAGEIF(F:F,"Wednesday",N:N)</f>
        <v>61.44274809160305</v>
      </c>
    </row>
    <row r="14" spans="1:22" ht="13">
      <c r="A14" s="30">
        <v>13</v>
      </c>
      <c r="B14" s="31">
        <v>40544</v>
      </c>
      <c r="C14" s="30">
        <v>12</v>
      </c>
      <c r="D14" s="37" t="s">
        <v>29</v>
      </c>
      <c r="E14" s="37" t="b">
        <v>0</v>
      </c>
      <c r="F14" s="37" t="s">
        <v>25</v>
      </c>
      <c r="G14" s="37" t="s">
        <v>8</v>
      </c>
      <c r="H14" s="37">
        <v>0.42</v>
      </c>
      <c r="I14" s="30">
        <v>0.42</v>
      </c>
      <c r="J14" s="37">
        <v>0.77</v>
      </c>
      <c r="K14" s="37">
        <v>0.28000000000000003</v>
      </c>
      <c r="L14" s="37">
        <v>29</v>
      </c>
      <c r="M14" s="37">
        <v>55</v>
      </c>
      <c r="N14" s="37">
        <v>84</v>
      </c>
      <c r="P14" s="53" t="s">
        <v>54</v>
      </c>
      <c r="Q14" s="53" t="s">
        <v>55</v>
      </c>
      <c r="R14" s="53" t="s">
        <v>56</v>
      </c>
      <c r="T14" s="57" t="s">
        <v>23</v>
      </c>
      <c r="U14" s="58">
        <f>SUMIF(F:F,"Thursday",N:N)</f>
        <v>8458</v>
      </c>
      <c r="V14" s="61">
        <f>AVERAGEIF(F:F,"Thursday",N:N)</f>
        <v>67.664000000000001</v>
      </c>
    </row>
    <row r="15" spans="1:22">
      <c r="A15" s="30">
        <v>14</v>
      </c>
      <c r="B15" s="31">
        <v>40544</v>
      </c>
      <c r="C15" s="30">
        <v>13</v>
      </c>
      <c r="D15" s="37" t="s">
        <v>29</v>
      </c>
      <c r="E15" s="37" t="b">
        <v>0</v>
      </c>
      <c r="F15" s="37" t="s">
        <v>25</v>
      </c>
      <c r="G15" s="37" t="s">
        <v>9</v>
      </c>
      <c r="H15" s="37">
        <v>0.45</v>
      </c>
      <c r="I15" s="30">
        <v>0.46</v>
      </c>
      <c r="J15" s="37">
        <v>0.72</v>
      </c>
      <c r="K15" s="37">
        <v>0.3</v>
      </c>
      <c r="L15" s="37">
        <v>47</v>
      </c>
      <c r="M15" s="37">
        <v>47</v>
      </c>
      <c r="N15" s="37">
        <v>94</v>
      </c>
      <c r="P15" s="59">
        <f>MEDIAN(N2:N1001)</f>
        <v>49</v>
      </c>
      <c r="Q15" s="60">
        <f>SUM(Append1[Casual_customers])/SUM(Append1[Total_count])*100</f>
        <v>8.4402442371020854</v>
      </c>
      <c r="R15" s="60">
        <f>SUM(Q11)/SUM(R11)*100</f>
        <v>91.559755762897908</v>
      </c>
      <c r="T15" s="57" t="s">
        <v>24</v>
      </c>
      <c r="U15" s="58">
        <f>SUMIF(F:F,"Friday",N:N)</f>
        <v>9095</v>
      </c>
      <c r="V15" s="61">
        <f>AVERAGEIF(F:F,"Friday",N:N)</f>
        <v>65.905797101449281</v>
      </c>
    </row>
    <row r="16" spans="1:22" ht="13">
      <c r="A16" s="30">
        <v>15</v>
      </c>
      <c r="B16" s="31">
        <v>40544</v>
      </c>
      <c r="C16" s="30">
        <v>14</v>
      </c>
      <c r="D16" s="37" t="s">
        <v>29</v>
      </c>
      <c r="E16" s="37" t="b">
        <v>0</v>
      </c>
      <c r="F16" s="37" t="s">
        <v>25</v>
      </c>
      <c r="G16" s="37" t="s">
        <v>9</v>
      </c>
      <c r="H16" s="37">
        <v>0.45</v>
      </c>
      <c r="I16" s="30">
        <v>0.46</v>
      </c>
      <c r="J16" s="37">
        <v>0.72</v>
      </c>
      <c r="K16" s="37">
        <v>0.28000000000000003</v>
      </c>
      <c r="L16" s="37">
        <v>35</v>
      </c>
      <c r="M16" s="37">
        <v>71</v>
      </c>
      <c r="N16" s="37">
        <v>106</v>
      </c>
      <c r="P16" s="53" t="s">
        <v>31</v>
      </c>
      <c r="Q16" s="53" t="s">
        <v>63</v>
      </c>
      <c r="R16" s="53" t="s">
        <v>64</v>
      </c>
      <c r="T16" s="57" t="s">
        <v>25</v>
      </c>
      <c r="U16" s="58">
        <f>SUMIF(F:F,"Saturday",N:N)</f>
        <v>7748</v>
      </c>
      <c r="V16" s="61">
        <f>AVERAGEIF(F:F,"Saturday",N:N)</f>
        <v>46.674698795180724</v>
      </c>
    </row>
    <row r="17" spans="1:22">
      <c r="A17" s="30">
        <v>16</v>
      </c>
      <c r="B17" s="31">
        <v>40544</v>
      </c>
      <c r="C17" s="30">
        <v>15</v>
      </c>
      <c r="D17" s="37" t="s">
        <v>29</v>
      </c>
      <c r="E17" s="37" t="b">
        <v>0</v>
      </c>
      <c r="F17" s="37" t="s">
        <v>25</v>
      </c>
      <c r="G17" s="37" t="s">
        <v>9</v>
      </c>
      <c r="H17" s="37">
        <v>0.44</v>
      </c>
      <c r="I17" s="30">
        <v>0.44</v>
      </c>
      <c r="J17" s="37">
        <v>0.77</v>
      </c>
      <c r="K17" s="37">
        <v>0.3</v>
      </c>
      <c r="L17" s="37">
        <v>40</v>
      </c>
      <c r="M17" s="37">
        <v>70</v>
      </c>
      <c r="N17" s="37">
        <v>110</v>
      </c>
      <c r="P17" s="49">
        <f>AVERAGE(I2:I1001)</f>
        <v>0.20589999999999961</v>
      </c>
      <c r="Q17" s="49">
        <f>MAX(I2:I1001)</f>
        <v>0.46</v>
      </c>
      <c r="R17" s="49">
        <f>MIN(I2:I1001)</f>
        <v>0.02</v>
      </c>
      <c r="T17" s="57" t="s">
        <v>19</v>
      </c>
      <c r="U17" s="58">
        <f>SUMIF(F:F,"Sunday",N:N)</f>
        <v>8121</v>
      </c>
      <c r="V17" s="61">
        <f>AVERAGEIF(F:F,"Sunday",N:N)</f>
        <v>49.518292682926827</v>
      </c>
    </row>
    <row r="18" spans="1:22" ht="13">
      <c r="A18" s="30">
        <v>17</v>
      </c>
      <c r="B18" s="31">
        <v>40544</v>
      </c>
      <c r="C18" s="30">
        <v>16</v>
      </c>
      <c r="D18" s="37" t="s">
        <v>29</v>
      </c>
      <c r="E18" s="37" t="b">
        <v>0</v>
      </c>
      <c r="F18" s="37" t="s">
        <v>25</v>
      </c>
      <c r="G18" s="37" t="s">
        <v>9</v>
      </c>
      <c r="H18" s="37">
        <v>0.42</v>
      </c>
      <c r="I18" s="30">
        <v>0.42</v>
      </c>
      <c r="J18" s="37">
        <v>0.82</v>
      </c>
      <c r="K18" s="37">
        <v>0.3</v>
      </c>
      <c r="L18" s="37">
        <v>41</v>
      </c>
      <c r="M18" s="37">
        <v>52</v>
      </c>
      <c r="N18" s="37">
        <v>93</v>
      </c>
      <c r="P18" s="54" t="s">
        <v>67</v>
      </c>
      <c r="Q18" s="53" t="s">
        <v>66</v>
      </c>
      <c r="R18" s="53" t="s">
        <v>68</v>
      </c>
      <c r="U18">
        <f>SUM(U11:U17)</f>
        <v>58304</v>
      </c>
    </row>
    <row r="19" spans="1:22">
      <c r="A19" s="30">
        <v>18</v>
      </c>
      <c r="B19" s="31">
        <v>40544</v>
      </c>
      <c r="C19" s="30">
        <v>17</v>
      </c>
      <c r="D19" s="37" t="s">
        <v>29</v>
      </c>
      <c r="E19" s="37" t="b">
        <v>0</v>
      </c>
      <c r="F19" s="37" t="s">
        <v>25</v>
      </c>
      <c r="G19" s="37" t="s">
        <v>9</v>
      </c>
      <c r="H19" s="37">
        <v>0.2</v>
      </c>
      <c r="I19" s="30">
        <v>0.44</v>
      </c>
      <c r="J19" s="37">
        <v>0.82</v>
      </c>
      <c r="K19" s="37">
        <v>0.28000000000000003</v>
      </c>
      <c r="L19" s="37">
        <v>15</v>
      </c>
      <c r="M19" s="37">
        <v>52</v>
      </c>
      <c r="N19" s="37">
        <v>67</v>
      </c>
      <c r="P19" s="49">
        <f>AVERAGE(K2:K1001)</f>
        <v>0.19293999999999956</v>
      </c>
      <c r="Q19" s="49">
        <f>MAX(K2:K1001)</f>
        <v>0.57999999999999996</v>
      </c>
      <c r="R19" s="49">
        <f>MIN(K2:K1001)</f>
        <v>0</v>
      </c>
    </row>
    <row r="20" spans="1:22" ht="26">
      <c r="A20" s="30">
        <v>19</v>
      </c>
      <c r="B20" s="31">
        <v>40544</v>
      </c>
      <c r="C20" s="30">
        <v>18</v>
      </c>
      <c r="D20" s="37" t="s">
        <v>30</v>
      </c>
      <c r="E20" s="37" t="b">
        <v>0</v>
      </c>
      <c r="F20" s="37" t="s">
        <v>25</v>
      </c>
      <c r="G20" s="37" t="s">
        <v>10</v>
      </c>
      <c r="H20" s="37">
        <v>0.42</v>
      </c>
      <c r="I20" s="30">
        <v>0.42</v>
      </c>
      <c r="J20" s="37">
        <v>0.88</v>
      </c>
      <c r="K20" s="37">
        <v>0.25</v>
      </c>
      <c r="L20" s="37">
        <v>9</v>
      </c>
      <c r="M20" s="37">
        <v>26</v>
      </c>
      <c r="N20" s="37">
        <v>35</v>
      </c>
      <c r="P20" s="52" t="s">
        <v>70</v>
      </c>
      <c r="Q20" s="52" t="s">
        <v>71</v>
      </c>
      <c r="R20" s="52" t="s">
        <v>72</v>
      </c>
    </row>
    <row r="21" spans="1:22">
      <c r="A21" s="30">
        <v>20</v>
      </c>
      <c r="B21" s="31">
        <v>40544</v>
      </c>
      <c r="C21" s="30">
        <v>19</v>
      </c>
      <c r="D21" s="37" t="s">
        <v>30</v>
      </c>
      <c r="E21" s="37" t="b">
        <v>0</v>
      </c>
      <c r="F21" s="37" t="s">
        <v>25</v>
      </c>
      <c r="G21" s="37" t="s">
        <v>10</v>
      </c>
      <c r="H21" s="37">
        <v>0.42</v>
      </c>
      <c r="I21" s="30">
        <v>0.42</v>
      </c>
      <c r="J21" s="37">
        <v>0.88</v>
      </c>
      <c r="K21" s="37">
        <v>0.25</v>
      </c>
      <c r="L21" s="37">
        <v>6</v>
      </c>
      <c r="M21" s="37">
        <v>31</v>
      </c>
      <c r="N21" s="37">
        <v>37</v>
      </c>
      <c r="P21" s="63">
        <f>CORREL(I:I,N:N)</f>
        <v>0.22929155386993369</v>
      </c>
      <c r="Q21" s="63">
        <f>CORREL(J:J,N:N)</f>
        <v>-0.25435329828790432</v>
      </c>
      <c r="R21" s="63">
        <f>CORREL(K:K,N:N)</f>
        <v>0.10454917581719339</v>
      </c>
    </row>
    <row r="22" spans="1:22" ht="26">
      <c r="A22" s="30">
        <v>21</v>
      </c>
      <c r="B22" s="31">
        <v>40544</v>
      </c>
      <c r="C22" s="30">
        <v>20</v>
      </c>
      <c r="D22" s="37" t="s">
        <v>30</v>
      </c>
      <c r="E22" s="37" t="b">
        <v>0</v>
      </c>
      <c r="F22" s="37" t="s">
        <v>25</v>
      </c>
      <c r="G22" s="37" t="s">
        <v>9</v>
      </c>
      <c r="H22" s="37">
        <v>0.41</v>
      </c>
      <c r="I22" s="30">
        <v>0.4</v>
      </c>
      <c r="J22" s="37">
        <v>0.87</v>
      </c>
      <c r="K22" s="37">
        <v>0.25</v>
      </c>
      <c r="L22" s="37">
        <v>11</v>
      </c>
      <c r="M22" s="37">
        <v>25</v>
      </c>
      <c r="N22" s="37">
        <v>36</v>
      </c>
      <c r="P22" s="52" t="s">
        <v>73</v>
      </c>
      <c r="Q22" s="68" t="s">
        <v>84</v>
      </c>
      <c r="R22" s="49"/>
    </row>
    <row r="23" spans="1:22">
      <c r="A23" s="30">
        <v>22</v>
      </c>
      <c r="B23" s="31">
        <v>40544</v>
      </c>
      <c r="C23" s="30">
        <v>21</v>
      </c>
      <c r="D23" s="37" t="s">
        <v>30</v>
      </c>
      <c r="E23" s="37" t="b">
        <v>0</v>
      </c>
      <c r="F23" s="37" t="s">
        <v>25</v>
      </c>
      <c r="G23" s="37" t="s">
        <v>9</v>
      </c>
      <c r="H23" s="37">
        <v>0.41</v>
      </c>
      <c r="I23" s="30">
        <v>0.4</v>
      </c>
      <c r="J23" s="37">
        <v>0.87</v>
      </c>
      <c r="K23" s="37">
        <v>0.19</v>
      </c>
      <c r="L23" s="37">
        <v>3</v>
      </c>
      <c r="M23" s="37">
        <v>31</v>
      </c>
      <c r="N23" s="37">
        <v>34</v>
      </c>
      <c r="P23" s="63">
        <f>CORREL(H:H,N:N)</f>
        <v>0.1931932037362683</v>
      </c>
      <c r="Q23" s="49" t="str">
        <f>"Hour "&amp;INDEX(C2:C1001,MATCH(MAX(N2:N1001),N2:N1001,0))&amp;" | "&amp;MAX(N2:N1001)&amp;" rentals"</f>
        <v>Hour 8 | 249 rentals</v>
      </c>
      <c r="R23" s="49"/>
    </row>
    <row r="24" spans="1:22">
      <c r="A24" s="30">
        <v>23</v>
      </c>
      <c r="B24" s="31">
        <v>40544</v>
      </c>
      <c r="C24" s="30">
        <v>22</v>
      </c>
      <c r="D24" s="37" t="s">
        <v>30</v>
      </c>
      <c r="E24" s="37" t="b">
        <v>0</v>
      </c>
      <c r="F24" s="37" t="s">
        <v>25</v>
      </c>
      <c r="G24" s="37" t="s">
        <v>9</v>
      </c>
      <c r="H24" s="37">
        <v>0.41</v>
      </c>
      <c r="I24" s="30">
        <v>0.4</v>
      </c>
      <c r="J24" s="37">
        <v>0.94</v>
      </c>
      <c r="K24" s="37">
        <v>0.22</v>
      </c>
      <c r="L24" s="37">
        <v>11</v>
      </c>
      <c r="M24" s="37">
        <v>17</v>
      </c>
      <c r="N24" s="37">
        <v>28</v>
      </c>
    </row>
    <row r="25" spans="1:22">
      <c r="A25" s="30">
        <v>24</v>
      </c>
      <c r="B25" s="31">
        <v>40544</v>
      </c>
      <c r="C25" s="30">
        <v>23</v>
      </c>
      <c r="D25" s="37" t="s">
        <v>30</v>
      </c>
      <c r="E25" s="37" t="b">
        <v>0</v>
      </c>
      <c r="F25" s="37" t="s">
        <v>25</v>
      </c>
      <c r="G25" s="37" t="s">
        <v>9</v>
      </c>
      <c r="H25" s="37">
        <v>0.2</v>
      </c>
      <c r="I25" s="30">
        <v>0.46</v>
      </c>
      <c r="J25" s="37">
        <v>0.88</v>
      </c>
      <c r="K25" s="37">
        <v>0.3</v>
      </c>
      <c r="L25" s="37">
        <v>15</v>
      </c>
      <c r="M25" s="37">
        <v>24</v>
      </c>
      <c r="N25" s="37">
        <v>39</v>
      </c>
    </row>
    <row r="26" spans="1:22">
      <c r="A26" s="30">
        <v>25</v>
      </c>
      <c r="B26" s="31">
        <v>40545</v>
      </c>
      <c r="C26" s="30">
        <v>0</v>
      </c>
      <c r="D26" s="37" t="s">
        <v>27</v>
      </c>
      <c r="E26" s="37" t="b">
        <v>0</v>
      </c>
      <c r="F26" s="37" t="s">
        <v>19</v>
      </c>
      <c r="G26" s="37" t="s">
        <v>9</v>
      </c>
      <c r="H26" s="37">
        <v>0.45</v>
      </c>
      <c r="I26" s="30">
        <v>0.46</v>
      </c>
      <c r="J26" s="37">
        <v>0.88</v>
      </c>
      <c r="K26" s="37">
        <v>0.3</v>
      </c>
      <c r="L26" s="37">
        <v>4</v>
      </c>
      <c r="M26" s="37">
        <v>13</v>
      </c>
      <c r="N26" s="37">
        <v>17</v>
      </c>
    </row>
    <row r="27" spans="1:22">
      <c r="A27" s="30">
        <v>26</v>
      </c>
      <c r="B27" s="31">
        <v>40545</v>
      </c>
      <c r="C27" s="30">
        <v>1</v>
      </c>
      <c r="D27" s="37" t="s">
        <v>27</v>
      </c>
      <c r="E27" s="37" t="b">
        <v>0</v>
      </c>
      <c r="F27" s="37" t="s">
        <v>19</v>
      </c>
      <c r="G27" s="37" t="s">
        <v>9</v>
      </c>
      <c r="H27" s="37">
        <v>0.44</v>
      </c>
      <c r="I27" s="30">
        <v>0.44</v>
      </c>
      <c r="J27" s="37">
        <v>0.94</v>
      </c>
      <c r="K27" s="37">
        <v>0.25</v>
      </c>
      <c r="L27" s="37">
        <v>1</v>
      </c>
      <c r="M27" s="37">
        <v>16</v>
      </c>
      <c r="N27" s="37">
        <v>17</v>
      </c>
    </row>
    <row r="28" spans="1:22">
      <c r="A28" s="30">
        <v>27</v>
      </c>
      <c r="B28" s="31">
        <v>40545</v>
      </c>
      <c r="C28" s="30">
        <v>2</v>
      </c>
      <c r="D28" s="37" t="s">
        <v>27</v>
      </c>
      <c r="E28" s="37" t="b">
        <v>0</v>
      </c>
      <c r="F28" s="37" t="s">
        <v>19</v>
      </c>
      <c r="G28" s="37" t="s">
        <v>9</v>
      </c>
      <c r="H28" s="37">
        <v>0.42</v>
      </c>
      <c r="I28" s="30">
        <v>0.42</v>
      </c>
      <c r="J28" s="37">
        <v>1</v>
      </c>
      <c r="K28" s="37">
        <v>0.28000000000000003</v>
      </c>
      <c r="L28" s="37">
        <v>1</v>
      </c>
      <c r="M28" s="37">
        <v>8</v>
      </c>
      <c r="N28" s="37">
        <v>9</v>
      </c>
    </row>
    <row r="29" spans="1:22">
      <c r="A29" s="30">
        <v>28</v>
      </c>
      <c r="B29" s="31">
        <v>40545</v>
      </c>
      <c r="C29" s="30">
        <v>3</v>
      </c>
      <c r="D29" s="37" t="s">
        <v>27</v>
      </c>
      <c r="E29" s="37" t="b">
        <v>0</v>
      </c>
      <c r="F29" s="37" t="s">
        <v>19</v>
      </c>
      <c r="G29" s="37" t="s">
        <v>9</v>
      </c>
      <c r="H29" s="37">
        <v>0.45</v>
      </c>
      <c r="I29" s="30">
        <v>0.46</v>
      </c>
      <c r="J29" s="37">
        <v>0.94</v>
      </c>
      <c r="K29" s="37">
        <v>0.19</v>
      </c>
      <c r="L29" s="37">
        <v>2</v>
      </c>
      <c r="M29" s="37">
        <v>4</v>
      </c>
      <c r="N29" s="37">
        <v>6</v>
      </c>
    </row>
    <row r="30" spans="1:22">
      <c r="A30" s="30">
        <v>29</v>
      </c>
      <c r="B30" s="31">
        <v>40545</v>
      </c>
      <c r="C30" s="30">
        <v>4</v>
      </c>
      <c r="D30" s="37" t="s">
        <v>27</v>
      </c>
      <c r="E30" s="37" t="b">
        <v>0</v>
      </c>
      <c r="F30" s="37" t="s">
        <v>19</v>
      </c>
      <c r="G30" s="37" t="s">
        <v>9</v>
      </c>
      <c r="H30" s="37">
        <v>0.2</v>
      </c>
      <c r="I30" s="30">
        <v>0.46</v>
      </c>
      <c r="J30" s="37">
        <v>0.94</v>
      </c>
      <c r="K30" s="37">
        <v>0.19</v>
      </c>
      <c r="L30" s="37">
        <v>2</v>
      </c>
      <c r="M30" s="37">
        <v>1</v>
      </c>
      <c r="N30" s="37">
        <v>3</v>
      </c>
    </row>
    <row r="31" spans="1:22">
      <c r="A31" s="30">
        <v>30</v>
      </c>
      <c r="B31" s="31">
        <v>40545</v>
      </c>
      <c r="C31" s="30">
        <v>6</v>
      </c>
      <c r="D31" s="37" t="s">
        <v>28</v>
      </c>
      <c r="E31" s="37" t="b">
        <v>0</v>
      </c>
      <c r="F31" s="37" t="s">
        <v>19</v>
      </c>
      <c r="G31" s="37" t="s">
        <v>10</v>
      </c>
      <c r="H31" s="37">
        <v>0.42</v>
      </c>
      <c r="I31" s="30">
        <v>0.42</v>
      </c>
      <c r="J31" s="37">
        <v>0.77</v>
      </c>
      <c r="K31" s="37">
        <v>0.3</v>
      </c>
      <c r="L31" s="37">
        <v>0</v>
      </c>
      <c r="M31" s="37">
        <v>2</v>
      </c>
      <c r="N31" s="37">
        <v>2</v>
      </c>
    </row>
    <row r="32" spans="1:22">
      <c r="A32" s="30">
        <v>31</v>
      </c>
      <c r="B32" s="31">
        <v>40545</v>
      </c>
      <c r="C32" s="30">
        <v>7</v>
      </c>
      <c r="D32" s="37" t="s">
        <v>28</v>
      </c>
      <c r="E32" s="37" t="b">
        <v>0</v>
      </c>
      <c r="F32" s="37" t="s">
        <v>19</v>
      </c>
      <c r="G32" s="37" t="s">
        <v>9</v>
      </c>
      <c r="H32" s="37">
        <v>0.41</v>
      </c>
      <c r="I32" s="30">
        <v>0.4</v>
      </c>
      <c r="J32" s="37">
        <v>0.76</v>
      </c>
      <c r="K32" s="37">
        <v>0.19</v>
      </c>
      <c r="L32" s="37">
        <v>0</v>
      </c>
      <c r="M32" s="37">
        <v>1</v>
      </c>
      <c r="N32" s="37">
        <v>1</v>
      </c>
    </row>
    <row r="33" spans="1:14">
      <c r="A33" s="30">
        <v>32</v>
      </c>
      <c r="B33" s="31">
        <v>40545</v>
      </c>
      <c r="C33" s="30">
        <v>8</v>
      </c>
      <c r="D33" s="37" t="s">
        <v>28</v>
      </c>
      <c r="E33" s="37" t="b">
        <v>0</v>
      </c>
      <c r="F33" s="37" t="s">
        <v>19</v>
      </c>
      <c r="G33" s="37" t="s">
        <v>10</v>
      </c>
      <c r="H33" s="37">
        <v>0.41</v>
      </c>
      <c r="I33" s="30">
        <v>0.4</v>
      </c>
      <c r="J33" s="37">
        <v>0.71</v>
      </c>
      <c r="K33" s="37">
        <v>0.22</v>
      </c>
      <c r="L33" s="37">
        <v>0</v>
      </c>
      <c r="M33" s="37">
        <v>8</v>
      </c>
      <c r="N33" s="37">
        <v>8</v>
      </c>
    </row>
    <row r="34" spans="1:14">
      <c r="A34" s="30">
        <v>33</v>
      </c>
      <c r="B34" s="31">
        <v>40545</v>
      </c>
      <c r="C34" s="30">
        <v>9</v>
      </c>
      <c r="D34" s="37" t="s">
        <v>28</v>
      </c>
      <c r="E34" s="37" t="b">
        <v>0</v>
      </c>
      <c r="F34" s="37" t="s">
        <v>19</v>
      </c>
      <c r="G34" s="37" t="s">
        <v>9</v>
      </c>
      <c r="H34" s="37">
        <v>0.2</v>
      </c>
      <c r="I34" s="30">
        <v>0.38</v>
      </c>
      <c r="J34" s="37">
        <v>0.76</v>
      </c>
      <c r="K34" s="37">
        <v>0.22</v>
      </c>
      <c r="L34" s="37">
        <v>1</v>
      </c>
      <c r="M34" s="37">
        <v>19</v>
      </c>
      <c r="N34" s="37">
        <v>20</v>
      </c>
    </row>
    <row r="35" spans="1:14">
      <c r="A35" s="30">
        <v>34</v>
      </c>
      <c r="B35" s="31">
        <v>40545</v>
      </c>
      <c r="C35" s="30">
        <v>10</v>
      </c>
      <c r="D35" s="37" t="s">
        <v>28</v>
      </c>
      <c r="E35" s="37" t="b">
        <v>0</v>
      </c>
      <c r="F35" s="37" t="s">
        <v>19</v>
      </c>
      <c r="G35" s="37" t="s">
        <v>9</v>
      </c>
      <c r="H35" s="37">
        <v>0.35</v>
      </c>
      <c r="I35" s="30">
        <v>0.36</v>
      </c>
      <c r="J35" s="37">
        <v>0.81</v>
      </c>
      <c r="K35" s="37">
        <v>0.22</v>
      </c>
      <c r="L35" s="37">
        <v>7</v>
      </c>
      <c r="M35" s="37">
        <v>46</v>
      </c>
      <c r="N35" s="37">
        <v>53</v>
      </c>
    </row>
    <row r="36" spans="1:14">
      <c r="A36" s="30">
        <v>35</v>
      </c>
      <c r="B36" s="31">
        <v>40545</v>
      </c>
      <c r="C36" s="30">
        <v>11</v>
      </c>
      <c r="D36" s="37" t="s">
        <v>28</v>
      </c>
      <c r="E36" s="37" t="b">
        <v>0</v>
      </c>
      <c r="F36" s="37" t="s">
        <v>19</v>
      </c>
      <c r="G36" s="37" t="s">
        <v>9</v>
      </c>
      <c r="H36" s="37">
        <v>0.33</v>
      </c>
      <c r="I36" s="30">
        <v>0.36</v>
      </c>
      <c r="J36" s="37">
        <v>0.71</v>
      </c>
      <c r="K36" s="37">
        <v>0.25</v>
      </c>
      <c r="L36" s="37">
        <v>16</v>
      </c>
      <c r="M36" s="37">
        <v>54</v>
      </c>
      <c r="N36" s="37">
        <v>70</v>
      </c>
    </row>
    <row r="37" spans="1:14">
      <c r="A37" s="30">
        <v>36</v>
      </c>
      <c r="B37" s="31">
        <v>40545</v>
      </c>
      <c r="C37" s="30">
        <v>12</v>
      </c>
      <c r="D37" s="37" t="s">
        <v>29</v>
      </c>
      <c r="E37" s="37" t="b">
        <v>0</v>
      </c>
      <c r="F37" s="37" t="s">
        <v>19</v>
      </c>
      <c r="G37" s="37" t="s">
        <v>9</v>
      </c>
      <c r="H37" s="37">
        <v>0.33</v>
      </c>
      <c r="I37" s="30">
        <v>0.36</v>
      </c>
      <c r="J37" s="37">
        <v>0.66</v>
      </c>
      <c r="K37" s="37">
        <v>0.3</v>
      </c>
      <c r="L37" s="37">
        <v>20</v>
      </c>
      <c r="M37" s="37">
        <v>73</v>
      </c>
      <c r="N37" s="37">
        <v>93</v>
      </c>
    </row>
    <row r="38" spans="1:14">
      <c r="A38" s="30">
        <v>37</v>
      </c>
      <c r="B38" s="31">
        <v>40545</v>
      </c>
      <c r="C38" s="30">
        <v>13</v>
      </c>
      <c r="D38" s="37" t="s">
        <v>29</v>
      </c>
      <c r="E38" s="37" t="b">
        <v>0</v>
      </c>
      <c r="F38" s="37" t="s">
        <v>19</v>
      </c>
      <c r="G38" s="37" t="s">
        <v>9</v>
      </c>
      <c r="H38" s="37">
        <v>0.35</v>
      </c>
      <c r="I38" s="30">
        <v>0.36</v>
      </c>
      <c r="J38" s="37">
        <v>0.66</v>
      </c>
      <c r="K38" s="37">
        <v>0.13</v>
      </c>
      <c r="L38" s="37">
        <v>11</v>
      </c>
      <c r="M38" s="37">
        <v>64</v>
      </c>
      <c r="N38" s="37">
        <v>75</v>
      </c>
    </row>
    <row r="39" spans="1:14">
      <c r="A39" s="30">
        <v>38</v>
      </c>
      <c r="B39" s="31">
        <v>40545</v>
      </c>
      <c r="C39" s="30">
        <v>14</v>
      </c>
      <c r="D39" s="37" t="s">
        <v>29</v>
      </c>
      <c r="E39" s="37" t="b">
        <v>0</v>
      </c>
      <c r="F39" s="37" t="s">
        <v>19</v>
      </c>
      <c r="G39" s="37" t="s">
        <v>10</v>
      </c>
      <c r="H39" s="37">
        <v>0.2</v>
      </c>
      <c r="I39" s="30">
        <v>0.36</v>
      </c>
      <c r="J39" s="37">
        <v>0.76</v>
      </c>
      <c r="K39" s="37">
        <v>0.19</v>
      </c>
      <c r="L39" s="37">
        <v>4</v>
      </c>
      <c r="M39" s="37">
        <v>55</v>
      </c>
      <c r="N39" s="37">
        <v>59</v>
      </c>
    </row>
    <row r="40" spans="1:14">
      <c r="A40" s="30">
        <v>39</v>
      </c>
      <c r="B40" s="31">
        <v>40545</v>
      </c>
      <c r="C40" s="30">
        <v>15</v>
      </c>
      <c r="D40" s="37" t="s">
        <v>29</v>
      </c>
      <c r="E40" s="37" t="b">
        <v>0</v>
      </c>
      <c r="F40" s="37" t="s">
        <v>19</v>
      </c>
      <c r="G40" s="37" t="s">
        <v>10</v>
      </c>
      <c r="H40" s="37">
        <v>0.33</v>
      </c>
      <c r="I40" s="30">
        <v>0.34</v>
      </c>
      <c r="J40" s="37">
        <v>0.81</v>
      </c>
      <c r="K40" s="37">
        <v>0.16</v>
      </c>
      <c r="L40" s="37">
        <v>19</v>
      </c>
      <c r="M40" s="37">
        <v>55</v>
      </c>
      <c r="N40" s="37">
        <v>74</v>
      </c>
    </row>
    <row r="41" spans="1:14">
      <c r="A41" s="30">
        <v>40</v>
      </c>
      <c r="B41" s="31">
        <v>40545</v>
      </c>
      <c r="C41" s="30">
        <v>16</v>
      </c>
      <c r="D41" s="37" t="s">
        <v>29</v>
      </c>
      <c r="E41" s="37" t="b">
        <v>0</v>
      </c>
      <c r="F41" s="37" t="s">
        <v>19</v>
      </c>
      <c r="G41" s="37" t="s">
        <v>10</v>
      </c>
      <c r="H41" s="37">
        <v>0.33</v>
      </c>
      <c r="I41" s="30">
        <v>0.34</v>
      </c>
      <c r="J41" s="37">
        <v>0.71</v>
      </c>
      <c r="K41" s="37">
        <v>0.16</v>
      </c>
      <c r="L41" s="37">
        <v>9</v>
      </c>
      <c r="M41" s="37">
        <v>67</v>
      </c>
      <c r="N41" s="37">
        <v>76</v>
      </c>
    </row>
    <row r="42" spans="1:14">
      <c r="A42" s="30">
        <v>41</v>
      </c>
      <c r="B42" s="31">
        <v>40545</v>
      </c>
      <c r="C42" s="30">
        <v>17</v>
      </c>
      <c r="D42" s="37" t="s">
        <v>29</v>
      </c>
      <c r="E42" s="37" t="b">
        <v>0</v>
      </c>
      <c r="F42" s="37" t="s">
        <v>19</v>
      </c>
      <c r="G42" s="37" t="s">
        <v>8</v>
      </c>
      <c r="H42" s="37">
        <v>0.33</v>
      </c>
      <c r="I42" s="30">
        <v>0.34</v>
      </c>
      <c r="J42" s="37">
        <v>0.56999999999999995</v>
      </c>
      <c r="K42" s="37">
        <v>0.19</v>
      </c>
      <c r="L42" s="37">
        <v>7</v>
      </c>
      <c r="M42" s="37">
        <v>58</v>
      </c>
      <c r="N42" s="37">
        <v>65</v>
      </c>
    </row>
    <row r="43" spans="1:14">
      <c r="A43" s="30">
        <v>42</v>
      </c>
      <c r="B43" s="31">
        <v>40545</v>
      </c>
      <c r="C43" s="30">
        <v>18</v>
      </c>
      <c r="D43" s="37" t="s">
        <v>30</v>
      </c>
      <c r="E43" s="37" t="b">
        <v>0</v>
      </c>
      <c r="F43" s="37" t="s">
        <v>19</v>
      </c>
      <c r="G43" s="37" t="s">
        <v>9</v>
      </c>
      <c r="H43" s="37">
        <v>0.33</v>
      </c>
      <c r="I43" s="30">
        <v>0.36</v>
      </c>
      <c r="J43" s="37">
        <v>0.46</v>
      </c>
      <c r="K43" s="37">
        <v>0.33</v>
      </c>
      <c r="L43" s="37">
        <v>10</v>
      </c>
      <c r="M43" s="37">
        <v>43</v>
      </c>
      <c r="N43" s="37">
        <v>53</v>
      </c>
    </row>
    <row r="44" spans="1:14">
      <c r="A44" s="30">
        <v>43</v>
      </c>
      <c r="B44" s="31">
        <v>40545</v>
      </c>
      <c r="C44" s="30">
        <v>19</v>
      </c>
      <c r="D44" s="37" t="s">
        <v>30</v>
      </c>
      <c r="E44" s="37" t="b">
        <v>0</v>
      </c>
      <c r="F44" s="37" t="s">
        <v>19</v>
      </c>
      <c r="G44" s="37" t="s">
        <v>8</v>
      </c>
      <c r="H44" s="37">
        <v>0.28999999999999998</v>
      </c>
      <c r="I44" s="30">
        <v>0.32</v>
      </c>
      <c r="J44" s="37">
        <v>0.42</v>
      </c>
      <c r="K44" s="37">
        <v>0.45</v>
      </c>
      <c r="L44" s="37">
        <v>1</v>
      </c>
      <c r="M44" s="37">
        <v>29</v>
      </c>
      <c r="N44" s="37">
        <v>30</v>
      </c>
    </row>
    <row r="45" spans="1:14">
      <c r="A45" s="30">
        <v>44</v>
      </c>
      <c r="B45" s="31">
        <v>40545</v>
      </c>
      <c r="C45" s="30">
        <v>20</v>
      </c>
      <c r="D45" s="37" t="s">
        <v>30</v>
      </c>
      <c r="E45" s="37" t="b">
        <v>0</v>
      </c>
      <c r="F45" s="37" t="s">
        <v>19</v>
      </c>
      <c r="G45" s="37" t="s">
        <v>8</v>
      </c>
      <c r="H45" s="37">
        <v>0.2</v>
      </c>
      <c r="I45" s="30">
        <v>0.3</v>
      </c>
      <c r="J45" s="37">
        <v>0.39</v>
      </c>
      <c r="K45" s="37">
        <v>0.36</v>
      </c>
      <c r="L45" s="37">
        <v>5</v>
      </c>
      <c r="M45" s="37">
        <v>17</v>
      </c>
      <c r="N45" s="37">
        <v>22</v>
      </c>
    </row>
    <row r="46" spans="1:14">
      <c r="A46" s="30">
        <v>45</v>
      </c>
      <c r="B46" s="31">
        <v>40545</v>
      </c>
      <c r="C46" s="30">
        <v>21</v>
      </c>
      <c r="D46" s="37" t="s">
        <v>30</v>
      </c>
      <c r="E46" s="37" t="b">
        <v>0</v>
      </c>
      <c r="F46" s="37" t="s">
        <v>19</v>
      </c>
      <c r="G46" s="37" t="s">
        <v>8</v>
      </c>
      <c r="H46" s="37">
        <v>0.23</v>
      </c>
      <c r="I46" s="30">
        <v>0.26</v>
      </c>
      <c r="J46" s="37">
        <v>0.44</v>
      </c>
      <c r="K46" s="37">
        <v>0.33</v>
      </c>
      <c r="L46" s="37">
        <v>11</v>
      </c>
      <c r="M46" s="37">
        <v>20</v>
      </c>
      <c r="N46" s="37">
        <v>31</v>
      </c>
    </row>
    <row r="47" spans="1:14">
      <c r="A47" s="30">
        <v>46</v>
      </c>
      <c r="B47" s="31">
        <v>40545</v>
      </c>
      <c r="C47" s="30">
        <v>22</v>
      </c>
      <c r="D47" s="37" t="s">
        <v>30</v>
      </c>
      <c r="E47" s="37" t="b">
        <v>0</v>
      </c>
      <c r="F47" s="37" t="s">
        <v>19</v>
      </c>
      <c r="G47" s="37" t="s">
        <v>8</v>
      </c>
      <c r="H47" s="37">
        <v>0.21</v>
      </c>
      <c r="I47" s="30">
        <v>0.24</v>
      </c>
      <c r="J47" s="37">
        <v>0.44</v>
      </c>
      <c r="K47" s="37">
        <v>0.3</v>
      </c>
      <c r="L47" s="37">
        <v>0</v>
      </c>
      <c r="M47" s="37">
        <v>9</v>
      </c>
      <c r="N47" s="37">
        <v>9</v>
      </c>
    </row>
    <row r="48" spans="1:14">
      <c r="A48" s="30">
        <v>47</v>
      </c>
      <c r="B48" s="31">
        <v>40545</v>
      </c>
      <c r="C48" s="30">
        <v>23</v>
      </c>
      <c r="D48" s="37" t="s">
        <v>30</v>
      </c>
      <c r="E48" s="37" t="b">
        <v>0</v>
      </c>
      <c r="F48" s="37" t="s">
        <v>19</v>
      </c>
      <c r="G48" s="37" t="s">
        <v>8</v>
      </c>
      <c r="H48" s="37">
        <v>0.23</v>
      </c>
      <c r="I48" s="30">
        <v>0.22</v>
      </c>
      <c r="J48" s="37">
        <v>0.47</v>
      </c>
      <c r="K48" s="37">
        <v>0.16</v>
      </c>
      <c r="L48" s="37">
        <v>0</v>
      </c>
      <c r="M48" s="37">
        <v>8</v>
      </c>
      <c r="N48" s="37">
        <v>8</v>
      </c>
    </row>
    <row r="49" spans="1:14">
      <c r="A49" s="30">
        <v>48</v>
      </c>
      <c r="B49" s="31">
        <v>40546</v>
      </c>
      <c r="C49" s="30">
        <v>0</v>
      </c>
      <c r="D49" s="37" t="s">
        <v>27</v>
      </c>
      <c r="E49" s="37" t="b">
        <v>0</v>
      </c>
      <c r="F49" s="37" t="s">
        <v>20</v>
      </c>
      <c r="G49" s="37" t="s">
        <v>8</v>
      </c>
      <c r="H49" s="37">
        <v>0.2</v>
      </c>
      <c r="I49" s="30">
        <v>0.22</v>
      </c>
      <c r="J49" s="37">
        <v>0.44</v>
      </c>
      <c r="K49" s="37">
        <v>0.36</v>
      </c>
      <c r="L49" s="37">
        <v>0</v>
      </c>
      <c r="M49" s="37">
        <v>5</v>
      </c>
      <c r="N49" s="37">
        <v>5</v>
      </c>
    </row>
    <row r="50" spans="1:14">
      <c r="A50" s="30">
        <v>49</v>
      </c>
      <c r="B50" s="31">
        <v>40546</v>
      </c>
      <c r="C50" s="30">
        <v>1</v>
      </c>
      <c r="D50" s="37" t="s">
        <v>27</v>
      </c>
      <c r="E50" s="37" t="b">
        <v>0</v>
      </c>
      <c r="F50" s="37" t="s">
        <v>20</v>
      </c>
      <c r="G50" s="37" t="s">
        <v>8</v>
      </c>
      <c r="H50" s="37">
        <v>0.2</v>
      </c>
      <c r="I50" s="30">
        <v>0.2</v>
      </c>
      <c r="J50" s="37">
        <v>0.44</v>
      </c>
      <c r="K50" s="37">
        <v>0.42</v>
      </c>
      <c r="L50" s="37">
        <v>0</v>
      </c>
      <c r="M50" s="37">
        <v>2</v>
      </c>
      <c r="N50" s="37">
        <v>2</v>
      </c>
    </row>
    <row r="51" spans="1:14">
      <c r="A51" s="30">
        <v>50</v>
      </c>
      <c r="B51" s="31">
        <v>40546</v>
      </c>
      <c r="C51" s="30">
        <v>4</v>
      </c>
      <c r="D51" s="37" t="s">
        <v>27</v>
      </c>
      <c r="E51" s="37" t="b">
        <v>0</v>
      </c>
      <c r="F51" s="37" t="s">
        <v>20</v>
      </c>
      <c r="G51" s="37" t="s">
        <v>8</v>
      </c>
      <c r="H51" s="37">
        <v>0.14000000000000001</v>
      </c>
      <c r="I51" s="30">
        <v>0.16</v>
      </c>
      <c r="J51" s="37">
        <v>0.47</v>
      </c>
      <c r="K51" s="37">
        <v>0.39</v>
      </c>
      <c r="L51" s="37">
        <v>0</v>
      </c>
      <c r="M51" s="37">
        <v>1</v>
      </c>
      <c r="N51" s="37">
        <v>1</v>
      </c>
    </row>
    <row r="52" spans="1:14">
      <c r="A52" s="30">
        <v>51</v>
      </c>
      <c r="B52" s="31">
        <v>40546</v>
      </c>
      <c r="C52" s="30">
        <v>5</v>
      </c>
      <c r="D52" s="37" t="s">
        <v>27</v>
      </c>
      <c r="E52" s="37" t="b">
        <v>0</v>
      </c>
      <c r="F52" s="37" t="s">
        <v>20</v>
      </c>
      <c r="G52" s="37" t="s">
        <v>8</v>
      </c>
      <c r="H52" s="37">
        <v>0.14000000000000001</v>
      </c>
      <c r="I52" s="30">
        <v>0.16</v>
      </c>
      <c r="J52" s="37">
        <v>0.47</v>
      </c>
      <c r="K52" s="37">
        <v>0.28000000000000003</v>
      </c>
      <c r="L52" s="37">
        <v>0</v>
      </c>
      <c r="M52" s="37">
        <v>3</v>
      </c>
      <c r="N52" s="37">
        <v>3</v>
      </c>
    </row>
    <row r="53" spans="1:14">
      <c r="A53" s="30">
        <v>52</v>
      </c>
      <c r="B53" s="31">
        <v>40546</v>
      </c>
      <c r="C53" s="30">
        <v>6</v>
      </c>
      <c r="D53" s="37" t="s">
        <v>28</v>
      </c>
      <c r="E53" s="37" t="b">
        <v>0</v>
      </c>
      <c r="F53" s="37" t="s">
        <v>20</v>
      </c>
      <c r="G53" s="37" t="s">
        <v>8</v>
      </c>
      <c r="H53" s="37">
        <v>0.11</v>
      </c>
      <c r="I53" s="30">
        <v>0.14000000000000001</v>
      </c>
      <c r="J53" s="37">
        <v>0.5</v>
      </c>
      <c r="K53" s="37">
        <v>0.39</v>
      </c>
      <c r="L53" s="37">
        <v>0</v>
      </c>
      <c r="M53" s="37">
        <v>30</v>
      </c>
      <c r="N53" s="37">
        <v>30</v>
      </c>
    </row>
    <row r="54" spans="1:14">
      <c r="A54" s="30">
        <v>53</v>
      </c>
      <c r="B54" s="31">
        <v>40546</v>
      </c>
      <c r="C54" s="30">
        <v>7</v>
      </c>
      <c r="D54" s="37" t="s">
        <v>28</v>
      </c>
      <c r="E54" s="37" t="b">
        <v>0</v>
      </c>
      <c r="F54" s="37" t="s">
        <v>20</v>
      </c>
      <c r="G54" s="37" t="s">
        <v>8</v>
      </c>
      <c r="H54" s="37">
        <v>0.14000000000000001</v>
      </c>
      <c r="I54" s="30">
        <v>0.14000000000000001</v>
      </c>
      <c r="J54" s="37">
        <v>0.5</v>
      </c>
      <c r="K54" s="37">
        <v>0.19</v>
      </c>
      <c r="L54" s="37">
        <v>1</v>
      </c>
      <c r="M54" s="37">
        <v>63</v>
      </c>
      <c r="N54" s="37">
        <v>64</v>
      </c>
    </row>
    <row r="55" spans="1:14">
      <c r="A55" s="30">
        <v>54</v>
      </c>
      <c r="B55" s="31">
        <v>40546</v>
      </c>
      <c r="C55" s="30">
        <v>8</v>
      </c>
      <c r="D55" s="37" t="s">
        <v>28</v>
      </c>
      <c r="E55" s="37" t="b">
        <v>0</v>
      </c>
      <c r="F55" s="37" t="s">
        <v>20</v>
      </c>
      <c r="G55" s="37" t="s">
        <v>8</v>
      </c>
      <c r="H55" s="37">
        <v>0.12</v>
      </c>
      <c r="I55" s="30">
        <v>0.14000000000000001</v>
      </c>
      <c r="J55" s="37">
        <v>0.5</v>
      </c>
      <c r="K55" s="37">
        <v>0.28000000000000003</v>
      </c>
      <c r="L55" s="37">
        <v>1</v>
      </c>
      <c r="M55" s="37">
        <v>153</v>
      </c>
      <c r="N55" s="37">
        <v>154</v>
      </c>
    </row>
    <row r="56" spans="1:14">
      <c r="A56" s="30">
        <v>55</v>
      </c>
      <c r="B56" s="31">
        <v>40546</v>
      </c>
      <c r="C56" s="30">
        <v>9</v>
      </c>
      <c r="D56" s="37" t="s">
        <v>28</v>
      </c>
      <c r="E56" s="37" t="b">
        <v>0</v>
      </c>
      <c r="F56" s="37" t="s">
        <v>20</v>
      </c>
      <c r="G56" s="37" t="s">
        <v>8</v>
      </c>
      <c r="H56" s="37">
        <v>0.14000000000000001</v>
      </c>
      <c r="I56" s="30">
        <v>0.16</v>
      </c>
      <c r="J56" s="37">
        <v>0.43</v>
      </c>
      <c r="K56" s="37">
        <v>0.39</v>
      </c>
      <c r="L56" s="37">
        <v>7</v>
      </c>
      <c r="M56" s="37">
        <v>81</v>
      </c>
      <c r="N56" s="37">
        <v>88</v>
      </c>
    </row>
    <row r="57" spans="1:14">
      <c r="A57" s="30">
        <v>56</v>
      </c>
      <c r="B57" s="31">
        <v>40546</v>
      </c>
      <c r="C57" s="30">
        <v>10</v>
      </c>
      <c r="D57" s="37" t="s">
        <v>28</v>
      </c>
      <c r="E57" s="37" t="b">
        <v>0</v>
      </c>
      <c r="F57" s="37" t="s">
        <v>20</v>
      </c>
      <c r="G57" s="37" t="s">
        <v>8</v>
      </c>
      <c r="H57" s="37">
        <v>0.17</v>
      </c>
      <c r="I57" s="30">
        <v>0.18</v>
      </c>
      <c r="J57" s="37">
        <v>0.43</v>
      </c>
      <c r="K57" s="37">
        <v>0.25</v>
      </c>
      <c r="L57" s="37">
        <v>11</v>
      </c>
      <c r="M57" s="37">
        <v>33</v>
      </c>
      <c r="N57" s="37">
        <v>44</v>
      </c>
    </row>
    <row r="58" spans="1:14">
      <c r="A58" s="30">
        <v>57</v>
      </c>
      <c r="B58" s="31">
        <v>40546</v>
      </c>
      <c r="C58" s="30">
        <v>11</v>
      </c>
      <c r="D58" s="37" t="s">
        <v>28</v>
      </c>
      <c r="E58" s="37" t="b">
        <v>0</v>
      </c>
      <c r="F58" s="37" t="s">
        <v>20</v>
      </c>
      <c r="G58" s="37" t="s">
        <v>8</v>
      </c>
      <c r="H58" s="37">
        <v>0.18</v>
      </c>
      <c r="I58" s="30">
        <v>0.2</v>
      </c>
      <c r="J58" s="37">
        <v>0.4</v>
      </c>
      <c r="K58" s="37">
        <v>0.33</v>
      </c>
      <c r="L58" s="37">
        <v>10</v>
      </c>
      <c r="M58" s="37">
        <v>41</v>
      </c>
      <c r="N58" s="37">
        <v>51</v>
      </c>
    </row>
    <row r="59" spans="1:14">
      <c r="A59" s="30">
        <v>58</v>
      </c>
      <c r="B59" s="31">
        <v>40546</v>
      </c>
      <c r="C59" s="30">
        <v>12</v>
      </c>
      <c r="D59" s="37" t="s">
        <v>29</v>
      </c>
      <c r="E59" s="37" t="b">
        <v>0</v>
      </c>
      <c r="F59" s="37" t="s">
        <v>20</v>
      </c>
      <c r="G59" s="37" t="s">
        <v>8</v>
      </c>
      <c r="H59" s="37">
        <v>0.21</v>
      </c>
      <c r="I59" s="30">
        <v>0.22</v>
      </c>
      <c r="J59" s="37">
        <v>0.35</v>
      </c>
      <c r="K59" s="37">
        <v>0.3</v>
      </c>
      <c r="L59" s="37">
        <v>13</v>
      </c>
      <c r="M59" s="37">
        <v>48</v>
      </c>
      <c r="N59" s="37">
        <v>61</v>
      </c>
    </row>
    <row r="60" spans="1:14">
      <c r="A60" s="30">
        <v>59</v>
      </c>
      <c r="B60" s="31">
        <v>40546</v>
      </c>
      <c r="C60" s="30">
        <v>13</v>
      </c>
      <c r="D60" s="37" t="s">
        <v>29</v>
      </c>
      <c r="E60" s="37" t="b">
        <v>0</v>
      </c>
      <c r="F60" s="37" t="s">
        <v>20</v>
      </c>
      <c r="G60" s="37" t="s">
        <v>8</v>
      </c>
      <c r="H60" s="37">
        <v>0.2</v>
      </c>
      <c r="I60" s="30">
        <v>0.24</v>
      </c>
      <c r="J60" s="37">
        <v>0.35</v>
      </c>
      <c r="K60" s="37">
        <v>0.28000000000000003</v>
      </c>
      <c r="L60" s="37">
        <v>8</v>
      </c>
      <c r="M60" s="37">
        <v>53</v>
      </c>
      <c r="N60" s="37">
        <v>61</v>
      </c>
    </row>
    <row r="61" spans="1:14">
      <c r="A61" s="30">
        <v>60</v>
      </c>
      <c r="B61" s="31">
        <v>40546</v>
      </c>
      <c r="C61" s="30">
        <v>14</v>
      </c>
      <c r="D61" s="37" t="s">
        <v>29</v>
      </c>
      <c r="E61" s="37" t="b">
        <v>0</v>
      </c>
      <c r="F61" s="37" t="s">
        <v>20</v>
      </c>
      <c r="G61" s="37" t="s">
        <v>8</v>
      </c>
      <c r="H61" s="37">
        <v>0.24</v>
      </c>
      <c r="I61" s="30">
        <v>0.26</v>
      </c>
      <c r="J61" s="37">
        <v>0.3</v>
      </c>
      <c r="K61" s="37">
        <v>0.28000000000000003</v>
      </c>
      <c r="L61" s="37">
        <v>11</v>
      </c>
      <c r="M61" s="37">
        <v>66</v>
      </c>
      <c r="N61" s="37">
        <v>77</v>
      </c>
    </row>
    <row r="62" spans="1:14">
      <c r="A62" s="30">
        <v>61</v>
      </c>
      <c r="B62" s="31">
        <v>40546</v>
      </c>
      <c r="C62" s="30">
        <v>15</v>
      </c>
      <c r="D62" s="37" t="s">
        <v>29</v>
      </c>
      <c r="E62" s="37" t="b">
        <v>0</v>
      </c>
      <c r="F62" s="37" t="s">
        <v>20</v>
      </c>
      <c r="G62" s="37" t="s">
        <v>8</v>
      </c>
      <c r="H62" s="37">
        <v>0.24</v>
      </c>
      <c r="I62" s="30">
        <v>0.26</v>
      </c>
      <c r="J62" s="37">
        <v>0.3</v>
      </c>
      <c r="K62" s="37">
        <v>0.25</v>
      </c>
      <c r="L62" s="37">
        <v>14</v>
      </c>
      <c r="M62" s="37">
        <v>58</v>
      </c>
      <c r="N62" s="37">
        <v>72</v>
      </c>
    </row>
    <row r="63" spans="1:14">
      <c r="A63" s="30">
        <v>62</v>
      </c>
      <c r="B63" s="31">
        <v>40546</v>
      </c>
      <c r="C63" s="30">
        <v>16</v>
      </c>
      <c r="D63" s="37" t="s">
        <v>29</v>
      </c>
      <c r="E63" s="37" t="b">
        <v>0</v>
      </c>
      <c r="F63" s="37" t="s">
        <v>20</v>
      </c>
      <c r="G63" s="37" t="s">
        <v>8</v>
      </c>
      <c r="H63" s="37">
        <v>0.24</v>
      </c>
      <c r="I63" s="30">
        <v>0.26</v>
      </c>
      <c r="J63" s="37">
        <v>0.3</v>
      </c>
      <c r="K63" s="37">
        <v>0.25</v>
      </c>
      <c r="L63" s="37">
        <v>9</v>
      </c>
      <c r="M63" s="37">
        <v>67</v>
      </c>
      <c r="N63" s="37">
        <v>76</v>
      </c>
    </row>
    <row r="64" spans="1:14">
      <c r="A64" s="30">
        <v>63</v>
      </c>
      <c r="B64" s="31">
        <v>40546</v>
      </c>
      <c r="C64" s="30">
        <v>17</v>
      </c>
      <c r="D64" s="37" t="s">
        <v>29</v>
      </c>
      <c r="E64" s="37" t="b">
        <v>0</v>
      </c>
      <c r="F64" s="37" t="s">
        <v>20</v>
      </c>
      <c r="G64" s="37" t="s">
        <v>8</v>
      </c>
      <c r="H64" s="37">
        <v>0.23</v>
      </c>
      <c r="I64" s="30">
        <v>0.24</v>
      </c>
      <c r="J64" s="37">
        <v>0.3</v>
      </c>
      <c r="K64" s="37">
        <v>0.22</v>
      </c>
      <c r="L64" s="37">
        <v>11</v>
      </c>
      <c r="M64" s="37">
        <v>146</v>
      </c>
      <c r="N64" s="37">
        <v>157</v>
      </c>
    </row>
    <row r="65" spans="1:14">
      <c r="A65" s="30">
        <v>64</v>
      </c>
      <c r="B65" s="31">
        <v>40546</v>
      </c>
      <c r="C65" s="30">
        <v>18</v>
      </c>
      <c r="D65" s="37" t="s">
        <v>30</v>
      </c>
      <c r="E65" s="37" t="b">
        <v>0</v>
      </c>
      <c r="F65" s="37" t="s">
        <v>20</v>
      </c>
      <c r="G65" s="37" t="s">
        <v>8</v>
      </c>
      <c r="H65" s="37">
        <v>0.26</v>
      </c>
      <c r="I65" s="30">
        <v>0.24</v>
      </c>
      <c r="J65" s="37">
        <v>0.32</v>
      </c>
      <c r="K65" s="37">
        <v>0.1</v>
      </c>
      <c r="L65" s="37">
        <v>9</v>
      </c>
      <c r="M65" s="37">
        <v>148</v>
      </c>
      <c r="N65" s="37">
        <v>157</v>
      </c>
    </row>
    <row r="66" spans="1:14">
      <c r="A66" s="30">
        <v>65</v>
      </c>
      <c r="B66" s="31">
        <v>40546</v>
      </c>
      <c r="C66" s="30">
        <v>19</v>
      </c>
      <c r="D66" s="37" t="s">
        <v>30</v>
      </c>
      <c r="E66" s="37" t="b">
        <v>0</v>
      </c>
      <c r="F66" s="37" t="s">
        <v>20</v>
      </c>
      <c r="G66" s="37" t="s">
        <v>8</v>
      </c>
      <c r="H66" s="37">
        <v>0.26</v>
      </c>
      <c r="I66" s="30">
        <v>0.2</v>
      </c>
      <c r="J66" s="37">
        <v>0.47</v>
      </c>
      <c r="K66" s="37">
        <v>0</v>
      </c>
      <c r="L66" s="37">
        <v>8</v>
      </c>
      <c r="M66" s="37">
        <v>102</v>
      </c>
      <c r="N66" s="37">
        <v>110</v>
      </c>
    </row>
    <row r="67" spans="1:14">
      <c r="A67" s="30">
        <v>66</v>
      </c>
      <c r="B67" s="31">
        <v>40546</v>
      </c>
      <c r="C67" s="30">
        <v>20</v>
      </c>
      <c r="D67" s="37" t="s">
        <v>30</v>
      </c>
      <c r="E67" s="37" t="b">
        <v>0</v>
      </c>
      <c r="F67" s="37" t="s">
        <v>20</v>
      </c>
      <c r="G67" s="37" t="s">
        <v>8</v>
      </c>
      <c r="H67" s="37">
        <v>0.2</v>
      </c>
      <c r="I67" s="30">
        <v>0.2</v>
      </c>
      <c r="J67" s="37">
        <v>0.47</v>
      </c>
      <c r="K67" s="37">
        <v>0.1</v>
      </c>
      <c r="L67" s="37">
        <v>3</v>
      </c>
      <c r="M67" s="37">
        <v>49</v>
      </c>
      <c r="N67" s="37">
        <v>52</v>
      </c>
    </row>
    <row r="68" spans="1:14">
      <c r="A68" s="30">
        <v>67</v>
      </c>
      <c r="B68" s="31">
        <v>40546</v>
      </c>
      <c r="C68" s="30">
        <v>21</v>
      </c>
      <c r="D68" s="37" t="s">
        <v>30</v>
      </c>
      <c r="E68" s="37" t="b">
        <v>0</v>
      </c>
      <c r="F68" s="37" t="s">
        <v>20</v>
      </c>
      <c r="G68" s="37" t="s">
        <v>8</v>
      </c>
      <c r="H68" s="37">
        <v>0.2</v>
      </c>
      <c r="I68" s="30">
        <v>0.18</v>
      </c>
      <c r="J68" s="37">
        <v>0.64</v>
      </c>
      <c r="K68" s="37">
        <v>0.13</v>
      </c>
      <c r="L68" s="37">
        <v>3</v>
      </c>
      <c r="M68" s="37">
        <v>49</v>
      </c>
      <c r="N68" s="37">
        <v>52</v>
      </c>
    </row>
    <row r="69" spans="1:14">
      <c r="A69" s="30">
        <v>68</v>
      </c>
      <c r="B69" s="31">
        <v>40546</v>
      </c>
      <c r="C69" s="30">
        <v>22</v>
      </c>
      <c r="D69" s="37" t="s">
        <v>30</v>
      </c>
      <c r="E69" s="37" t="b">
        <v>0</v>
      </c>
      <c r="F69" s="37" t="s">
        <v>20</v>
      </c>
      <c r="G69" s="37" t="s">
        <v>8</v>
      </c>
      <c r="H69" s="37">
        <v>0.15</v>
      </c>
      <c r="I69" s="30">
        <v>0.14000000000000001</v>
      </c>
      <c r="J69" s="37">
        <v>0.69</v>
      </c>
      <c r="K69" s="37">
        <v>0.13</v>
      </c>
      <c r="L69" s="37">
        <v>0</v>
      </c>
      <c r="M69" s="37">
        <v>20</v>
      </c>
      <c r="N69" s="37">
        <v>20</v>
      </c>
    </row>
    <row r="70" spans="1:14">
      <c r="A70" s="30">
        <v>69</v>
      </c>
      <c r="B70" s="31">
        <v>40546</v>
      </c>
      <c r="C70" s="30">
        <v>23</v>
      </c>
      <c r="D70" s="37" t="s">
        <v>30</v>
      </c>
      <c r="E70" s="37" t="b">
        <v>0</v>
      </c>
      <c r="F70" s="37" t="s">
        <v>20</v>
      </c>
      <c r="G70" s="37" t="s">
        <v>8</v>
      </c>
      <c r="H70" s="37">
        <v>0.21</v>
      </c>
      <c r="I70" s="30">
        <v>0.18</v>
      </c>
      <c r="J70" s="37">
        <v>0.55000000000000004</v>
      </c>
      <c r="K70" s="37">
        <v>0.1</v>
      </c>
      <c r="L70" s="37">
        <v>1</v>
      </c>
      <c r="M70" s="37">
        <v>11</v>
      </c>
      <c r="N70" s="37">
        <v>12</v>
      </c>
    </row>
    <row r="71" spans="1:14">
      <c r="A71" s="30">
        <v>70</v>
      </c>
      <c r="B71" s="31">
        <v>40547</v>
      </c>
      <c r="C71" s="30">
        <v>0</v>
      </c>
      <c r="D71" s="37" t="s">
        <v>27</v>
      </c>
      <c r="E71" s="37" t="b">
        <v>0</v>
      </c>
      <c r="F71" s="37" t="s">
        <v>21</v>
      </c>
      <c r="G71" s="37" t="s">
        <v>8</v>
      </c>
      <c r="H71" s="37">
        <v>0.2</v>
      </c>
      <c r="I71" s="30">
        <v>0.16</v>
      </c>
      <c r="J71" s="37">
        <v>0.55000000000000004</v>
      </c>
      <c r="K71" s="37">
        <v>0.1</v>
      </c>
      <c r="L71" s="37">
        <v>0</v>
      </c>
      <c r="M71" s="37">
        <v>5</v>
      </c>
      <c r="N71" s="37">
        <v>5</v>
      </c>
    </row>
    <row r="72" spans="1:14">
      <c r="A72" s="30">
        <v>71</v>
      </c>
      <c r="B72" s="31">
        <v>40547</v>
      </c>
      <c r="C72" s="30">
        <v>1</v>
      </c>
      <c r="D72" s="37" t="s">
        <v>27</v>
      </c>
      <c r="E72" s="37" t="b">
        <v>0</v>
      </c>
      <c r="F72" s="37" t="s">
        <v>21</v>
      </c>
      <c r="G72" s="37" t="s">
        <v>8</v>
      </c>
      <c r="H72" s="37">
        <v>0.18</v>
      </c>
      <c r="I72" s="30">
        <v>0.16</v>
      </c>
      <c r="J72" s="37">
        <v>0.59</v>
      </c>
      <c r="K72" s="37">
        <v>0.1</v>
      </c>
      <c r="L72" s="37">
        <v>0</v>
      </c>
      <c r="M72" s="37">
        <v>2</v>
      </c>
      <c r="N72" s="37">
        <v>2</v>
      </c>
    </row>
    <row r="73" spans="1:14">
      <c r="A73" s="30">
        <v>72</v>
      </c>
      <c r="B73" s="31">
        <v>40547</v>
      </c>
      <c r="C73" s="30">
        <v>2</v>
      </c>
      <c r="D73" s="37" t="s">
        <v>27</v>
      </c>
      <c r="E73" s="37" t="b">
        <v>0</v>
      </c>
      <c r="F73" s="37" t="s">
        <v>21</v>
      </c>
      <c r="G73" s="37" t="s">
        <v>8</v>
      </c>
      <c r="H73" s="37">
        <v>0.15</v>
      </c>
      <c r="I73" s="30">
        <v>0.14000000000000001</v>
      </c>
      <c r="J73" s="37">
        <v>0.63</v>
      </c>
      <c r="K73" s="37">
        <v>0.13</v>
      </c>
      <c r="L73" s="37">
        <v>0</v>
      </c>
      <c r="M73" s="37">
        <v>1</v>
      </c>
      <c r="N73" s="37">
        <v>1</v>
      </c>
    </row>
    <row r="74" spans="1:14">
      <c r="A74" s="30">
        <v>73</v>
      </c>
      <c r="B74" s="31">
        <v>40547</v>
      </c>
      <c r="C74" s="30">
        <v>4</v>
      </c>
      <c r="D74" s="37" t="s">
        <v>27</v>
      </c>
      <c r="E74" s="37" t="b">
        <v>0</v>
      </c>
      <c r="F74" s="37" t="s">
        <v>21</v>
      </c>
      <c r="G74" s="37" t="s">
        <v>8</v>
      </c>
      <c r="H74" s="37">
        <v>0.18</v>
      </c>
      <c r="I74" s="30">
        <v>0.14000000000000001</v>
      </c>
      <c r="J74" s="37">
        <v>0.63</v>
      </c>
      <c r="K74" s="37">
        <v>0.09</v>
      </c>
      <c r="L74" s="37">
        <v>0</v>
      </c>
      <c r="M74" s="37">
        <v>2</v>
      </c>
      <c r="N74" s="37">
        <v>2</v>
      </c>
    </row>
    <row r="75" spans="1:14">
      <c r="A75" s="30">
        <v>74</v>
      </c>
      <c r="B75" s="31">
        <v>40547</v>
      </c>
      <c r="C75" s="30">
        <v>5</v>
      </c>
      <c r="D75" s="37" t="s">
        <v>27</v>
      </c>
      <c r="E75" s="37" t="b">
        <v>0</v>
      </c>
      <c r="F75" s="37" t="s">
        <v>21</v>
      </c>
      <c r="G75" s="37" t="s">
        <v>8</v>
      </c>
      <c r="H75" s="37">
        <v>0.15</v>
      </c>
      <c r="I75" s="30">
        <v>0.12</v>
      </c>
      <c r="J75" s="37">
        <v>0.68</v>
      </c>
      <c r="K75" s="37">
        <v>0.1</v>
      </c>
      <c r="L75" s="37">
        <v>0</v>
      </c>
      <c r="M75" s="37">
        <v>4</v>
      </c>
      <c r="N75" s="37">
        <v>4</v>
      </c>
    </row>
    <row r="76" spans="1:14">
      <c r="A76" s="30">
        <v>75</v>
      </c>
      <c r="B76" s="31">
        <v>40547</v>
      </c>
      <c r="C76" s="30">
        <v>6</v>
      </c>
      <c r="D76" s="37" t="s">
        <v>28</v>
      </c>
      <c r="E76" s="37" t="b">
        <v>0</v>
      </c>
      <c r="F76" s="37" t="s">
        <v>21</v>
      </c>
      <c r="G76" s="37" t="s">
        <v>8</v>
      </c>
      <c r="H76" s="37">
        <v>0.15</v>
      </c>
      <c r="I76" s="30">
        <v>0.12</v>
      </c>
      <c r="J76" s="37">
        <v>0.74</v>
      </c>
      <c r="K76" s="37">
        <v>0.1</v>
      </c>
      <c r="L76" s="37">
        <v>0</v>
      </c>
      <c r="M76" s="37">
        <v>36</v>
      </c>
      <c r="N76" s="37">
        <v>36</v>
      </c>
    </row>
    <row r="77" spans="1:14">
      <c r="A77" s="30">
        <v>76</v>
      </c>
      <c r="B77" s="31">
        <v>40547</v>
      </c>
      <c r="C77" s="30">
        <v>7</v>
      </c>
      <c r="D77" s="37" t="s">
        <v>28</v>
      </c>
      <c r="E77" s="37" t="b">
        <v>0</v>
      </c>
      <c r="F77" s="37" t="s">
        <v>21</v>
      </c>
      <c r="G77" s="37" t="s">
        <v>8</v>
      </c>
      <c r="H77" s="37">
        <v>0.15</v>
      </c>
      <c r="I77" s="30">
        <v>0.12</v>
      </c>
      <c r="J77" s="37">
        <v>0.74</v>
      </c>
      <c r="K77" s="37">
        <v>0.13</v>
      </c>
      <c r="L77" s="37">
        <v>2</v>
      </c>
      <c r="M77" s="37">
        <v>92</v>
      </c>
      <c r="N77" s="37">
        <v>94</v>
      </c>
    </row>
    <row r="78" spans="1:14">
      <c r="A78" s="30">
        <v>77</v>
      </c>
      <c r="B78" s="31">
        <v>40547</v>
      </c>
      <c r="C78" s="30">
        <v>8</v>
      </c>
      <c r="D78" s="37" t="s">
        <v>28</v>
      </c>
      <c r="E78" s="37" t="b">
        <v>0</v>
      </c>
      <c r="F78" s="37" t="s">
        <v>21</v>
      </c>
      <c r="G78" s="37" t="s">
        <v>8</v>
      </c>
      <c r="H78" s="37">
        <v>0.15</v>
      </c>
      <c r="I78" s="30">
        <v>0.14000000000000001</v>
      </c>
      <c r="J78" s="37">
        <v>0.69</v>
      </c>
      <c r="K78" s="37">
        <v>0.16</v>
      </c>
      <c r="L78" s="37">
        <v>2</v>
      </c>
      <c r="M78" s="37">
        <v>177</v>
      </c>
      <c r="N78" s="37">
        <v>179</v>
      </c>
    </row>
    <row r="79" spans="1:14">
      <c r="A79" s="30">
        <v>78</v>
      </c>
      <c r="B79" s="31">
        <v>40547</v>
      </c>
      <c r="C79" s="30">
        <v>9</v>
      </c>
      <c r="D79" s="37" t="s">
        <v>28</v>
      </c>
      <c r="E79" s="37" t="b">
        <v>0</v>
      </c>
      <c r="F79" s="37" t="s">
        <v>21</v>
      </c>
      <c r="G79" s="37" t="s">
        <v>8</v>
      </c>
      <c r="H79" s="37">
        <v>0.15</v>
      </c>
      <c r="I79" s="30">
        <v>0.16</v>
      </c>
      <c r="J79" s="37">
        <v>0.64</v>
      </c>
      <c r="K79" s="37">
        <v>0.22</v>
      </c>
      <c r="L79" s="37">
        <v>2</v>
      </c>
      <c r="M79" s="37">
        <v>98</v>
      </c>
      <c r="N79" s="37">
        <v>100</v>
      </c>
    </row>
    <row r="80" spans="1:14">
      <c r="A80" s="30">
        <v>79</v>
      </c>
      <c r="B80" s="31">
        <v>40547</v>
      </c>
      <c r="C80" s="30">
        <v>10</v>
      </c>
      <c r="D80" s="37" t="s">
        <v>28</v>
      </c>
      <c r="E80" s="37" t="b">
        <v>0</v>
      </c>
      <c r="F80" s="37" t="s">
        <v>21</v>
      </c>
      <c r="G80" s="37" t="s">
        <v>9</v>
      </c>
      <c r="H80" s="37">
        <v>0.14000000000000001</v>
      </c>
      <c r="I80" s="30">
        <v>0.16</v>
      </c>
      <c r="J80" s="37">
        <v>0.69</v>
      </c>
      <c r="K80" s="37">
        <v>0.33</v>
      </c>
      <c r="L80" s="37">
        <v>5</v>
      </c>
      <c r="M80" s="37">
        <v>37</v>
      </c>
      <c r="N80" s="37">
        <v>42</v>
      </c>
    </row>
    <row r="81" spans="1:14">
      <c r="A81" s="30">
        <v>80</v>
      </c>
      <c r="B81" s="31">
        <v>40547</v>
      </c>
      <c r="C81" s="30">
        <v>11</v>
      </c>
      <c r="D81" s="37" t="s">
        <v>28</v>
      </c>
      <c r="E81" s="37" t="b">
        <v>0</v>
      </c>
      <c r="F81" s="37" t="s">
        <v>21</v>
      </c>
      <c r="G81" s="37" t="s">
        <v>8</v>
      </c>
      <c r="H81" s="37">
        <v>0.21</v>
      </c>
      <c r="I81" s="30">
        <v>0.22</v>
      </c>
      <c r="J81" s="37">
        <v>0.51</v>
      </c>
      <c r="K81" s="37">
        <v>0.3</v>
      </c>
      <c r="L81" s="37">
        <v>7</v>
      </c>
      <c r="M81" s="37">
        <v>50</v>
      </c>
      <c r="N81" s="37">
        <v>57</v>
      </c>
    </row>
    <row r="82" spans="1:14">
      <c r="A82" s="30">
        <v>81</v>
      </c>
      <c r="B82" s="31">
        <v>40547</v>
      </c>
      <c r="C82" s="30">
        <v>12</v>
      </c>
      <c r="D82" s="37" t="s">
        <v>29</v>
      </c>
      <c r="E82" s="37" t="b">
        <v>0</v>
      </c>
      <c r="F82" s="37" t="s">
        <v>21</v>
      </c>
      <c r="G82" s="37" t="s">
        <v>8</v>
      </c>
      <c r="H82" s="37">
        <v>0.23</v>
      </c>
      <c r="I82" s="30">
        <v>0.22</v>
      </c>
      <c r="J82" s="37">
        <v>0.51</v>
      </c>
      <c r="K82" s="37">
        <v>0.16</v>
      </c>
      <c r="L82" s="37">
        <v>12</v>
      </c>
      <c r="M82" s="37">
        <v>66</v>
      </c>
      <c r="N82" s="37">
        <v>78</v>
      </c>
    </row>
    <row r="83" spans="1:14">
      <c r="A83" s="30">
        <v>82</v>
      </c>
      <c r="B83" s="31">
        <v>40547</v>
      </c>
      <c r="C83" s="30">
        <v>13</v>
      </c>
      <c r="D83" s="37" t="s">
        <v>29</v>
      </c>
      <c r="E83" s="37" t="b">
        <v>0</v>
      </c>
      <c r="F83" s="37" t="s">
        <v>21</v>
      </c>
      <c r="G83" s="37" t="s">
        <v>8</v>
      </c>
      <c r="H83" s="37">
        <v>0.23</v>
      </c>
      <c r="I83" s="30">
        <v>0.24</v>
      </c>
      <c r="J83" s="37">
        <v>0.56000000000000005</v>
      </c>
      <c r="K83" s="37">
        <v>0.19</v>
      </c>
      <c r="L83" s="37">
        <v>18</v>
      </c>
      <c r="M83" s="37">
        <v>79</v>
      </c>
      <c r="N83" s="37">
        <v>97</v>
      </c>
    </row>
    <row r="84" spans="1:14">
      <c r="A84" s="30">
        <v>83</v>
      </c>
      <c r="B84" s="31">
        <v>40547</v>
      </c>
      <c r="C84" s="30">
        <v>14</v>
      </c>
      <c r="D84" s="37" t="s">
        <v>29</v>
      </c>
      <c r="E84" s="37" t="b">
        <v>0</v>
      </c>
      <c r="F84" s="37" t="s">
        <v>21</v>
      </c>
      <c r="G84" s="37" t="s">
        <v>8</v>
      </c>
      <c r="H84" s="37">
        <v>0.26</v>
      </c>
      <c r="I84" s="30">
        <v>0.26</v>
      </c>
      <c r="J84" s="37">
        <v>0.52</v>
      </c>
      <c r="K84" s="37">
        <v>0.22</v>
      </c>
      <c r="L84" s="37">
        <v>9</v>
      </c>
      <c r="M84" s="37">
        <v>54</v>
      </c>
      <c r="N84" s="37">
        <v>63</v>
      </c>
    </row>
    <row r="85" spans="1:14">
      <c r="A85" s="30">
        <v>84</v>
      </c>
      <c r="B85" s="31">
        <v>40547</v>
      </c>
      <c r="C85" s="30">
        <v>15</v>
      </c>
      <c r="D85" s="37" t="s">
        <v>29</v>
      </c>
      <c r="E85" s="37" t="b">
        <v>0</v>
      </c>
      <c r="F85" s="37" t="s">
        <v>21</v>
      </c>
      <c r="G85" s="37" t="s">
        <v>8</v>
      </c>
      <c r="H85" s="37">
        <v>0.27</v>
      </c>
      <c r="I85" s="30">
        <v>0.28000000000000003</v>
      </c>
      <c r="J85" s="37">
        <v>0.52</v>
      </c>
      <c r="K85" s="37">
        <v>0.25</v>
      </c>
      <c r="L85" s="37">
        <v>17</v>
      </c>
      <c r="M85" s="37">
        <v>48</v>
      </c>
      <c r="N85" s="37">
        <v>65</v>
      </c>
    </row>
    <row r="86" spans="1:14">
      <c r="A86" s="30">
        <v>85</v>
      </c>
      <c r="B86" s="31">
        <v>40547</v>
      </c>
      <c r="C86" s="30">
        <v>16</v>
      </c>
      <c r="D86" s="37" t="s">
        <v>29</v>
      </c>
      <c r="E86" s="37" t="b">
        <v>0</v>
      </c>
      <c r="F86" s="37" t="s">
        <v>21</v>
      </c>
      <c r="G86" s="37" t="s">
        <v>8</v>
      </c>
      <c r="H86" s="37">
        <v>0.28999999999999998</v>
      </c>
      <c r="I86" s="30">
        <v>0.3</v>
      </c>
      <c r="J86" s="37">
        <v>0.49</v>
      </c>
      <c r="K86" s="37">
        <v>0.25</v>
      </c>
      <c r="L86" s="37">
        <v>15</v>
      </c>
      <c r="M86" s="37">
        <v>68</v>
      </c>
      <c r="N86" s="37">
        <v>83</v>
      </c>
    </row>
    <row r="87" spans="1:14">
      <c r="A87" s="30">
        <v>86</v>
      </c>
      <c r="B87" s="31">
        <v>40547</v>
      </c>
      <c r="C87" s="30">
        <v>17</v>
      </c>
      <c r="D87" s="37" t="s">
        <v>29</v>
      </c>
      <c r="E87" s="37" t="b">
        <v>0</v>
      </c>
      <c r="F87" s="37" t="s">
        <v>21</v>
      </c>
      <c r="G87" s="37" t="s">
        <v>8</v>
      </c>
      <c r="H87" s="37">
        <v>0.27</v>
      </c>
      <c r="I87" s="30">
        <v>0.28000000000000003</v>
      </c>
      <c r="J87" s="37">
        <v>0.48</v>
      </c>
      <c r="K87" s="37">
        <v>0.22</v>
      </c>
      <c r="L87" s="37">
        <v>10</v>
      </c>
      <c r="M87" s="37">
        <v>202</v>
      </c>
      <c r="N87" s="37">
        <v>212</v>
      </c>
    </row>
    <row r="88" spans="1:14">
      <c r="A88" s="30">
        <v>87</v>
      </c>
      <c r="B88" s="31">
        <v>40547</v>
      </c>
      <c r="C88" s="30">
        <v>18</v>
      </c>
      <c r="D88" s="37" t="s">
        <v>30</v>
      </c>
      <c r="E88" s="37" t="b">
        <v>0</v>
      </c>
      <c r="F88" s="37" t="s">
        <v>21</v>
      </c>
      <c r="G88" s="37" t="s">
        <v>8</v>
      </c>
      <c r="H88" s="37">
        <v>0.26</v>
      </c>
      <c r="I88" s="30">
        <v>0.26</v>
      </c>
      <c r="J88" s="37">
        <v>0.48</v>
      </c>
      <c r="K88" s="37">
        <v>0.19</v>
      </c>
      <c r="L88" s="37">
        <v>3</v>
      </c>
      <c r="M88" s="37">
        <v>179</v>
      </c>
      <c r="N88" s="37">
        <v>182</v>
      </c>
    </row>
    <row r="89" spans="1:14">
      <c r="A89" s="30">
        <v>88</v>
      </c>
      <c r="B89" s="31">
        <v>40547</v>
      </c>
      <c r="C89" s="30">
        <v>19</v>
      </c>
      <c r="D89" s="37" t="s">
        <v>30</v>
      </c>
      <c r="E89" s="37" t="b">
        <v>0</v>
      </c>
      <c r="F89" s="37" t="s">
        <v>21</v>
      </c>
      <c r="G89" s="37" t="s">
        <v>8</v>
      </c>
      <c r="H89" s="37">
        <v>0.26</v>
      </c>
      <c r="I89" s="30">
        <v>0.24</v>
      </c>
      <c r="J89" s="37">
        <v>0.48</v>
      </c>
      <c r="K89" s="37">
        <v>0.1</v>
      </c>
      <c r="L89" s="37">
        <v>2</v>
      </c>
      <c r="M89" s="37">
        <v>110</v>
      </c>
      <c r="N89" s="37">
        <v>112</v>
      </c>
    </row>
    <row r="90" spans="1:14">
      <c r="A90" s="30">
        <v>89</v>
      </c>
      <c r="B90" s="31">
        <v>40547</v>
      </c>
      <c r="C90" s="30">
        <v>20</v>
      </c>
      <c r="D90" s="37" t="s">
        <v>30</v>
      </c>
      <c r="E90" s="37" t="b">
        <v>0</v>
      </c>
      <c r="F90" s="37" t="s">
        <v>21</v>
      </c>
      <c r="G90" s="37" t="s">
        <v>8</v>
      </c>
      <c r="H90" s="37">
        <v>0.26</v>
      </c>
      <c r="I90" s="30">
        <v>0.24</v>
      </c>
      <c r="J90" s="37">
        <v>0.48</v>
      </c>
      <c r="K90" s="37">
        <v>0.1</v>
      </c>
      <c r="L90" s="37">
        <v>1</v>
      </c>
      <c r="M90" s="37">
        <v>53</v>
      </c>
      <c r="N90" s="37">
        <v>54</v>
      </c>
    </row>
    <row r="91" spans="1:14">
      <c r="A91" s="30">
        <v>90</v>
      </c>
      <c r="B91" s="31">
        <v>40547</v>
      </c>
      <c r="C91" s="30">
        <v>21</v>
      </c>
      <c r="D91" s="37" t="s">
        <v>30</v>
      </c>
      <c r="E91" s="37" t="b">
        <v>0</v>
      </c>
      <c r="F91" s="37" t="s">
        <v>21</v>
      </c>
      <c r="G91" s="37" t="s">
        <v>8</v>
      </c>
      <c r="H91" s="37">
        <v>0.27</v>
      </c>
      <c r="I91" s="30">
        <v>0.22</v>
      </c>
      <c r="J91" s="37">
        <v>0.64</v>
      </c>
      <c r="K91" s="37">
        <v>0</v>
      </c>
      <c r="L91" s="37">
        <v>0</v>
      </c>
      <c r="M91" s="37">
        <v>48</v>
      </c>
      <c r="N91" s="37">
        <v>48</v>
      </c>
    </row>
    <row r="92" spans="1:14">
      <c r="A92" s="30">
        <v>91</v>
      </c>
      <c r="B92" s="31">
        <v>40547</v>
      </c>
      <c r="C92" s="30">
        <v>22</v>
      </c>
      <c r="D92" s="37" t="s">
        <v>30</v>
      </c>
      <c r="E92" s="37" t="b">
        <v>0</v>
      </c>
      <c r="F92" s="37" t="s">
        <v>21</v>
      </c>
      <c r="G92" s="37" t="s">
        <v>8</v>
      </c>
      <c r="H92" s="37">
        <v>0.26</v>
      </c>
      <c r="I92" s="30">
        <v>0.22</v>
      </c>
      <c r="J92" s="37">
        <v>0.64</v>
      </c>
      <c r="K92" s="37">
        <v>0.09</v>
      </c>
      <c r="L92" s="37">
        <v>1</v>
      </c>
      <c r="M92" s="37">
        <v>34</v>
      </c>
      <c r="N92" s="37">
        <v>35</v>
      </c>
    </row>
    <row r="93" spans="1:14">
      <c r="A93" s="30">
        <v>92</v>
      </c>
      <c r="B93" s="31">
        <v>40547</v>
      </c>
      <c r="C93" s="30">
        <v>23</v>
      </c>
      <c r="D93" s="37" t="s">
        <v>30</v>
      </c>
      <c r="E93" s="37" t="b">
        <v>0</v>
      </c>
      <c r="F93" s="37" t="s">
        <v>21</v>
      </c>
      <c r="G93" s="37" t="s">
        <v>8</v>
      </c>
      <c r="H93" s="37">
        <v>0.23</v>
      </c>
      <c r="I93" s="30">
        <v>0.2</v>
      </c>
      <c r="J93" s="37">
        <v>0.69</v>
      </c>
      <c r="K93" s="37">
        <v>0.09</v>
      </c>
      <c r="L93" s="37">
        <v>2</v>
      </c>
      <c r="M93" s="37">
        <v>9</v>
      </c>
      <c r="N93" s="37">
        <v>11</v>
      </c>
    </row>
    <row r="94" spans="1:14">
      <c r="A94" s="30">
        <v>93</v>
      </c>
      <c r="B94" s="31">
        <v>40548</v>
      </c>
      <c r="C94" s="30">
        <v>0</v>
      </c>
      <c r="D94" s="37" t="s">
        <v>27</v>
      </c>
      <c r="E94" s="37" t="b">
        <v>0</v>
      </c>
      <c r="F94" s="37" t="s">
        <v>22</v>
      </c>
      <c r="G94" s="37" t="s">
        <v>8</v>
      </c>
      <c r="H94" s="37">
        <v>0.26</v>
      </c>
      <c r="I94" s="30">
        <v>0.2</v>
      </c>
      <c r="J94" s="37">
        <v>0.64</v>
      </c>
      <c r="K94" s="37">
        <v>0</v>
      </c>
      <c r="L94" s="37">
        <v>0</v>
      </c>
      <c r="M94" s="37">
        <v>6</v>
      </c>
      <c r="N94" s="37">
        <v>6</v>
      </c>
    </row>
    <row r="95" spans="1:14">
      <c r="A95" s="30">
        <v>94</v>
      </c>
      <c r="B95" s="31">
        <v>40548</v>
      </c>
      <c r="C95" s="30">
        <v>1</v>
      </c>
      <c r="D95" s="37" t="s">
        <v>27</v>
      </c>
      <c r="E95" s="37" t="b">
        <v>0</v>
      </c>
      <c r="F95" s="37" t="s">
        <v>22</v>
      </c>
      <c r="G95" s="37" t="s">
        <v>8</v>
      </c>
      <c r="H95" s="37">
        <v>0.2</v>
      </c>
      <c r="I95" s="30">
        <v>0.16</v>
      </c>
      <c r="J95" s="37">
        <v>0.74</v>
      </c>
      <c r="K95" s="37">
        <v>0.09</v>
      </c>
      <c r="L95" s="37">
        <v>0</v>
      </c>
      <c r="M95" s="37">
        <v>6</v>
      </c>
      <c r="N95" s="37">
        <v>6</v>
      </c>
    </row>
    <row r="96" spans="1:14">
      <c r="A96" s="30">
        <v>95</v>
      </c>
      <c r="B96" s="31">
        <v>40548</v>
      </c>
      <c r="C96" s="30">
        <v>2</v>
      </c>
      <c r="D96" s="37" t="s">
        <v>27</v>
      </c>
      <c r="E96" s="37" t="b">
        <v>0</v>
      </c>
      <c r="F96" s="37" t="s">
        <v>22</v>
      </c>
      <c r="G96" s="37" t="s">
        <v>8</v>
      </c>
      <c r="H96" s="37">
        <v>0.2</v>
      </c>
      <c r="I96" s="30">
        <v>0.16</v>
      </c>
      <c r="J96" s="37">
        <v>0.74</v>
      </c>
      <c r="K96" s="37">
        <v>0.09</v>
      </c>
      <c r="L96" s="37">
        <v>0</v>
      </c>
      <c r="M96" s="37">
        <v>2</v>
      </c>
      <c r="N96" s="37">
        <v>2</v>
      </c>
    </row>
    <row r="97" spans="1:14">
      <c r="A97" s="30">
        <v>96</v>
      </c>
      <c r="B97" s="31">
        <v>40548</v>
      </c>
      <c r="C97" s="30">
        <v>4</v>
      </c>
      <c r="D97" s="37" t="s">
        <v>27</v>
      </c>
      <c r="E97" s="37" t="b">
        <v>0</v>
      </c>
      <c r="F97" s="37" t="s">
        <v>22</v>
      </c>
      <c r="G97" s="37" t="s">
        <v>8</v>
      </c>
      <c r="H97" s="37">
        <v>0.23</v>
      </c>
      <c r="I97" s="30">
        <v>0.24</v>
      </c>
      <c r="J97" s="37">
        <v>0.48</v>
      </c>
      <c r="K97" s="37">
        <v>0.22</v>
      </c>
      <c r="L97" s="37">
        <v>0</v>
      </c>
      <c r="M97" s="37">
        <v>2</v>
      </c>
      <c r="N97" s="37">
        <v>2</v>
      </c>
    </row>
    <row r="98" spans="1:14">
      <c r="A98" s="30">
        <v>97</v>
      </c>
      <c r="B98" s="31">
        <v>40548</v>
      </c>
      <c r="C98" s="30">
        <v>5</v>
      </c>
      <c r="D98" s="37" t="s">
        <v>27</v>
      </c>
      <c r="E98" s="37" t="b">
        <v>0</v>
      </c>
      <c r="F98" s="37" t="s">
        <v>22</v>
      </c>
      <c r="G98" s="37" t="s">
        <v>8</v>
      </c>
      <c r="H98" s="37">
        <v>0.23</v>
      </c>
      <c r="I98" s="30">
        <v>0.22</v>
      </c>
      <c r="J98" s="37">
        <v>0.47</v>
      </c>
      <c r="K98" s="37">
        <v>0.16</v>
      </c>
      <c r="L98" s="37">
        <v>0</v>
      </c>
      <c r="M98" s="37">
        <v>3</v>
      </c>
      <c r="N98" s="37">
        <v>3</v>
      </c>
    </row>
    <row r="99" spans="1:14">
      <c r="A99" s="30">
        <v>98</v>
      </c>
      <c r="B99" s="31">
        <v>40548</v>
      </c>
      <c r="C99" s="30">
        <v>6</v>
      </c>
      <c r="D99" s="37" t="s">
        <v>28</v>
      </c>
      <c r="E99" s="37" t="b">
        <v>0</v>
      </c>
      <c r="F99" s="37" t="s">
        <v>22</v>
      </c>
      <c r="G99" s="37" t="s">
        <v>8</v>
      </c>
      <c r="H99" s="37">
        <v>0.2</v>
      </c>
      <c r="I99" s="30">
        <v>0.2</v>
      </c>
      <c r="J99" s="37">
        <v>0.47</v>
      </c>
      <c r="K99" s="37">
        <v>0.22</v>
      </c>
      <c r="L99" s="37">
        <v>0</v>
      </c>
      <c r="M99" s="37">
        <v>33</v>
      </c>
      <c r="N99" s="37">
        <v>33</v>
      </c>
    </row>
    <row r="100" spans="1:14">
      <c r="A100" s="30">
        <v>99</v>
      </c>
      <c r="B100" s="31">
        <v>40548</v>
      </c>
      <c r="C100" s="30">
        <v>7</v>
      </c>
      <c r="D100" s="37" t="s">
        <v>28</v>
      </c>
      <c r="E100" s="37" t="b">
        <v>0</v>
      </c>
      <c r="F100" s="37" t="s">
        <v>22</v>
      </c>
      <c r="G100" s="37" t="s">
        <v>8</v>
      </c>
      <c r="H100" s="37">
        <v>0.18</v>
      </c>
      <c r="I100" s="30">
        <v>0.18</v>
      </c>
      <c r="J100" s="37">
        <v>0.43</v>
      </c>
      <c r="K100" s="37">
        <v>0.19</v>
      </c>
      <c r="L100" s="37">
        <v>1</v>
      </c>
      <c r="M100" s="37">
        <v>87</v>
      </c>
      <c r="N100" s="37">
        <v>88</v>
      </c>
    </row>
    <row r="101" spans="1:14">
      <c r="A101" s="30">
        <v>100</v>
      </c>
      <c r="B101" s="31">
        <v>40548</v>
      </c>
      <c r="C101" s="30">
        <v>8</v>
      </c>
      <c r="D101" s="37" t="s">
        <v>28</v>
      </c>
      <c r="E101" s="37" t="b">
        <v>0</v>
      </c>
      <c r="F101" s="37" t="s">
        <v>22</v>
      </c>
      <c r="G101" s="37" t="s">
        <v>8</v>
      </c>
      <c r="H101" s="37">
        <v>0.18</v>
      </c>
      <c r="I101" s="30">
        <v>0.2</v>
      </c>
      <c r="J101" s="37">
        <v>0.4</v>
      </c>
      <c r="K101" s="37">
        <v>0.3</v>
      </c>
      <c r="L101" s="37">
        <v>3</v>
      </c>
      <c r="M101" s="37">
        <v>192</v>
      </c>
      <c r="N101" s="37">
        <v>195</v>
      </c>
    </row>
    <row r="102" spans="1:14">
      <c r="A102" s="30">
        <v>101</v>
      </c>
      <c r="B102" s="31">
        <v>40548</v>
      </c>
      <c r="C102" s="30">
        <v>9</v>
      </c>
      <c r="D102" s="37" t="s">
        <v>28</v>
      </c>
      <c r="E102" s="37" t="b">
        <v>0</v>
      </c>
      <c r="F102" s="37" t="s">
        <v>22</v>
      </c>
      <c r="G102" s="37" t="s">
        <v>8</v>
      </c>
      <c r="H102" s="37">
        <v>0.2</v>
      </c>
      <c r="I102" s="30">
        <v>0.22</v>
      </c>
      <c r="J102" s="37">
        <v>0.37</v>
      </c>
      <c r="K102" s="37">
        <v>0.33</v>
      </c>
      <c r="L102" s="37">
        <v>6</v>
      </c>
      <c r="M102" s="37">
        <v>109</v>
      </c>
      <c r="N102" s="37">
        <v>115</v>
      </c>
    </row>
    <row r="103" spans="1:14">
      <c r="A103" s="30">
        <v>102</v>
      </c>
      <c r="B103" s="31">
        <v>40548</v>
      </c>
      <c r="C103" s="30">
        <v>10</v>
      </c>
      <c r="D103" s="37" t="s">
        <v>28</v>
      </c>
      <c r="E103" s="37" t="b">
        <v>0</v>
      </c>
      <c r="F103" s="37" t="s">
        <v>22</v>
      </c>
      <c r="G103" s="37" t="s">
        <v>8</v>
      </c>
      <c r="H103" s="37">
        <v>0.2</v>
      </c>
      <c r="I103" s="30">
        <v>0.22</v>
      </c>
      <c r="J103" s="37">
        <v>0.37</v>
      </c>
      <c r="K103" s="37">
        <v>0.33</v>
      </c>
      <c r="L103" s="37">
        <v>4</v>
      </c>
      <c r="M103" s="37">
        <v>53</v>
      </c>
      <c r="N103" s="37">
        <v>57</v>
      </c>
    </row>
    <row r="104" spans="1:14">
      <c r="A104" s="30">
        <v>103</v>
      </c>
      <c r="B104" s="31">
        <v>40548</v>
      </c>
      <c r="C104" s="30">
        <v>11</v>
      </c>
      <c r="D104" s="37" t="s">
        <v>28</v>
      </c>
      <c r="E104" s="37" t="b">
        <v>0</v>
      </c>
      <c r="F104" s="37" t="s">
        <v>22</v>
      </c>
      <c r="G104" s="37" t="s">
        <v>8</v>
      </c>
      <c r="H104" s="37">
        <v>0.23</v>
      </c>
      <c r="I104" s="30">
        <v>0.26</v>
      </c>
      <c r="J104" s="37">
        <v>0.33</v>
      </c>
      <c r="K104" s="37">
        <v>0.33</v>
      </c>
      <c r="L104" s="37">
        <v>12</v>
      </c>
      <c r="M104" s="37">
        <v>34</v>
      </c>
      <c r="N104" s="37">
        <v>46</v>
      </c>
    </row>
    <row r="105" spans="1:14">
      <c r="A105" s="30">
        <v>104</v>
      </c>
      <c r="B105" s="31">
        <v>40548</v>
      </c>
      <c r="C105" s="30">
        <v>12</v>
      </c>
      <c r="D105" s="37" t="s">
        <v>29</v>
      </c>
      <c r="E105" s="37" t="b">
        <v>0</v>
      </c>
      <c r="F105" s="37" t="s">
        <v>22</v>
      </c>
      <c r="G105" s="37" t="s">
        <v>8</v>
      </c>
      <c r="H105" s="37">
        <v>0.23</v>
      </c>
      <c r="I105" s="30">
        <v>0.26</v>
      </c>
      <c r="J105" s="37">
        <v>0.33</v>
      </c>
      <c r="K105" s="37">
        <v>0.33</v>
      </c>
      <c r="L105" s="37">
        <v>5</v>
      </c>
      <c r="M105" s="37">
        <v>74</v>
      </c>
      <c r="N105" s="37">
        <v>79</v>
      </c>
    </row>
    <row r="106" spans="1:14">
      <c r="A106" s="30">
        <v>105</v>
      </c>
      <c r="B106" s="31">
        <v>40548</v>
      </c>
      <c r="C106" s="30">
        <v>13</v>
      </c>
      <c r="D106" s="37" t="s">
        <v>29</v>
      </c>
      <c r="E106" s="37" t="b">
        <v>0</v>
      </c>
      <c r="F106" s="37" t="s">
        <v>22</v>
      </c>
      <c r="G106" s="37" t="s">
        <v>8</v>
      </c>
      <c r="H106" s="37">
        <v>0.26</v>
      </c>
      <c r="I106" s="30">
        <v>0.28000000000000003</v>
      </c>
      <c r="J106" s="37">
        <v>0.3</v>
      </c>
      <c r="K106" s="37">
        <v>0.3</v>
      </c>
      <c r="L106" s="37">
        <v>6</v>
      </c>
      <c r="M106" s="37">
        <v>65</v>
      </c>
      <c r="N106" s="37">
        <v>71</v>
      </c>
    </row>
    <row r="107" spans="1:14">
      <c r="A107" s="30">
        <v>106</v>
      </c>
      <c r="B107" s="31">
        <v>40548</v>
      </c>
      <c r="C107" s="30">
        <v>14</v>
      </c>
      <c r="D107" s="37" t="s">
        <v>29</v>
      </c>
      <c r="E107" s="37" t="b">
        <v>0</v>
      </c>
      <c r="F107" s="37" t="s">
        <v>22</v>
      </c>
      <c r="G107" s="37" t="s">
        <v>8</v>
      </c>
      <c r="H107" s="37">
        <v>0.28999999999999998</v>
      </c>
      <c r="I107" s="30">
        <v>0.3</v>
      </c>
      <c r="J107" s="37">
        <v>0.28000000000000003</v>
      </c>
      <c r="K107" s="37">
        <v>0.19</v>
      </c>
      <c r="L107" s="37">
        <v>10</v>
      </c>
      <c r="M107" s="37">
        <v>52</v>
      </c>
      <c r="N107" s="37">
        <v>62</v>
      </c>
    </row>
    <row r="108" spans="1:14">
      <c r="A108" s="30">
        <v>107</v>
      </c>
      <c r="B108" s="31">
        <v>40548</v>
      </c>
      <c r="C108" s="30">
        <v>15</v>
      </c>
      <c r="D108" s="37" t="s">
        <v>29</v>
      </c>
      <c r="E108" s="37" t="b">
        <v>0</v>
      </c>
      <c r="F108" s="37" t="s">
        <v>22</v>
      </c>
      <c r="G108" s="37" t="s">
        <v>8</v>
      </c>
      <c r="H108" s="37">
        <v>0.28999999999999998</v>
      </c>
      <c r="I108" s="30">
        <v>0.3</v>
      </c>
      <c r="J108" s="37">
        <v>0.28000000000000003</v>
      </c>
      <c r="K108" s="37">
        <v>0.19</v>
      </c>
      <c r="L108" s="37">
        <v>7</v>
      </c>
      <c r="M108" s="37">
        <v>55</v>
      </c>
      <c r="N108" s="37">
        <v>62</v>
      </c>
    </row>
    <row r="109" spans="1:14">
      <c r="A109" s="30">
        <v>108</v>
      </c>
      <c r="B109" s="31">
        <v>40548</v>
      </c>
      <c r="C109" s="30">
        <v>16</v>
      </c>
      <c r="D109" s="37" t="s">
        <v>29</v>
      </c>
      <c r="E109" s="37" t="b">
        <v>0</v>
      </c>
      <c r="F109" s="37" t="s">
        <v>22</v>
      </c>
      <c r="G109" s="37" t="s">
        <v>8</v>
      </c>
      <c r="H109" s="37">
        <v>0.32</v>
      </c>
      <c r="I109" s="30">
        <v>0.3</v>
      </c>
      <c r="J109" s="37">
        <v>0.28000000000000003</v>
      </c>
      <c r="K109" s="37">
        <v>0.09</v>
      </c>
      <c r="L109" s="37">
        <v>4</v>
      </c>
      <c r="M109" s="37">
        <v>85</v>
      </c>
      <c r="N109" s="37">
        <v>89</v>
      </c>
    </row>
    <row r="110" spans="1:14">
      <c r="A110" s="30">
        <v>109</v>
      </c>
      <c r="B110" s="31">
        <v>40548</v>
      </c>
      <c r="C110" s="30">
        <v>17</v>
      </c>
      <c r="D110" s="37" t="s">
        <v>29</v>
      </c>
      <c r="E110" s="37" t="b">
        <v>0</v>
      </c>
      <c r="F110" s="37" t="s">
        <v>22</v>
      </c>
      <c r="G110" s="37" t="s">
        <v>8</v>
      </c>
      <c r="H110" s="37">
        <v>0.23</v>
      </c>
      <c r="I110" s="30">
        <v>0.24</v>
      </c>
      <c r="J110" s="37">
        <v>0.38</v>
      </c>
      <c r="K110" s="37">
        <v>0.19</v>
      </c>
      <c r="L110" s="37">
        <v>4</v>
      </c>
      <c r="M110" s="37">
        <v>186</v>
      </c>
      <c r="N110" s="37">
        <v>190</v>
      </c>
    </row>
    <row r="111" spans="1:14">
      <c r="A111" s="30">
        <v>110</v>
      </c>
      <c r="B111" s="31">
        <v>40548</v>
      </c>
      <c r="C111" s="30">
        <v>18</v>
      </c>
      <c r="D111" s="37" t="s">
        <v>30</v>
      </c>
      <c r="E111" s="37" t="b">
        <v>0</v>
      </c>
      <c r="F111" s="37" t="s">
        <v>22</v>
      </c>
      <c r="G111" s="37" t="s">
        <v>8</v>
      </c>
      <c r="H111" s="37">
        <v>0.24</v>
      </c>
      <c r="I111" s="30">
        <v>0.24</v>
      </c>
      <c r="J111" s="37">
        <v>0.38</v>
      </c>
      <c r="K111" s="37">
        <v>0.13</v>
      </c>
      <c r="L111" s="37">
        <v>3</v>
      </c>
      <c r="M111" s="37">
        <v>166</v>
      </c>
      <c r="N111" s="37">
        <v>169</v>
      </c>
    </row>
    <row r="112" spans="1:14">
      <c r="A112" s="30">
        <v>111</v>
      </c>
      <c r="B112" s="31">
        <v>40548</v>
      </c>
      <c r="C112" s="30">
        <v>19</v>
      </c>
      <c r="D112" s="37" t="s">
        <v>30</v>
      </c>
      <c r="E112" s="37" t="b">
        <v>0</v>
      </c>
      <c r="F112" s="37" t="s">
        <v>22</v>
      </c>
      <c r="G112" s="37" t="s">
        <v>8</v>
      </c>
      <c r="H112" s="37">
        <v>0.26</v>
      </c>
      <c r="I112" s="30">
        <v>0.24</v>
      </c>
      <c r="J112" s="37">
        <v>0.38</v>
      </c>
      <c r="K112" s="37">
        <v>0.1</v>
      </c>
      <c r="L112" s="37">
        <v>5</v>
      </c>
      <c r="M112" s="37">
        <v>127</v>
      </c>
      <c r="N112" s="37">
        <v>132</v>
      </c>
    </row>
    <row r="113" spans="1:14">
      <c r="A113" s="30">
        <v>112</v>
      </c>
      <c r="B113" s="31">
        <v>40548</v>
      </c>
      <c r="C113" s="30">
        <v>20</v>
      </c>
      <c r="D113" s="37" t="s">
        <v>30</v>
      </c>
      <c r="E113" s="37" t="b">
        <v>0</v>
      </c>
      <c r="F113" s="37" t="s">
        <v>22</v>
      </c>
      <c r="G113" s="37" t="s">
        <v>8</v>
      </c>
      <c r="H113" s="37">
        <v>0.23</v>
      </c>
      <c r="I113" s="30">
        <v>0.22</v>
      </c>
      <c r="J113" s="37">
        <v>0.47</v>
      </c>
      <c r="K113" s="37">
        <v>0.16</v>
      </c>
      <c r="L113" s="37">
        <v>7</v>
      </c>
      <c r="M113" s="37">
        <v>82</v>
      </c>
      <c r="N113" s="37">
        <v>89</v>
      </c>
    </row>
    <row r="114" spans="1:14">
      <c r="A114" s="30">
        <v>113</v>
      </c>
      <c r="B114" s="31">
        <v>40548</v>
      </c>
      <c r="C114" s="30">
        <v>21</v>
      </c>
      <c r="D114" s="37" t="s">
        <v>30</v>
      </c>
      <c r="E114" s="37" t="b">
        <v>0</v>
      </c>
      <c r="F114" s="37" t="s">
        <v>22</v>
      </c>
      <c r="G114" s="37" t="s">
        <v>8</v>
      </c>
      <c r="H114" s="37">
        <v>0.2</v>
      </c>
      <c r="I114" s="30">
        <v>0.2</v>
      </c>
      <c r="J114" s="37">
        <v>0.51</v>
      </c>
      <c r="K114" s="37">
        <v>0.19</v>
      </c>
      <c r="L114" s="37">
        <v>3</v>
      </c>
      <c r="M114" s="37">
        <v>40</v>
      </c>
      <c r="N114" s="37">
        <v>43</v>
      </c>
    </row>
    <row r="115" spans="1:14">
      <c r="A115" s="30">
        <v>114</v>
      </c>
      <c r="B115" s="31">
        <v>40548</v>
      </c>
      <c r="C115" s="30">
        <v>22</v>
      </c>
      <c r="D115" s="37" t="s">
        <v>30</v>
      </c>
      <c r="E115" s="37" t="b">
        <v>0</v>
      </c>
      <c r="F115" s="37" t="s">
        <v>22</v>
      </c>
      <c r="G115" s="37" t="s">
        <v>8</v>
      </c>
      <c r="H115" s="37">
        <v>0.2</v>
      </c>
      <c r="I115" s="30">
        <v>0.18</v>
      </c>
      <c r="J115" s="37">
        <v>0.55000000000000004</v>
      </c>
      <c r="K115" s="37">
        <v>0.13</v>
      </c>
      <c r="L115" s="37">
        <v>1</v>
      </c>
      <c r="M115" s="37">
        <v>41</v>
      </c>
      <c r="N115" s="37">
        <v>42</v>
      </c>
    </row>
    <row r="116" spans="1:14">
      <c r="A116" s="30">
        <v>115</v>
      </c>
      <c r="B116" s="31">
        <v>40548</v>
      </c>
      <c r="C116" s="30">
        <v>23</v>
      </c>
      <c r="D116" s="37" t="s">
        <v>30</v>
      </c>
      <c r="E116" s="37" t="b">
        <v>0</v>
      </c>
      <c r="F116" s="37" t="s">
        <v>22</v>
      </c>
      <c r="G116" s="37" t="s">
        <v>8</v>
      </c>
      <c r="H116" s="37">
        <v>0.26</v>
      </c>
      <c r="I116" s="30">
        <v>0.2</v>
      </c>
      <c r="J116" s="37">
        <v>0.47</v>
      </c>
      <c r="K116" s="37">
        <v>0</v>
      </c>
      <c r="L116" s="37">
        <v>1</v>
      </c>
      <c r="M116" s="37">
        <v>18</v>
      </c>
      <c r="N116" s="37">
        <v>19</v>
      </c>
    </row>
    <row r="117" spans="1:14">
      <c r="A117" s="30">
        <v>116</v>
      </c>
      <c r="B117" s="31">
        <v>40549</v>
      </c>
      <c r="C117" s="30">
        <v>0</v>
      </c>
      <c r="D117" s="37" t="s">
        <v>27</v>
      </c>
      <c r="E117" s="37" t="b">
        <v>0</v>
      </c>
      <c r="F117" s="37" t="s">
        <v>23</v>
      </c>
      <c r="G117" s="37" t="s">
        <v>8</v>
      </c>
      <c r="H117" s="37">
        <v>0.24</v>
      </c>
      <c r="I117" s="30">
        <v>0.18</v>
      </c>
      <c r="J117" s="37">
        <v>0.55000000000000004</v>
      </c>
      <c r="K117" s="37">
        <v>0</v>
      </c>
      <c r="L117" s="37">
        <v>0</v>
      </c>
      <c r="M117" s="37">
        <v>11</v>
      </c>
      <c r="N117" s="37">
        <v>11</v>
      </c>
    </row>
    <row r="118" spans="1:14">
      <c r="A118" s="30">
        <v>117</v>
      </c>
      <c r="B118" s="31">
        <v>40549</v>
      </c>
      <c r="C118" s="30">
        <v>1</v>
      </c>
      <c r="D118" s="37" t="s">
        <v>27</v>
      </c>
      <c r="E118" s="37" t="b">
        <v>0</v>
      </c>
      <c r="F118" s="37" t="s">
        <v>23</v>
      </c>
      <c r="G118" s="37" t="s">
        <v>8</v>
      </c>
      <c r="H118" s="37">
        <v>0.23</v>
      </c>
      <c r="I118" s="30">
        <v>0.16</v>
      </c>
      <c r="J118" s="37">
        <v>0.64</v>
      </c>
      <c r="K118" s="37">
        <v>0</v>
      </c>
      <c r="L118" s="37">
        <v>0</v>
      </c>
      <c r="M118" s="37">
        <v>4</v>
      </c>
      <c r="N118" s="37">
        <v>4</v>
      </c>
    </row>
    <row r="119" spans="1:14">
      <c r="A119" s="30">
        <v>118</v>
      </c>
      <c r="B119" s="31">
        <v>40549</v>
      </c>
      <c r="C119" s="30">
        <v>2</v>
      </c>
      <c r="D119" s="37" t="s">
        <v>27</v>
      </c>
      <c r="E119" s="37" t="b">
        <v>0</v>
      </c>
      <c r="F119" s="37" t="s">
        <v>23</v>
      </c>
      <c r="G119" s="37" t="s">
        <v>8</v>
      </c>
      <c r="H119" s="37">
        <v>0.23</v>
      </c>
      <c r="I119" s="30">
        <v>0.16</v>
      </c>
      <c r="J119" s="37">
        <v>0.64</v>
      </c>
      <c r="K119" s="37">
        <v>0</v>
      </c>
      <c r="L119" s="37">
        <v>0</v>
      </c>
      <c r="M119" s="37">
        <v>2</v>
      </c>
      <c r="N119" s="37">
        <v>2</v>
      </c>
    </row>
    <row r="120" spans="1:14">
      <c r="A120" s="30">
        <v>119</v>
      </c>
      <c r="B120" s="31">
        <v>40549</v>
      </c>
      <c r="C120" s="30">
        <v>4</v>
      </c>
      <c r="D120" s="37" t="s">
        <v>27</v>
      </c>
      <c r="E120" s="37" t="b">
        <v>0</v>
      </c>
      <c r="F120" s="37" t="s">
        <v>23</v>
      </c>
      <c r="G120" s="37" t="s">
        <v>9</v>
      </c>
      <c r="H120" s="37">
        <v>0.2</v>
      </c>
      <c r="I120" s="30">
        <v>0.16</v>
      </c>
      <c r="J120" s="37">
        <v>0.64</v>
      </c>
      <c r="K120" s="37">
        <v>0.09</v>
      </c>
      <c r="L120" s="37">
        <v>0</v>
      </c>
      <c r="M120" s="37">
        <v>1</v>
      </c>
      <c r="N120" s="37">
        <v>1</v>
      </c>
    </row>
    <row r="121" spans="1:14">
      <c r="A121" s="30">
        <v>120</v>
      </c>
      <c r="B121" s="31">
        <v>40549</v>
      </c>
      <c r="C121" s="30">
        <v>5</v>
      </c>
      <c r="D121" s="37" t="s">
        <v>27</v>
      </c>
      <c r="E121" s="37" t="b">
        <v>0</v>
      </c>
      <c r="F121" s="37" t="s">
        <v>23</v>
      </c>
      <c r="G121" s="37" t="s">
        <v>9</v>
      </c>
      <c r="H121" s="37">
        <v>0.18</v>
      </c>
      <c r="I121" s="30">
        <v>0.14000000000000001</v>
      </c>
      <c r="J121" s="37">
        <v>0.69</v>
      </c>
      <c r="K121" s="37">
        <v>0.09</v>
      </c>
      <c r="L121" s="37">
        <v>0</v>
      </c>
      <c r="M121" s="37">
        <v>4</v>
      </c>
      <c r="N121" s="37">
        <v>4</v>
      </c>
    </row>
    <row r="122" spans="1:14">
      <c r="A122" s="30">
        <v>121</v>
      </c>
      <c r="B122" s="31">
        <v>40549</v>
      </c>
      <c r="C122" s="30">
        <v>6</v>
      </c>
      <c r="D122" s="37" t="s">
        <v>28</v>
      </c>
      <c r="E122" s="37" t="b">
        <v>0</v>
      </c>
      <c r="F122" s="37" t="s">
        <v>23</v>
      </c>
      <c r="G122" s="37" t="s">
        <v>9</v>
      </c>
      <c r="H122" s="37">
        <v>0.17</v>
      </c>
      <c r="I122" s="30">
        <v>0.14000000000000001</v>
      </c>
      <c r="J122" s="37">
        <v>0.63</v>
      </c>
      <c r="K122" s="37">
        <v>0.1</v>
      </c>
      <c r="L122" s="37">
        <v>0</v>
      </c>
      <c r="M122" s="37">
        <v>36</v>
      </c>
      <c r="N122" s="37">
        <v>36</v>
      </c>
    </row>
    <row r="123" spans="1:14">
      <c r="A123" s="30">
        <v>122</v>
      </c>
      <c r="B123" s="31">
        <v>40549</v>
      </c>
      <c r="C123" s="30">
        <v>7</v>
      </c>
      <c r="D123" s="37" t="s">
        <v>28</v>
      </c>
      <c r="E123" s="37" t="b">
        <v>0</v>
      </c>
      <c r="F123" s="37" t="s">
        <v>23</v>
      </c>
      <c r="G123" s="37" t="s">
        <v>9</v>
      </c>
      <c r="H123" s="37">
        <v>0.23</v>
      </c>
      <c r="I123" s="30">
        <v>0.16</v>
      </c>
      <c r="J123" s="37">
        <v>0.59</v>
      </c>
      <c r="K123" s="37">
        <v>0</v>
      </c>
      <c r="L123" s="37">
        <v>0</v>
      </c>
      <c r="M123" s="37">
        <v>95</v>
      </c>
      <c r="N123" s="37">
        <v>95</v>
      </c>
    </row>
    <row r="124" spans="1:14">
      <c r="A124" s="30">
        <v>123</v>
      </c>
      <c r="B124" s="31">
        <v>40549</v>
      </c>
      <c r="C124" s="30">
        <v>8</v>
      </c>
      <c r="D124" s="37" t="s">
        <v>28</v>
      </c>
      <c r="E124" s="37" t="b">
        <v>0</v>
      </c>
      <c r="F124" s="37" t="s">
        <v>23</v>
      </c>
      <c r="G124" s="37" t="s">
        <v>8</v>
      </c>
      <c r="H124" s="37">
        <v>0.23</v>
      </c>
      <c r="I124" s="30">
        <v>0.16</v>
      </c>
      <c r="J124" s="37">
        <v>0.59</v>
      </c>
      <c r="K124" s="37">
        <v>0</v>
      </c>
      <c r="L124" s="37">
        <v>3</v>
      </c>
      <c r="M124" s="37">
        <v>216</v>
      </c>
      <c r="N124" s="37">
        <v>219</v>
      </c>
    </row>
    <row r="125" spans="1:14">
      <c r="A125" s="30">
        <v>124</v>
      </c>
      <c r="B125" s="31">
        <v>40549</v>
      </c>
      <c r="C125" s="30">
        <v>9</v>
      </c>
      <c r="D125" s="37" t="s">
        <v>28</v>
      </c>
      <c r="E125" s="37" t="b">
        <v>0</v>
      </c>
      <c r="F125" s="37" t="s">
        <v>23</v>
      </c>
      <c r="G125" s="37" t="s">
        <v>9</v>
      </c>
      <c r="H125" s="37">
        <v>0.24</v>
      </c>
      <c r="I125" s="30">
        <v>0.18</v>
      </c>
      <c r="J125" s="37">
        <v>0.51</v>
      </c>
      <c r="K125" s="37">
        <v>0</v>
      </c>
      <c r="L125" s="37">
        <v>6</v>
      </c>
      <c r="M125" s="37">
        <v>116</v>
      </c>
      <c r="N125" s="37">
        <v>122</v>
      </c>
    </row>
    <row r="126" spans="1:14">
      <c r="A126" s="30">
        <v>125</v>
      </c>
      <c r="B126" s="31">
        <v>40549</v>
      </c>
      <c r="C126" s="30">
        <v>10</v>
      </c>
      <c r="D126" s="37" t="s">
        <v>28</v>
      </c>
      <c r="E126" s="37" t="b">
        <v>0</v>
      </c>
      <c r="F126" s="37" t="s">
        <v>23</v>
      </c>
      <c r="G126" s="37" t="s">
        <v>8</v>
      </c>
      <c r="H126" s="37">
        <v>0.26</v>
      </c>
      <c r="I126" s="30">
        <v>0.2</v>
      </c>
      <c r="J126" s="37">
        <v>0.47</v>
      </c>
      <c r="K126" s="37">
        <v>0</v>
      </c>
      <c r="L126" s="37">
        <v>3</v>
      </c>
      <c r="M126" s="37">
        <v>42</v>
      </c>
      <c r="N126" s="37">
        <v>45</v>
      </c>
    </row>
    <row r="127" spans="1:14">
      <c r="A127" s="30">
        <v>126</v>
      </c>
      <c r="B127" s="31">
        <v>40549</v>
      </c>
      <c r="C127" s="30">
        <v>11</v>
      </c>
      <c r="D127" s="37" t="s">
        <v>28</v>
      </c>
      <c r="E127" s="37" t="b">
        <v>0</v>
      </c>
      <c r="F127" s="37" t="s">
        <v>23</v>
      </c>
      <c r="G127" s="37" t="s">
        <v>8</v>
      </c>
      <c r="H127" s="37">
        <v>0.26</v>
      </c>
      <c r="I127" s="30">
        <v>0.22</v>
      </c>
      <c r="J127" s="37">
        <v>0.44</v>
      </c>
      <c r="K127" s="37">
        <v>0.09</v>
      </c>
      <c r="L127" s="37">
        <v>2</v>
      </c>
      <c r="M127" s="37">
        <v>57</v>
      </c>
      <c r="N127" s="37">
        <v>59</v>
      </c>
    </row>
    <row r="128" spans="1:14">
      <c r="A128" s="30">
        <v>127</v>
      </c>
      <c r="B128" s="31">
        <v>40549</v>
      </c>
      <c r="C128" s="30">
        <v>12</v>
      </c>
      <c r="D128" s="37" t="s">
        <v>29</v>
      </c>
      <c r="E128" s="37" t="b">
        <v>0</v>
      </c>
      <c r="F128" s="37" t="s">
        <v>23</v>
      </c>
      <c r="G128" s="37" t="s">
        <v>8</v>
      </c>
      <c r="H128" s="37">
        <v>0.28999999999999998</v>
      </c>
      <c r="I128" s="30">
        <v>0.26</v>
      </c>
      <c r="J128" s="37">
        <v>0.35</v>
      </c>
      <c r="K128" s="37">
        <v>0</v>
      </c>
      <c r="L128" s="37">
        <v>6</v>
      </c>
      <c r="M128" s="37">
        <v>78</v>
      </c>
      <c r="N128" s="37">
        <v>84</v>
      </c>
    </row>
    <row r="129" spans="1:14">
      <c r="A129" s="30">
        <v>128</v>
      </c>
      <c r="B129" s="31">
        <v>40549</v>
      </c>
      <c r="C129" s="30">
        <v>13</v>
      </c>
      <c r="D129" s="37" t="s">
        <v>29</v>
      </c>
      <c r="E129" s="37" t="b">
        <v>0</v>
      </c>
      <c r="F129" s="37" t="s">
        <v>23</v>
      </c>
      <c r="G129" s="37" t="s">
        <v>8</v>
      </c>
      <c r="H129" s="37">
        <v>0.27</v>
      </c>
      <c r="I129" s="30">
        <v>0.26</v>
      </c>
      <c r="J129" s="37">
        <v>0.35</v>
      </c>
      <c r="K129" s="37">
        <v>0.1</v>
      </c>
      <c r="L129" s="37">
        <v>12</v>
      </c>
      <c r="M129" s="37">
        <v>55</v>
      </c>
      <c r="N129" s="37">
        <v>67</v>
      </c>
    </row>
    <row r="130" spans="1:14">
      <c r="A130" s="30">
        <v>129</v>
      </c>
      <c r="B130" s="31">
        <v>40549</v>
      </c>
      <c r="C130" s="30">
        <v>14</v>
      </c>
      <c r="D130" s="37" t="s">
        <v>29</v>
      </c>
      <c r="E130" s="37" t="b">
        <v>0</v>
      </c>
      <c r="F130" s="37" t="s">
        <v>23</v>
      </c>
      <c r="G130" s="37" t="s">
        <v>8</v>
      </c>
      <c r="H130" s="37">
        <v>0.27</v>
      </c>
      <c r="I130" s="30">
        <v>0.28000000000000003</v>
      </c>
      <c r="J130" s="37">
        <v>0.36</v>
      </c>
      <c r="K130" s="37">
        <v>0.16</v>
      </c>
      <c r="L130" s="37">
        <v>11</v>
      </c>
      <c r="M130" s="37">
        <v>59</v>
      </c>
      <c r="N130" s="37">
        <v>70</v>
      </c>
    </row>
    <row r="131" spans="1:14">
      <c r="A131" s="30">
        <v>130</v>
      </c>
      <c r="B131" s="31">
        <v>40549</v>
      </c>
      <c r="C131" s="30">
        <v>15</v>
      </c>
      <c r="D131" s="37" t="s">
        <v>29</v>
      </c>
      <c r="E131" s="37" t="b">
        <v>0</v>
      </c>
      <c r="F131" s="37" t="s">
        <v>23</v>
      </c>
      <c r="G131" s="37" t="s">
        <v>8</v>
      </c>
      <c r="H131" s="37">
        <v>0.27</v>
      </c>
      <c r="I131" s="30">
        <v>0.28000000000000003</v>
      </c>
      <c r="J131" s="37">
        <v>0.36</v>
      </c>
      <c r="K131" s="37">
        <v>0</v>
      </c>
      <c r="L131" s="37">
        <v>8</v>
      </c>
      <c r="M131" s="37">
        <v>54</v>
      </c>
      <c r="N131" s="37">
        <v>62</v>
      </c>
    </row>
    <row r="132" spans="1:14">
      <c r="A132" s="30">
        <v>131</v>
      </c>
      <c r="B132" s="31">
        <v>40549</v>
      </c>
      <c r="C132" s="30">
        <v>16</v>
      </c>
      <c r="D132" s="37" t="s">
        <v>29</v>
      </c>
      <c r="E132" s="37" t="b">
        <v>0</v>
      </c>
      <c r="F132" s="37" t="s">
        <v>23</v>
      </c>
      <c r="G132" s="37" t="s">
        <v>8</v>
      </c>
      <c r="H132" s="37">
        <v>0.26</v>
      </c>
      <c r="I132" s="30">
        <v>0.26</v>
      </c>
      <c r="J132" s="37">
        <v>0.38</v>
      </c>
      <c r="K132" s="37">
        <v>0.16</v>
      </c>
      <c r="L132" s="37">
        <v>12</v>
      </c>
      <c r="M132" s="37">
        <v>74</v>
      </c>
      <c r="N132" s="37">
        <v>86</v>
      </c>
    </row>
    <row r="133" spans="1:14">
      <c r="A133" s="30">
        <v>132</v>
      </c>
      <c r="B133" s="31">
        <v>40549</v>
      </c>
      <c r="C133" s="30">
        <v>17</v>
      </c>
      <c r="D133" s="37" t="s">
        <v>29</v>
      </c>
      <c r="E133" s="37" t="b">
        <v>0</v>
      </c>
      <c r="F133" s="37" t="s">
        <v>23</v>
      </c>
      <c r="G133" s="37" t="s">
        <v>8</v>
      </c>
      <c r="H133" s="37">
        <v>0.23</v>
      </c>
      <c r="I133" s="30">
        <v>0.22</v>
      </c>
      <c r="J133" s="37">
        <v>0.51</v>
      </c>
      <c r="K133" s="37">
        <v>0.16</v>
      </c>
      <c r="L133" s="37">
        <v>9</v>
      </c>
      <c r="M133" s="37">
        <v>163</v>
      </c>
      <c r="N133" s="37">
        <v>172</v>
      </c>
    </row>
    <row r="134" spans="1:14">
      <c r="A134" s="30">
        <v>133</v>
      </c>
      <c r="B134" s="31">
        <v>40549</v>
      </c>
      <c r="C134" s="30">
        <v>18</v>
      </c>
      <c r="D134" s="37" t="s">
        <v>30</v>
      </c>
      <c r="E134" s="37" t="b">
        <v>0</v>
      </c>
      <c r="F134" s="37" t="s">
        <v>23</v>
      </c>
      <c r="G134" s="37" t="s">
        <v>8</v>
      </c>
      <c r="H134" s="37">
        <v>0.23</v>
      </c>
      <c r="I134" s="30">
        <v>0.22</v>
      </c>
      <c r="J134" s="37">
        <v>0.51</v>
      </c>
      <c r="K134" s="37">
        <v>0.13</v>
      </c>
      <c r="L134" s="37">
        <v>5</v>
      </c>
      <c r="M134" s="37">
        <v>158</v>
      </c>
      <c r="N134" s="37">
        <v>163</v>
      </c>
    </row>
    <row r="135" spans="1:14">
      <c r="A135" s="30">
        <v>134</v>
      </c>
      <c r="B135" s="31">
        <v>40549</v>
      </c>
      <c r="C135" s="30">
        <v>19</v>
      </c>
      <c r="D135" s="37" t="s">
        <v>30</v>
      </c>
      <c r="E135" s="37" t="b">
        <v>0</v>
      </c>
      <c r="F135" s="37" t="s">
        <v>23</v>
      </c>
      <c r="G135" s="37" t="s">
        <v>8</v>
      </c>
      <c r="H135" s="37">
        <v>0.26</v>
      </c>
      <c r="I135" s="30">
        <v>0.22</v>
      </c>
      <c r="J135" s="37">
        <v>0.55000000000000004</v>
      </c>
      <c r="K135" s="37">
        <v>0.09</v>
      </c>
      <c r="L135" s="37">
        <v>3</v>
      </c>
      <c r="M135" s="37">
        <v>109</v>
      </c>
      <c r="N135" s="37">
        <v>112</v>
      </c>
    </row>
    <row r="136" spans="1:14">
      <c r="A136" s="30">
        <v>135</v>
      </c>
      <c r="B136" s="31">
        <v>40549</v>
      </c>
      <c r="C136" s="30">
        <v>20</v>
      </c>
      <c r="D136" s="37" t="s">
        <v>30</v>
      </c>
      <c r="E136" s="37" t="b">
        <v>0</v>
      </c>
      <c r="F136" s="37" t="s">
        <v>23</v>
      </c>
      <c r="G136" s="37" t="s">
        <v>8</v>
      </c>
      <c r="H136" s="37">
        <v>0.21</v>
      </c>
      <c r="I136" s="30">
        <v>0.2</v>
      </c>
      <c r="J136" s="37">
        <v>0.51</v>
      </c>
      <c r="K136" s="37">
        <v>0.16</v>
      </c>
      <c r="L136" s="37">
        <v>3</v>
      </c>
      <c r="M136" s="37">
        <v>66</v>
      </c>
      <c r="N136" s="37">
        <v>69</v>
      </c>
    </row>
    <row r="137" spans="1:14">
      <c r="A137" s="30">
        <v>136</v>
      </c>
      <c r="B137" s="31">
        <v>40549</v>
      </c>
      <c r="C137" s="30">
        <v>21</v>
      </c>
      <c r="D137" s="37" t="s">
        <v>30</v>
      </c>
      <c r="E137" s="37" t="b">
        <v>0</v>
      </c>
      <c r="F137" s="37" t="s">
        <v>23</v>
      </c>
      <c r="G137" s="37" t="s">
        <v>9</v>
      </c>
      <c r="H137" s="37">
        <v>0.21</v>
      </c>
      <c r="I137" s="30">
        <v>0.22</v>
      </c>
      <c r="J137" s="37">
        <v>0.55000000000000004</v>
      </c>
      <c r="K137" s="37">
        <v>0.22</v>
      </c>
      <c r="L137" s="37">
        <v>0</v>
      </c>
      <c r="M137" s="37">
        <v>48</v>
      </c>
      <c r="N137" s="37">
        <v>48</v>
      </c>
    </row>
    <row r="138" spans="1:14">
      <c r="A138" s="30">
        <v>137</v>
      </c>
      <c r="B138" s="31">
        <v>40549</v>
      </c>
      <c r="C138" s="30">
        <v>22</v>
      </c>
      <c r="D138" s="37" t="s">
        <v>30</v>
      </c>
      <c r="E138" s="37" t="b">
        <v>0</v>
      </c>
      <c r="F138" s="37" t="s">
        <v>23</v>
      </c>
      <c r="G138" s="37" t="s">
        <v>9</v>
      </c>
      <c r="H138" s="37">
        <v>0.21</v>
      </c>
      <c r="I138" s="30">
        <v>0.22</v>
      </c>
      <c r="J138" s="37">
        <v>0.51</v>
      </c>
      <c r="K138" s="37">
        <v>0.28000000000000003</v>
      </c>
      <c r="L138" s="37">
        <v>1</v>
      </c>
      <c r="M138" s="37">
        <v>51</v>
      </c>
      <c r="N138" s="37">
        <v>52</v>
      </c>
    </row>
    <row r="139" spans="1:14">
      <c r="A139" s="30">
        <v>138</v>
      </c>
      <c r="B139" s="31">
        <v>40549</v>
      </c>
      <c r="C139" s="30">
        <v>23</v>
      </c>
      <c r="D139" s="37" t="s">
        <v>30</v>
      </c>
      <c r="E139" s="37" t="b">
        <v>0</v>
      </c>
      <c r="F139" s="37" t="s">
        <v>23</v>
      </c>
      <c r="G139" s="37" t="s">
        <v>9</v>
      </c>
      <c r="H139" s="37">
        <v>0.2</v>
      </c>
      <c r="I139" s="30">
        <v>0.2</v>
      </c>
      <c r="J139" s="37">
        <v>0.59</v>
      </c>
      <c r="K139" s="37">
        <v>0.19</v>
      </c>
      <c r="L139" s="37">
        <v>4</v>
      </c>
      <c r="M139" s="37">
        <v>19</v>
      </c>
      <c r="N139" s="37">
        <v>23</v>
      </c>
    </row>
    <row r="140" spans="1:14">
      <c r="A140" s="30">
        <v>139</v>
      </c>
      <c r="B140" s="31">
        <v>40550</v>
      </c>
      <c r="C140" s="30">
        <v>0</v>
      </c>
      <c r="D140" s="37" t="s">
        <v>27</v>
      </c>
      <c r="E140" s="37" t="b">
        <v>0</v>
      </c>
      <c r="F140" s="37" t="s">
        <v>24</v>
      </c>
      <c r="G140" s="37" t="s">
        <v>9</v>
      </c>
      <c r="H140" s="37">
        <v>0.2</v>
      </c>
      <c r="I140" s="30">
        <v>0.2</v>
      </c>
      <c r="J140" s="37">
        <v>0.64</v>
      </c>
      <c r="K140" s="37">
        <v>0.19</v>
      </c>
      <c r="L140" s="37">
        <v>4</v>
      </c>
      <c r="M140" s="37">
        <v>13</v>
      </c>
      <c r="N140" s="37">
        <v>17</v>
      </c>
    </row>
    <row r="141" spans="1:14">
      <c r="A141" s="30">
        <v>140</v>
      </c>
      <c r="B141" s="31">
        <v>40550</v>
      </c>
      <c r="C141" s="30">
        <v>1</v>
      </c>
      <c r="D141" s="37" t="s">
        <v>27</v>
      </c>
      <c r="E141" s="37" t="b">
        <v>0</v>
      </c>
      <c r="F141" s="37" t="s">
        <v>24</v>
      </c>
      <c r="G141" s="37" t="s">
        <v>9</v>
      </c>
      <c r="H141" s="37">
        <v>0.2</v>
      </c>
      <c r="I141" s="30">
        <v>0.2</v>
      </c>
      <c r="J141" s="37">
        <v>0.69</v>
      </c>
      <c r="K141" s="37">
        <v>0.22</v>
      </c>
      <c r="L141" s="37">
        <v>2</v>
      </c>
      <c r="M141" s="37">
        <v>5</v>
      </c>
      <c r="N141" s="37">
        <v>7</v>
      </c>
    </row>
    <row r="142" spans="1:14">
      <c r="A142" s="30">
        <v>141</v>
      </c>
      <c r="B142" s="31">
        <v>40550</v>
      </c>
      <c r="C142" s="30">
        <v>2</v>
      </c>
      <c r="D142" s="37" t="s">
        <v>27</v>
      </c>
      <c r="E142" s="37" t="b">
        <v>0</v>
      </c>
      <c r="F142" s="37" t="s">
        <v>24</v>
      </c>
      <c r="G142" s="37" t="s">
        <v>9</v>
      </c>
      <c r="H142" s="37">
        <v>0.2</v>
      </c>
      <c r="I142" s="30">
        <v>0.2</v>
      </c>
      <c r="J142" s="37">
        <v>0.69</v>
      </c>
      <c r="K142" s="37">
        <v>0.22</v>
      </c>
      <c r="L142" s="37">
        <v>0</v>
      </c>
      <c r="M142" s="37">
        <v>1</v>
      </c>
      <c r="N142" s="37">
        <v>1</v>
      </c>
    </row>
    <row r="143" spans="1:14">
      <c r="A143" s="30">
        <v>142</v>
      </c>
      <c r="B143" s="31">
        <v>40550</v>
      </c>
      <c r="C143" s="30">
        <v>4</v>
      </c>
      <c r="D143" s="37" t="s">
        <v>27</v>
      </c>
      <c r="E143" s="37" t="b">
        <v>0</v>
      </c>
      <c r="F143" s="37" t="s">
        <v>24</v>
      </c>
      <c r="G143" s="37" t="s">
        <v>9</v>
      </c>
      <c r="H143" s="37">
        <v>0.21</v>
      </c>
      <c r="I143" s="30">
        <v>0.2</v>
      </c>
      <c r="J143" s="37">
        <v>0.69</v>
      </c>
      <c r="K143" s="37">
        <v>0.13</v>
      </c>
      <c r="L143" s="37">
        <v>0</v>
      </c>
      <c r="M143" s="37">
        <v>1</v>
      </c>
      <c r="N143" s="37">
        <v>1</v>
      </c>
    </row>
    <row r="144" spans="1:14">
      <c r="A144" s="30">
        <v>143</v>
      </c>
      <c r="B144" s="31">
        <v>40550</v>
      </c>
      <c r="C144" s="30">
        <v>5</v>
      </c>
      <c r="D144" s="37" t="s">
        <v>27</v>
      </c>
      <c r="E144" s="37" t="b">
        <v>0</v>
      </c>
      <c r="F144" s="37" t="s">
        <v>24</v>
      </c>
      <c r="G144" s="37" t="s">
        <v>10</v>
      </c>
      <c r="H144" s="37">
        <v>0.27</v>
      </c>
      <c r="I144" s="30">
        <v>0.22</v>
      </c>
      <c r="J144" s="37">
        <v>0.55000000000000004</v>
      </c>
      <c r="K144" s="37">
        <v>0</v>
      </c>
      <c r="L144" s="37">
        <v>0</v>
      </c>
      <c r="M144" s="37">
        <v>5</v>
      </c>
      <c r="N144" s="37">
        <v>5</v>
      </c>
    </row>
    <row r="145" spans="1:14">
      <c r="A145" s="30">
        <v>144</v>
      </c>
      <c r="B145" s="31">
        <v>40550</v>
      </c>
      <c r="C145" s="30">
        <v>6</v>
      </c>
      <c r="D145" s="37" t="s">
        <v>28</v>
      </c>
      <c r="E145" s="37" t="b">
        <v>0</v>
      </c>
      <c r="F145" s="37" t="s">
        <v>24</v>
      </c>
      <c r="G145" s="37" t="s">
        <v>9</v>
      </c>
      <c r="H145" s="37">
        <v>0.26</v>
      </c>
      <c r="I145" s="30">
        <v>0.2</v>
      </c>
      <c r="J145" s="37">
        <v>0.69</v>
      </c>
      <c r="K145" s="37">
        <v>0</v>
      </c>
      <c r="L145" s="37">
        <v>8</v>
      </c>
      <c r="M145" s="37">
        <v>26</v>
      </c>
      <c r="N145" s="37">
        <v>34</v>
      </c>
    </row>
    <row r="146" spans="1:14">
      <c r="A146" s="30">
        <v>145</v>
      </c>
      <c r="B146" s="31">
        <v>40550</v>
      </c>
      <c r="C146" s="30">
        <v>7</v>
      </c>
      <c r="D146" s="37" t="s">
        <v>28</v>
      </c>
      <c r="E146" s="37" t="b">
        <v>0</v>
      </c>
      <c r="F146" s="37" t="s">
        <v>24</v>
      </c>
      <c r="G146" s="37" t="s">
        <v>8</v>
      </c>
      <c r="H146" s="37">
        <v>0.21</v>
      </c>
      <c r="I146" s="30">
        <v>0.2</v>
      </c>
      <c r="J146" s="37">
        <v>0.69</v>
      </c>
      <c r="K146" s="37">
        <v>0.13</v>
      </c>
      <c r="L146" s="37">
        <v>8</v>
      </c>
      <c r="M146" s="37">
        <v>76</v>
      </c>
      <c r="N146" s="37">
        <v>84</v>
      </c>
    </row>
    <row r="147" spans="1:14">
      <c r="A147" s="30">
        <v>146</v>
      </c>
      <c r="B147" s="31">
        <v>40550</v>
      </c>
      <c r="C147" s="30">
        <v>8</v>
      </c>
      <c r="D147" s="37" t="s">
        <v>28</v>
      </c>
      <c r="E147" s="37" t="b">
        <v>0</v>
      </c>
      <c r="F147" s="37" t="s">
        <v>24</v>
      </c>
      <c r="G147" s="37" t="s">
        <v>8</v>
      </c>
      <c r="H147" s="37">
        <v>0.2</v>
      </c>
      <c r="I147" s="30">
        <v>0.2</v>
      </c>
      <c r="J147" s="37">
        <v>0.51</v>
      </c>
      <c r="K147" s="37">
        <v>0.25</v>
      </c>
      <c r="L147" s="37">
        <v>20</v>
      </c>
      <c r="M147" s="37">
        <v>190</v>
      </c>
      <c r="N147" s="37">
        <v>210</v>
      </c>
    </row>
    <row r="148" spans="1:14">
      <c r="A148" s="30">
        <v>147</v>
      </c>
      <c r="B148" s="31">
        <v>40550</v>
      </c>
      <c r="C148" s="30">
        <v>9</v>
      </c>
      <c r="D148" s="37" t="s">
        <v>28</v>
      </c>
      <c r="E148" s="37" t="b">
        <v>0</v>
      </c>
      <c r="F148" s="37" t="s">
        <v>24</v>
      </c>
      <c r="G148" s="37" t="s">
        <v>8</v>
      </c>
      <c r="H148" s="37">
        <v>0.18</v>
      </c>
      <c r="I148" s="30">
        <v>0.2</v>
      </c>
      <c r="J148" s="37">
        <v>0.47</v>
      </c>
      <c r="K148" s="37">
        <v>0.3</v>
      </c>
      <c r="L148" s="37">
        <v>9</v>
      </c>
      <c r="M148" s="37">
        <v>125</v>
      </c>
      <c r="N148" s="37">
        <v>134</v>
      </c>
    </row>
    <row r="149" spans="1:14">
      <c r="A149" s="30">
        <v>148</v>
      </c>
      <c r="B149" s="31">
        <v>40550</v>
      </c>
      <c r="C149" s="30">
        <v>10</v>
      </c>
      <c r="D149" s="37" t="s">
        <v>28</v>
      </c>
      <c r="E149" s="37" t="b">
        <v>0</v>
      </c>
      <c r="F149" s="37" t="s">
        <v>24</v>
      </c>
      <c r="G149" s="37" t="s">
        <v>8</v>
      </c>
      <c r="H149" s="37">
        <v>0.2</v>
      </c>
      <c r="I149" s="30">
        <v>0.22</v>
      </c>
      <c r="J149" s="37">
        <v>0.37</v>
      </c>
      <c r="K149" s="37">
        <v>0.33</v>
      </c>
      <c r="L149" s="37">
        <v>16</v>
      </c>
      <c r="M149" s="37">
        <v>47</v>
      </c>
      <c r="N149" s="37">
        <v>63</v>
      </c>
    </row>
    <row r="150" spans="1:14">
      <c r="A150" s="30">
        <v>149</v>
      </c>
      <c r="B150" s="31">
        <v>40550</v>
      </c>
      <c r="C150" s="30">
        <v>11</v>
      </c>
      <c r="D150" s="37" t="s">
        <v>28</v>
      </c>
      <c r="E150" s="37" t="b">
        <v>0</v>
      </c>
      <c r="F150" s="37" t="s">
        <v>24</v>
      </c>
      <c r="G150" s="37" t="s">
        <v>9</v>
      </c>
      <c r="H150" s="37">
        <v>0.2</v>
      </c>
      <c r="I150" s="30">
        <v>0.2</v>
      </c>
      <c r="J150" s="37">
        <v>0.4</v>
      </c>
      <c r="K150" s="37">
        <v>0.22</v>
      </c>
      <c r="L150" s="37">
        <v>19</v>
      </c>
      <c r="M150" s="37">
        <v>48</v>
      </c>
      <c r="N150" s="37">
        <v>67</v>
      </c>
    </row>
    <row r="151" spans="1:14">
      <c r="A151" s="30">
        <v>150</v>
      </c>
      <c r="B151" s="31">
        <v>40550</v>
      </c>
      <c r="C151" s="30">
        <v>12</v>
      </c>
      <c r="D151" s="37" t="s">
        <v>29</v>
      </c>
      <c r="E151" s="37" t="b">
        <v>0</v>
      </c>
      <c r="F151" s="37" t="s">
        <v>24</v>
      </c>
      <c r="G151" s="37" t="s">
        <v>9</v>
      </c>
      <c r="H151" s="37">
        <v>0.2</v>
      </c>
      <c r="I151" s="30">
        <v>0.2</v>
      </c>
      <c r="J151" s="37">
        <v>0.37</v>
      </c>
      <c r="K151" s="37">
        <v>0.25</v>
      </c>
      <c r="L151" s="37">
        <v>9</v>
      </c>
      <c r="M151" s="37">
        <v>50</v>
      </c>
      <c r="N151" s="37">
        <v>59</v>
      </c>
    </row>
    <row r="152" spans="1:14">
      <c r="A152" s="30">
        <v>151</v>
      </c>
      <c r="B152" s="31">
        <v>40550</v>
      </c>
      <c r="C152" s="30">
        <v>13</v>
      </c>
      <c r="D152" s="37" t="s">
        <v>29</v>
      </c>
      <c r="E152" s="37" t="b">
        <v>0</v>
      </c>
      <c r="F152" s="37" t="s">
        <v>24</v>
      </c>
      <c r="G152" s="37" t="s">
        <v>9</v>
      </c>
      <c r="H152" s="37">
        <v>0.18</v>
      </c>
      <c r="I152" s="30">
        <v>0.2</v>
      </c>
      <c r="J152" s="37">
        <v>0.37</v>
      </c>
      <c r="K152" s="37">
        <v>0.28000000000000003</v>
      </c>
      <c r="L152" s="37">
        <v>9</v>
      </c>
      <c r="M152" s="37">
        <v>64</v>
      </c>
      <c r="N152" s="37">
        <v>73</v>
      </c>
    </row>
    <row r="153" spans="1:14">
      <c r="A153" s="30">
        <v>152</v>
      </c>
      <c r="B153" s="31">
        <v>40550</v>
      </c>
      <c r="C153" s="30">
        <v>14</v>
      </c>
      <c r="D153" s="37" t="s">
        <v>29</v>
      </c>
      <c r="E153" s="37" t="b">
        <v>0</v>
      </c>
      <c r="F153" s="37" t="s">
        <v>24</v>
      </c>
      <c r="G153" s="37" t="s">
        <v>9</v>
      </c>
      <c r="H153" s="37">
        <v>0.2</v>
      </c>
      <c r="I153" s="30">
        <v>0.2</v>
      </c>
      <c r="J153" s="37">
        <v>0.4</v>
      </c>
      <c r="K153" s="37">
        <v>0.25</v>
      </c>
      <c r="L153" s="37">
        <v>7</v>
      </c>
      <c r="M153" s="37">
        <v>43</v>
      </c>
      <c r="N153" s="37">
        <v>50</v>
      </c>
    </row>
    <row r="154" spans="1:14">
      <c r="A154" s="30">
        <v>153</v>
      </c>
      <c r="B154" s="31">
        <v>40550</v>
      </c>
      <c r="C154" s="30">
        <v>15</v>
      </c>
      <c r="D154" s="37" t="s">
        <v>29</v>
      </c>
      <c r="E154" s="37" t="b">
        <v>0</v>
      </c>
      <c r="F154" s="37" t="s">
        <v>24</v>
      </c>
      <c r="G154" s="37" t="s">
        <v>9</v>
      </c>
      <c r="H154" s="37">
        <v>0.21</v>
      </c>
      <c r="I154" s="30">
        <v>0.2</v>
      </c>
      <c r="J154" s="37">
        <v>0.37</v>
      </c>
      <c r="K154" s="37">
        <v>0.16</v>
      </c>
      <c r="L154" s="37">
        <v>9</v>
      </c>
      <c r="M154" s="37">
        <v>63</v>
      </c>
      <c r="N154" s="37">
        <v>72</v>
      </c>
    </row>
    <row r="155" spans="1:14">
      <c r="A155" s="30">
        <v>154</v>
      </c>
      <c r="B155" s="31">
        <v>40550</v>
      </c>
      <c r="C155" s="30">
        <v>16</v>
      </c>
      <c r="D155" s="37" t="s">
        <v>29</v>
      </c>
      <c r="E155" s="37" t="b">
        <v>0</v>
      </c>
      <c r="F155" s="37" t="s">
        <v>24</v>
      </c>
      <c r="G155" s="37" t="s">
        <v>9</v>
      </c>
      <c r="H155" s="37">
        <v>0.21</v>
      </c>
      <c r="I155" s="30">
        <v>0.2</v>
      </c>
      <c r="J155" s="37">
        <v>0.37</v>
      </c>
      <c r="K155" s="37">
        <v>0.16</v>
      </c>
      <c r="L155" s="37">
        <v>5</v>
      </c>
      <c r="M155" s="37">
        <v>82</v>
      </c>
      <c r="N155" s="37">
        <v>87</v>
      </c>
    </row>
    <row r="156" spans="1:14">
      <c r="A156" s="30">
        <v>155</v>
      </c>
      <c r="B156" s="31">
        <v>40550</v>
      </c>
      <c r="C156" s="30">
        <v>17</v>
      </c>
      <c r="D156" s="37" t="s">
        <v>29</v>
      </c>
      <c r="E156" s="37" t="b">
        <v>0</v>
      </c>
      <c r="F156" s="37" t="s">
        <v>24</v>
      </c>
      <c r="G156" s="37" t="s">
        <v>9</v>
      </c>
      <c r="H156" s="37">
        <v>0.26</v>
      </c>
      <c r="I156" s="30">
        <v>0.2</v>
      </c>
      <c r="J156" s="37">
        <v>0.37</v>
      </c>
      <c r="K156" s="37">
        <v>0</v>
      </c>
      <c r="L156" s="37">
        <v>9</v>
      </c>
      <c r="M156" s="37">
        <v>178</v>
      </c>
      <c r="N156" s="37">
        <v>187</v>
      </c>
    </row>
    <row r="157" spans="1:14">
      <c r="A157" s="30">
        <v>156</v>
      </c>
      <c r="B157" s="31">
        <v>40550</v>
      </c>
      <c r="C157" s="30">
        <v>18</v>
      </c>
      <c r="D157" s="37" t="s">
        <v>30</v>
      </c>
      <c r="E157" s="37" t="b">
        <v>0</v>
      </c>
      <c r="F157" s="37" t="s">
        <v>24</v>
      </c>
      <c r="G157" s="37" t="s">
        <v>8</v>
      </c>
      <c r="H157" s="37">
        <v>0.23</v>
      </c>
      <c r="I157" s="30">
        <v>0.2</v>
      </c>
      <c r="J157" s="37">
        <v>0.4</v>
      </c>
      <c r="K157" s="37">
        <v>0.09</v>
      </c>
      <c r="L157" s="37">
        <v>7</v>
      </c>
      <c r="M157" s="37">
        <v>116</v>
      </c>
      <c r="N157" s="37">
        <v>123</v>
      </c>
    </row>
    <row r="158" spans="1:14">
      <c r="A158" s="30">
        <v>157</v>
      </c>
      <c r="B158" s="31">
        <v>40550</v>
      </c>
      <c r="C158" s="30">
        <v>19</v>
      </c>
      <c r="D158" s="37" t="s">
        <v>30</v>
      </c>
      <c r="E158" s="37" t="b">
        <v>0</v>
      </c>
      <c r="F158" s="37" t="s">
        <v>24</v>
      </c>
      <c r="G158" s="37" t="s">
        <v>8</v>
      </c>
      <c r="H158" s="37">
        <v>0.2</v>
      </c>
      <c r="I158" s="30">
        <v>0.16</v>
      </c>
      <c r="J158" s="37">
        <v>0.55000000000000004</v>
      </c>
      <c r="K158" s="37">
        <v>0.09</v>
      </c>
      <c r="L158" s="37">
        <v>3</v>
      </c>
      <c r="M158" s="37">
        <v>92</v>
      </c>
      <c r="N158" s="37">
        <v>95</v>
      </c>
    </row>
    <row r="159" spans="1:14">
      <c r="A159" s="30">
        <v>158</v>
      </c>
      <c r="B159" s="31">
        <v>40550</v>
      </c>
      <c r="C159" s="30">
        <v>20</v>
      </c>
      <c r="D159" s="37" t="s">
        <v>30</v>
      </c>
      <c r="E159" s="37" t="b">
        <v>0</v>
      </c>
      <c r="F159" s="37" t="s">
        <v>24</v>
      </c>
      <c r="G159" s="37" t="s">
        <v>8</v>
      </c>
      <c r="H159" s="37">
        <v>0.21</v>
      </c>
      <c r="I159" s="30">
        <v>0.18</v>
      </c>
      <c r="J159" s="37">
        <v>0.47</v>
      </c>
      <c r="K159" s="37">
        <v>0.1</v>
      </c>
      <c r="L159" s="37">
        <v>1</v>
      </c>
      <c r="M159" s="37">
        <v>50</v>
      </c>
      <c r="N159" s="37">
        <v>51</v>
      </c>
    </row>
    <row r="160" spans="1:14">
      <c r="A160" s="30">
        <v>159</v>
      </c>
      <c r="B160" s="31">
        <v>40550</v>
      </c>
      <c r="C160" s="30">
        <v>21</v>
      </c>
      <c r="D160" s="37" t="s">
        <v>30</v>
      </c>
      <c r="E160" s="37" t="b">
        <v>0</v>
      </c>
      <c r="F160" s="37" t="s">
        <v>24</v>
      </c>
      <c r="G160" s="37" t="s">
        <v>8</v>
      </c>
      <c r="H160" s="37">
        <v>0.2</v>
      </c>
      <c r="I160" s="30">
        <v>0.18</v>
      </c>
      <c r="J160" s="37">
        <v>0.47</v>
      </c>
      <c r="K160" s="37">
        <v>0.13</v>
      </c>
      <c r="L160" s="37">
        <v>0</v>
      </c>
      <c r="M160" s="37">
        <v>39</v>
      </c>
      <c r="N160" s="37">
        <v>39</v>
      </c>
    </row>
    <row r="161" spans="1:14">
      <c r="A161" s="30">
        <v>160</v>
      </c>
      <c r="B161" s="31">
        <v>40550</v>
      </c>
      <c r="C161" s="30">
        <v>22</v>
      </c>
      <c r="D161" s="37" t="s">
        <v>30</v>
      </c>
      <c r="E161" s="37" t="b">
        <v>0</v>
      </c>
      <c r="F161" s="37" t="s">
        <v>24</v>
      </c>
      <c r="G161" s="37" t="s">
        <v>9</v>
      </c>
      <c r="H161" s="37">
        <v>0.2</v>
      </c>
      <c r="I161" s="30">
        <v>0.18</v>
      </c>
      <c r="J161" s="37">
        <v>0.43</v>
      </c>
      <c r="K161" s="37">
        <v>0.16</v>
      </c>
      <c r="L161" s="37">
        <v>2</v>
      </c>
      <c r="M161" s="37">
        <v>34</v>
      </c>
      <c r="N161" s="37">
        <v>36</v>
      </c>
    </row>
    <row r="162" spans="1:14">
      <c r="A162" s="30">
        <v>161</v>
      </c>
      <c r="B162" s="31">
        <v>40550</v>
      </c>
      <c r="C162" s="30">
        <v>23</v>
      </c>
      <c r="D162" s="37" t="s">
        <v>30</v>
      </c>
      <c r="E162" s="37" t="b">
        <v>0</v>
      </c>
      <c r="F162" s="37" t="s">
        <v>24</v>
      </c>
      <c r="G162" s="37" t="s">
        <v>9</v>
      </c>
      <c r="H162" s="37">
        <v>0.2</v>
      </c>
      <c r="I162" s="30">
        <v>0.18</v>
      </c>
      <c r="J162" s="37">
        <v>0.51</v>
      </c>
      <c r="K162" s="37">
        <v>0.16</v>
      </c>
      <c r="L162" s="37">
        <v>1</v>
      </c>
      <c r="M162" s="37">
        <v>14</v>
      </c>
      <c r="N162" s="37">
        <v>15</v>
      </c>
    </row>
    <row r="163" spans="1:14">
      <c r="A163" s="30">
        <v>162</v>
      </c>
      <c r="B163" s="31">
        <v>40551</v>
      </c>
      <c r="C163" s="30">
        <v>0</v>
      </c>
      <c r="D163" s="37" t="s">
        <v>27</v>
      </c>
      <c r="E163" s="37" t="b">
        <v>0</v>
      </c>
      <c r="F163" s="37" t="s">
        <v>25</v>
      </c>
      <c r="G163" s="37" t="s">
        <v>9</v>
      </c>
      <c r="H163" s="37">
        <v>0.2</v>
      </c>
      <c r="I163" s="30">
        <v>0.18</v>
      </c>
      <c r="J163" s="37">
        <v>0.51</v>
      </c>
      <c r="K163" s="37">
        <v>0.16</v>
      </c>
      <c r="L163" s="37">
        <v>1</v>
      </c>
      <c r="M163" s="37">
        <v>24</v>
      </c>
      <c r="N163" s="37">
        <v>25</v>
      </c>
    </row>
    <row r="164" spans="1:14">
      <c r="A164" s="30">
        <v>163</v>
      </c>
      <c r="B164" s="31">
        <v>40551</v>
      </c>
      <c r="C164" s="30">
        <v>1</v>
      </c>
      <c r="D164" s="37" t="s">
        <v>27</v>
      </c>
      <c r="E164" s="37" t="b">
        <v>0</v>
      </c>
      <c r="F164" s="37" t="s">
        <v>25</v>
      </c>
      <c r="G164" s="37" t="s">
        <v>9</v>
      </c>
      <c r="H164" s="37">
        <v>0.21</v>
      </c>
      <c r="I164" s="30">
        <v>0.18</v>
      </c>
      <c r="J164" s="37">
        <v>0.55000000000000004</v>
      </c>
      <c r="K164" s="37">
        <v>0.09</v>
      </c>
      <c r="L164" s="37">
        <v>1</v>
      </c>
      <c r="M164" s="37">
        <v>15</v>
      </c>
      <c r="N164" s="37">
        <v>16</v>
      </c>
    </row>
    <row r="165" spans="1:14">
      <c r="A165" s="30">
        <v>164</v>
      </c>
      <c r="B165" s="31">
        <v>40551</v>
      </c>
      <c r="C165" s="30">
        <v>2</v>
      </c>
      <c r="D165" s="37" t="s">
        <v>27</v>
      </c>
      <c r="E165" s="37" t="b">
        <v>0</v>
      </c>
      <c r="F165" s="37" t="s">
        <v>25</v>
      </c>
      <c r="G165" s="37" t="s">
        <v>9</v>
      </c>
      <c r="H165" s="37">
        <v>0.24</v>
      </c>
      <c r="I165" s="30">
        <v>0.18</v>
      </c>
      <c r="J165" s="37">
        <v>0.55000000000000004</v>
      </c>
      <c r="K165" s="37">
        <v>0</v>
      </c>
      <c r="L165" s="37">
        <v>3</v>
      </c>
      <c r="M165" s="37">
        <v>13</v>
      </c>
      <c r="N165" s="37">
        <v>16</v>
      </c>
    </row>
    <row r="166" spans="1:14">
      <c r="A166" s="30">
        <v>165</v>
      </c>
      <c r="B166" s="31">
        <v>40551</v>
      </c>
      <c r="C166" s="30">
        <v>3</v>
      </c>
      <c r="D166" s="37" t="s">
        <v>27</v>
      </c>
      <c r="E166" s="37" t="b">
        <v>0</v>
      </c>
      <c r="F166" s="37" t="s">
        <v>25</v>
      </c>
      <c r="G166" s="37" t="s">
        <v>10</v>
      </c>
      <c r="H166" s="37">
        <v>0.2</v>
      </c>
      <c r="I166" s="30">
        <v>0.18</v>
      </c>
      <c r="J166" s="37">
        <v>0.55000000000000004</v>
      </c>
      <c r="K166" s="37">
        <v>0.16</v>
      </c>
      <c r="L166" s="37">
        <v>0</v>
      </c>
      <c r="M166" s="37">
        <v>7</v>
      </c>
      <c r="N166" s="37">
        <v>7</v>
      </c>
    </row>
    <row r="167" spans="1:14">
      <c r="A167" s="30">
        <v>166</v>
      </c>
      <c r="B167" s="31">
        <v>40551</v>
      </c>
      <c r="C167" s="30">
        <v>4</v>
      </c>
      <c r="D167" s="37" t="s">
        <v>27</v>
      </c>
      <c r="E167" s="37" t="b">
        <v>0</v>
      </c>
      <c r="F167" s="37" t="s">
        <v>25</v>
      </c>
      <c r="G167" s="37" t="s">
        <v>10</v>
      </c>
      <c r="H167" s="37">
        <v>0.2</v>
      </c>
      <c r="I167" s="30">
        <v>0.18</v>
      </c>
      <c r="J167" s="37">
        <v>0.55000000000000004</v>
      </c>
      <c r="K167" s="37">
        <v>0.16</v>
      </c>
      <c r="L167" s="37">
        <v>0</v>
      </c>
      <c r="M167" s="37">
        <v>1</v>
      </c>
      <c r="N167" s="37">
        <v>1</v>
      </c>
    </row>
    <row r="168" spans="1:14">
      <c r="A168" s="30">
        <v>167</v>
      </c>
      <c r="B168" s="31">
        <v>40551</v>
      </c>
      <c r="C168" s="30">
        <v>5</v>
      </c>
      <c r="D168" s="37" t="s">
        <v>27</v>
      </c>
      <c r="E168" s="37" t="b">
        <v>0</v>
      </c>
      <c r="F168" s="37" t="s">
        <v>25</v>
      </c>
      <c r="G168" s="37" t="s">
        <v>9</v>
      </c>
      <c r="H168" s="37">
        <v>0.17</v>
      </c>
      <c r="I168" s="30">
        <v>0.16</v>
      </c>
      <c r="J168" s="37">
        <v>0.74</v>
      </c>
      <c r="K168" s="37">
        <v>0.16</v>
      </c>
      <c r="L168" s="37">
        <v>0</v>
      </c>
      <c r="M168" s="37">
        <v>5</v>
      </c>
      <c r="N168" s="37">
        <v>5</v>
      </c>
    </row>
    <row r="169" spans="1:14">
      <c r="A169" s="30">
        <v>168</v>
      </c>
      <c r="B169" s="31">
        <v>40551</v>
      </c>
      <c r="C169" s="30">
        <v>6</v>
      </c>
      <c r="D169" s="37" t="s">
        <v>28</v>
      </c>
      <c r="E169" s="37" t="b">
        <v>0</v>
      </c>
      <c r="F169" s="37" t="s">
        <v>25</v>
      </c>
      <c r="G169" s="37" t="s">
        <v>9</v>
      </c>
      <c r="H169" s="37">
        <v>0.17</v>
      </c>
      <c r="I169" s="30">
        <v>0.16</v>
      </c>
      <c r="J169" s="37">
        <v>0.74</v>
      </c>
      <c r="K169" s="37">
        <v>0.16</v>
      </c>
      <c r="L169" s="37">
        <v>0</v>
      </c>
      <c r="M169" s="37">
        <v>2</v>
      </c>
      <c r="N169" s="37">
        <v>2</v>
      </c>
    </row>
    <row r="170" spans="1:14">
      <c r="A170" s="30">
        <v>169</v>
      </c>
      <c r="B170" s="31">
        <v>40551</v>
      </c>
      <c r="C170" s="30">
        <v>7</v>
      </c>
      <c r="D170" s="37" t="s">
        <v>28</v>
      </c>
      <c r="E170" s="37" t="b">
        <v>0</v>
      </c>
      <c r="F170" s="37" t="s">
        <v>25</v>
      </c>
      <c r="G170" s="37" t="s">
        <v>9</v>
      </c>
      <c r="H170" s="37">
        <v>0.18</v>
      </c>
      <c r="I170" s="30">
        <v>0.16</v>
      </c>
      <c r="J170" s="37">
        <v>0.74</v>
      </c>
      <c r="K170" s="37">
        <v>0.1</v>
      </c>
      <c r="L170" s="37">
        <v>1</v>
      </c>
      <c r="M170" s="37">
        <v>8</v>
      </c>
      <c r="N170" s="37">
        <v>9</v>
      </c>
    </row>
    <row r="171" spans="1:14">
      <c r="A171" s="30">
        <v>170</v>
      </c>
      <c r="B171" s="31">
        <v>40551</v>
      </c>
      <c r="C171" s="30">
        <v>8</v>
      </c>
      <c r="D171" s="37" t="s">
        <v>28</v>
      </c>
      <c r="E171" s="37" t="b">
        <v>0</v>
      </c>
      <c r="F171" s="37" t="s">
        <v>25</v>
      </c>
      <c r="G171" s="37" t="s">
        <v>10</v>
      </c>
      <c r="H171" s="37">
        <v>0.18</v>
      </c>
      <c r="I171" s="30">
        <v>0.16</v>
      </c>
      <c r="J171" s="37">
        <v>0.93</v>
      </c>
      <c r="K171" s="37">
        <v>0.1</v>
      </c>
      <c r="L171" s="37">
        <v>0</v>
      </c>
      <c r="M171" s="37">
        <v>15</v>
      </c>
      <c r="N171" s="37">
        <v>15</v>
      </c>
    </row>
    <row r="172" spans="1:14">
      <c r="A172" s="30">
        <v>171</v>
      </c>
      <c r="B172" s="31">
        <v>40551</v>
      </c>
      <c r="C172" s="30">
        <v>9</v>
      </c>
      <c r="D172" s="37" t="s">
        <v>28</v>
      </c>
      <c r="E172" s="37" t="b">
        <v>0</v>
      </c>
      <c r="F172" s="37" t="s">
        <v>25</v>
      </c>
      <c r="G172" s="37" t="s">
        <v>10</v>
      </c>
      <c r="H172" s="37">
        <v>0.18</v>
      </c>
      <c r="I172" s="30">
        <v>0.16</v>
      </c>
      <c r="J172" s="37">
        <v>0.93</v>
      </c>
      <c r="K172" s="37">
        <v>0.1</v>
      </c>
      <c r="L172" s="37">
        <v>0</v>
      </c>
      <c r="M172" s="37">
        <v>20</v>
      </c>
      <c r="N172" s="37">
        <v>20</v>
      </c>
    </row>
    <row r="173" spans="1:14">
      <c r="A173" s="30">
        <v>172</v>
      </c>
      <c r="B173" s="31">
        <v>40551</v>
      </c>
      <c r="C173" s="30">
        <v>10</v>
      </c>
      <c r="D173" s="37" t="s">
        <v>28</v>
      </c>
      <c r="E173" s="37" t="b">
        <v>0</v>
      </c>
      <c r="F173" s="37" t="s">
        <v>25</v>
      </c>
      <c r="G173" s="37" t="s">
        <v>9</v>
      </c>
      <c r="H173" s="37">
        <v>0.2</v>
      </c>
      <c r="I173" s="30">
        <v>0.18</v>
      </c>
      <c r="J173" s="37">
        <v>0.8</v>
      </c>
      <c r="K173" s="37">
        <v>0.16</v>
      </c>
      <c r="L173" s="37">
        <v>5</v>
      </c>
      <c r="M173" s="37">
        <v>56</v>
      </c>
      <c r="N173" s="37">
        <v>61</v>
      </c>
    </row>
    <row r="174" spans="1:14">
      <c r="A174" s="30">
        <v>173</v>
      </c>
      <c r="B174" s="31">
        <v>40551</v>
      </c>
      <c r="C174" s="30">
        <v>11</v>
      </c>
      <c r="D174" s="37" t="s">
        <v>28</v>
      </c>
      <c r="E174" s="37" t="b">
        <v>0</v>
      </c>
      <c r="F174" s="37" t="s">
        <v>25</v>
      </c>
      <c r="G174" s="37" t="s">
        <v>9</v>
      </c>
      <c r="H174" s="37">
        <v>0.18</v>
      </c>
      <c r="I174" s="30">
        <v>0.2</v>
      </c>
      <c r="J174" s="37">
        <v>0.69</v>
      </c>
      <c r="K174" s="37">
        <v>0.39</v>
      </c>
      <c r="L174" s="37">
        <v>2</v>
      </c>
      <c r="M174" s="37">
        <v>60</v>
      </c>
      <c r="N174" s="37">
        <v>62</v>
      </c>
    </row>
    <row r="175" spans="1:14">
      <c r="A175" s="30">
        <v>174</v>
      </c>
      <c r="B175" s="31">
        <v>40551</v>
      </c>
      <c r="C175" s="30">
        <v>12</v>
      </c>
      <c r="D175" s="37" t="s">
        <v>29</v>
      </c>
      <c r="E175" s="37" t="b">
        <v>0</v>
      </c>
      <c r="F175" s="37" t="s">
        <v>25</v>
      </c>
      <c r="G175" s="37" t="s">
        <v>9</v>
      </c>
      <c r="H175" s="37">
        <v>0.18</v>
      </c>
      <c r="I175" s="30">
        <v>0.2</v>
      </c>
      <c r="J175" s="37">
        <v>0.59</v>
      </c>
      <c r="K175" s="37">
        <v>0.36</v>
      </c>
      <c r="L175" s="37">
        <v>8</v>
      </c>
      <c r="M175" s="37">
        <v>90</v>
      </c>
      <c r="N175" s="37">
        <v>98</v>
      </c>
    </row>
    <row r="176" spans="1:14">
      <c r="A176" s="30">
        <v>175</v>
      </c>
      <c r="B176" s="31">
        <v>40551</v>
      </c>
      <c r="C176" s="30">
        <v>13</v>
      </c>
      <c r="D176" s="37" t="s">
        <v>29</v>
      </c>
      <c r="E176" s="37" t="b">
        <v>0</v>
      </c>
      <c r="F176" s="37" t="s">
        <v>25</v>
      </c>
      <c r="G176" s="37" t="s">
        <v>8</v>
      </c>
      <c r="H176" s="37">
        <v>0.18</v>
      </c>
      <c r="I176" s="30">
        <v>0.2</v>
      </c>
      <c r="J176" s="37">
        <v>0.44</v>
      </c>
      <c r="K176" s="37">
        <v>0.33</v>
      </c>
      <c r="L176" s="37">
        <v>7</v>
      </c>
      <c r="M176" s="37">
        <v>95</v>
      </c>
      <c r="N176" s="37">
        <v>102</v>
      </c>
    </row>
    <row r="177" spans="1:14">
      <c r="A177" s="30">
        <v>176</v>
      </c>
      <c r="B177" s="31">
        <v>40551</v>
      </c>
      <c r="C177" s="30">
        <v>14</v>
      </c>
      <c r="D177" s="37" t="s">
        <v>29</v>
      </c>
      <c r="E177" s="37" t="b">
        <v>0</v>
      </c>
      <c r="F177" s="37" t="s">
        <v>25</v>
      </c>
      <c r="G177" s="37" t="s">
        <v>8</v>
      </c>
      <c r="H177" s="37">
        <v>0.17</v>
      </c>
      <c r="I177" s="30">
        <v>0.2</v>
      </c>
      <c r="J177" s="37">
        <v>0.32</v>
      </c>
      <c r="K177" s="37">
        <v>0.49</v>
      </c>
      <c r="L177" s="37">
        <v>12</v>
      </c>
      <c r="M177" s="37">
        <v>83</v>
      </c>
      <c r="N177" s="37">
        <v>95</v>
      </c>
    </row>
    <row r="178" spans="1:14">
      <c r="A178" s="30">
        <v>177</v>
      </c>
      <c r="B178" s="31">
        <v>40551</v>
      </c>
      <c r="C178" s="30">
        <v>15</v>
      </c>
      <c r="D178" s="37" t="s">
        <v>29</v>
      </c>
      <c r="E178" s="37" t="b">
        <v>0</v>
      </c>
      <c r="F178" s="37" t="s">
        <v>25</v>
      </c>
      <c r="G178" s="37" t="s">
        <v>8</v>
      </c>
      <c r="H178" s="37">
        <v>0.17</v>
      </c>
      <c r="I178" s="30">
        <v>0.2</v>
      </c>
      <c r="J178" s="37">
        <v>0.32</v>
      </c>
      <c r="K178" s="37">
        <v>0.45</v>
      </c>
      <c r="L178" s="37">
        <v>5</v>
      </c>
      <c r="M178" s="37">
        <v>69</v>
      </c>
      <c r="N178" s="37">
        <v>74</v>
      </c>
    </row>
    <row r="179" spans="1:14">
      <c r="A179" s="30">
        <v>178</v>
      </c>
      <c r="B179" s="31">
        <v>40551</v>
      </c>
      <c r="C179" s="30">
        <v>16</v>
      </c>
      <c r="D179" s="37" t="s">
        <v>29</v>
      </c>
      <c r="E179" s="37" t="b">
        <v>0</v>
      </c>
      <c r="F179" s="37" t="s">
        <v>25</v>
      </c>
      <c r="G179" s="37" t="s">
        <v>8</v>
      </c>
      <c r="H179" s="37">
        <v>0.14000000000000001</v>
      </c>
      <c r="I179" s="30">
        <v>0.18</v>
      </c>
      <c r="J179" s="37">
        <v>0.28999999999999998</v>
      </c>
      <c r="K179" s="37">
        <v>0.45</v>
      </c>
      <c r="L179" s="37">
        <v>8</v>
      </c>
      <c r="M179" s="37">
        <v>68</v>
      </c>
      <c r="N179" s="37">
        <v>76</v>
      </c>
    </row>
    <row r="180" spans="1:14">
      <c r="A180" s="30">
        <v>179</v>
      </c>
      <c r="B180" s="31">
        <v>40551</v>
      </c>
      <c r="C180" s="30">
        <v>17</v>
      </c>
      <c r="D180" s="37" t="s">
        <v>29</v>
      </c>
      <c r="E180" s="37" t="b">
        <v>0</v>
      </c>
      <c r="F180" s="37" t="s">
        <v>25</v>
      </c>
      <c r="G180" s="37" t="s">
        <v>8</v>
      </c>
      <c r="H180" s="37">
        <v>0.12</v>
      </c>
      <c r="I180" s="30">
        <v>0.16</v>
      </c>
      <c r="J180" s="37">
        <v>0.37</v>
      </c>
      <c r="K180" s="37">
        <v>0.55000000000000004</v>
      </c>
      <c r="L180" s="37">
        <v>5</v>
      </c>
      <c r="M180" s="37">
        <v>64</v>
      </c>
      <c r="N180" s="37">
        <v>69</v>
      </c>
    </row>
    <row r="181" spans="1:14">
      <c r="A181" s="30">
        <v>180</v>
      </c>
      <c r="B181" s="31">
        <v>40551</v>
      </c>
      <c r="C181" s="30">
        <v>18</v>
      </c>
      <c r="D181" s="37" t="s">
        <v>30</v>
      </c>
      <c r="E181" s="37" t="b">
        <v>0</v>
      </c>
      <c r="F181" s="37" t="s">
        <v>25</v>
      </c>
      <c r="G181" s="37" t="s">
        <v>8</v>
      </c>
      <c r="H181" s="37">
        <v>0.12</v>
      </c>
      <c r="I181" s="30">
        <v>0.14000000000000001</v>
      </c>
      <c r="J181" s="37">
        <v>0.39</v>
      </c>
      <c r="K181" s="37">
        <v>0.3</v>
      </c>
      <c r="L181" s="37">
        <v>3</v>
      </c>
      <c r="M181" s="37">
        <v>52</v>
      </c>
      <c r="N181" s="37">
        <v>55</v>
      </c>
    </row>
    <row r="182" spans="1:14">
      <c r="A182" s="30">
        <v>181</v>
      </c>
      <c r="B182" s="31">
        <v>40551</v>
      </c>
      <c r="C182" s="30">
        <v>19</v>
      </c>
      <c r="D182" s="37" t="s">
        <v>30</v>
      </c>
      <c r="E182" s="37" t="b">
        <v>0</v>
      </c>
      <c r="F182" s="37" t="s">
        <v>25</v>
      </c>
      <c r="G182" s="37" t="s">
        <v>8</v>
      </c>
      <c r="H182" s="37">
        <v>0.12</v>
      </c>
      <c r="I182" s="30">
        <v>0.14000000000000001</v>
      </c>
      <c r="J182" s="37">
        <v>0.36</v>
      </c>
      <c r="K182" s="37">
        <v>0.25</v>
      </c>
      <c r="L182" s="37">
        <v>4</v>
      </c>
      <c r="M182" s="37">
        <v>26</v>
      </c>
      <c r="N182" s="37">
        <v>30</v>
      </c>
    </row>
    <row r="183" spans="1:14">
      <c r="A183" s="30">
        <v>182</v>
      </c>
      <c r="B183" s="31">
        <v>40551</v>
      </c>
      <c r="C183" s="30">
        <v>20</v>
      </c>
      <c r="D183" s="37" t="s">
        <v>30</v>
      </c>
      <c r="E183" s="37" t="b">
        <v>0</v>
      </c>
      <c r="F183" s="37" t="s">
        <v>25</v>
      </c>
      <c r="G183" s="37" t="s">
        <v>8</v>
      </c>
      <c r="H183" s="37">
        <v>0.12</v>
      </c>
      <c r="I183" s="30">
        <v>0.12</v>
      </c>
      <c r="J183" s="37">
        <v>0.36</v>
      </c>
      <c r="K183" s="37">
        <v>0.25</v>
      </c>
      <c r="L183" s="37">
        <v>0</v>
      </c>
      <c r="M183" s="37">
        <v>28</v>
      </c>
      <c r="N183" s="37">
        <v>28</v>
      </c>
    </row>
    <row r="184" spans="1:14">
      <c r="A184" s="30">
        <v>183</v>
      </c>
      <c r="B184" s="31">
        <v>40551</v>
      </c>
      <c r="C184" s="30">
        <v>21</v>
      </c>
      <c r="D184" s="37" t="s">
        <v>30</v>
      </c>
      <c r="E184" s="37" t="b">
        <v>0</v>
      </c>
      <c r="F184" s="37" t="s">
        <v>25</v>
      </c>
      <c r="G184" s="37" t="s">
        <v>8</v>
      </c>
      <c r="H184" s="37">
        <v>0.11</v>
      </c>
      <c r="I184" s="30">
        <v>0.12</v>
      </c>
      <c r="J184" s="37">
        <v>0.39</v>
      </c>
      <c r="K184" s="37">
        <v>0.36</v>
      </c>
      <c r="L184" s="37">
        <v>2</v>
      </c>
      <c r="M184" s="37">
        <v>35</v>
      </c>
      <c r="N184" s="37">
        <v>37</v>
      </c>
    </row>
    <row r="185" spans="1:14">
      <c r="A185" s="30">
        <v>184</v>
      </c>
      <c r="B185" s="31">
        <v>40551</v>
      </c>
      <c r="C185" s="30">
        <v>22</v>
      </c>
      <c r="D185" s="37" t="s">
        <v>30</v>
      </c>
      <c r="E185" s="37" t="b">
        <v>0</v>
      </c>
      <c r="F185" s="37" t="s">
        <v>25</v>
      </c>
      <c r="G185" s="37" t="s">
        <v>8</v>
      </c>
      <c r="H185" s="37">
        <v>0.11</v>
      </c>
      <c r="I185" s="30">
        <v>0.12</v>
      </c>
      <c r="J185" s="37">
        <v>0.36</v>
      </c>
      <c r="K185" s="37">
        <v>0.39</v>
      </c>
      <c r="L185" s="37">
        <v>1</v>
      </c>
      <c r="M185" s="37">
        <v>33</v>
      </c>
      <c r="N185" s="37">
        <v>34</v>
      </c>
    </row>
    <row r="186" spans="1:14">
      <c r="A186" s="30">
        <v>185</v>
      </c>
      <c r="B186" s="31">
        <v>40551</v>
      </c>
      <c r="C186" s="30">
        <v>23</v>
      </c>
      <c r="D186" s="37" t="s">
        <v>30</v>
      </c>
      <c r="E186" s="37" t="b">
        <v>0</v>
      </c>
      <c r="F186" s="37" t="s">
        <v>25</v>
      </c>
      <c r="G186" s="37" t="s">
        <v>8</v>
      </c>
      <c r="H186" s="37">
        <v>0.06</v>
      </c>
      <c r="I186" s="30">
        <v>0.1</v>
      </c>
      <c r="J186" s="37">
        <v>0.39</v>
      </c>
      <c r="K186" s="37">
        <v>0.45</v>
      </c>
      <c r="L186" s="37">
        <v>0</v>
      </c>
      <c r="M186" s="37">
        <v>22</v>
      </c>
      <c r="N186" s="37">
        <v>22</v>
      </c>
    </row>
    <row r="187" spans="1:14">
      <c r="A187" s="30">
        <v>186</v>
      </c>
      <c r="B187" s="31">
        <v>40552</v>
      </c>
      <c r="C187" s="30">
        <v>0</v>
      </c>
      <c r="D187" s="37" t="s">
        <v>27</v>
      </c>
      <c r="E187" s="37" t="b">
        <v>0</v>
      </c>
      <c r="F187" s="37" t="s">
        <v>19</v>
      </c>
      <c r="G187" s="37" t="s">
        <v>8</v>
      </c>
      <c r="H187" s="37">
        <v>0.08</v>
      </c>
      <c r="I187" s="30">
        <v>0.1</v>
      </c>
      <c r="J187" s="37">
        <v>0.42</v>
      </c>
      <c r="K187" s="37">
        <v>0.39</v>
      </c>
      <c r="L187" s="37">
        <v>1</v>
      </c>
      <c r="M187" s="37">
        <v>24</v>
      </c>
      <c r="N187" s="37">
        <v>25</v>
      </c>
    </row>
    <row r="188" spans="1:14">
      <c r="A188" s="30">
        <v>187</v>
      </c>
      <c r="B188" s="31">
        <v>40552</v>
      </c>
      <c r="C188" s="30">
        <v>1</v>
      </c>
      <c r="D188" s="37" t="s">
        <v>27</v>
      </c>
      <c r="E188" s="37" t="b">
        <v>0</v>
      </c>
      <c r="F188" s="37" t="s">
        <v>19</v>
      </c>
      <c r="G188" s="37" t="s">
        <v>8</v>
      </c>
      <c r="H188" s="37">
        <v>0.06</v>
      </c>
      <c r="I188" s="30">
        <v>0.1</v>
      </c>
      <c r="J188" s="37">
        <v>0.42</v>
      </c>
      <c r="K188" s="37">
        <v>0.46</v>
      </c>
      <c r="L188" s="37">
        <v>0</v>
      </c>
      <c r="M188" s="37">
        <v>12</v>
      </c>
      <c r="N188" s="37">
        <v>12</v>
      </c>
    </row>
    <row r="189" spans="1:14">
      <c r="A189" s="30">
        <v>188</v>
      </c>
      <c r="B189" s="31">
        <v>40552</v>
      </c>
      <c r="C189" s="30">
        <v>2</v>
      </c>
      <c r="D189" s="37" t="s">
        <v>27</v>
      </c>
      <c r="E189" s="37" t="b">
        <v>0</v>
      </c>
      <c r="F189" s="37" t="s">
        <v>19</v>
      </c>
      <c r="G189" s="37" t="s">
        <v>8</v>
      </c>
      <c r="H189" s="37">
        <v>0.06</v>
      </c>
      <c r="I189" s="30">
        <v>0.1</v>
      </c>
      <c r="J189" s="37">
        <v>0.46</v>
      </c>
      <c r="K189" s="37">
        <v>0.46</v>
      </c>
      <c r="L189" s="37">
        <v>0</v>
      </c>
      <c r="M189" s="37">
        <v>11</v>
      </c>
      <c r="N189" s="37">
        <v>11</v>
      </c>
    </row>
    <row r="190" spans="1:14">
      <c r="A190" s="30">
        <v>189</v>
      </c>
      <c r="B190" s="31">
        <v>40552</v>
      </c>
      <c r="C190" s="30">
        <v>3</v>
      </c>
      <c r="D190" s="37" t="s">
        <v>27</v>
      </c>
      <c r="E190" s="37" t="b">
        <v>0</v>
      </c>
      <c r="F190" s="37" t="s">
        <v>19</v>
      </c>
      <c r="G190" s="37" t="s">
        <v>8</v>
      </c>
      <c r="H190" s="37">
        <v>0.08</v>
      </c>
      <c r="I190" s="30">
        <v>0.1</v>
      </c>
      <c r="J190" s="37">
        <v>0.46</v>
      </c>
      <c r="K190" s="37">
        <v>0.42</v>
      </c>
      <c r="L190" s="37">
        <v>0</v>
      </c>
      <c r="M190" s="37">
        <v>4</v>
      </c>
      <c r="N190" s="37">
        <v>4</v>
      </c>
    </row>
    <row r="191" spans="1:14">
      <c r="A191" s="30">
        <v>190</v>
      </c>
      <c r="B191" s="31">
        <v>40552</v>
      </c>
      <c r="C191" s="30">
        <v>4</v>
      </c>
      <c r="D191" s="37" t="s">
        <v>27</v>
      </c>
      <c r="E191" s="37" t="b">
        <v>0</v>
      </c>
      <c r="F191" s="37" t="s">
        <v>19</v>
      </c>
      <c r="G191" s="37" t="s">
        <v>8</v>
      </c>
      <c r="H191" s="37">
        <v>0.09</v>
      </c>
      <c r="I191" s="30">
        <v>0.08</v>
      </c>
      <c r="J191" s="37">
        <v>0.53</v>
      </c>
      <c r="K191" s="37">
        <v>0.19</v>
      </c>
      <c r="L191" s="37">
        <v>0</v>
      </c>
      <c r="M191" s="37">
        <v>1</v>
      </c>
      <c r="N191" s="37">
        <v>1</v>
      </c>
    </row>
    <row r="192" spans="1:14">
      <c r="A192" s="30">
        <v>191</v>
      </c>
      <c r="B192" s="31">
        <v>40552</v>
      </c>
      <c r="C192" s="30">
        <v>5</v>
      </c>
      <c r="D192" s="37" t="s">
        <v>27</v>
      </c>
      <c r="E192" s="37" t="b">
        <v>0</v>
      </c>
      <c r="F192" s="37" t="s">
        <v>19</v>
      </c>
      <c r="G192" s="37" t="s">
        <v>8</v>
      </c>
      <c r="H192" s="37">
        <v>0.09</v>
      </c>
      <c r="I192" s="30">
        <v>0.08</v>
      </c>
      <c r="J192" s="37">
        <v>0.53</v>
      </c>
      <c r="K192" s="37">
        <v>0.19</v>
      </c>
      <c r="L192" s="37">
        <v>0</v>
      </c>
      <c r="M192" s="37">
        <v>1</v>
      </c>
      <c r="N192" s="37">
        <v>1</v>
      </c>
    </row>
    <row r="193" spans="1:14">
      <c r="A193" s="30">
        <v>192</v>
      </c>
      <c r="B193" s="31">
        <v>40552</v>
      </c>
      <c r="C193" s="30">
        <v>6</v>
      </c>
      <c r="D193" s="37" t="s">
        <v>28</v>
      </c>
      <c r="E193" s="37" t="b">
        <v>0</v>
      </c>
      <c r="F193" s="37" t="s">
        <v>19</v>
      </c>
      <c r="G193" s="37" t="s">
        <v>8</v>
      </c>
      <c r="H193" s="37">
        <v>0.09</v>
      </c>
      <c r="I193" s="30">
        <v>0.1</v>
      </c>
      <c r="J193" s="37">
        <v>0.49</v>
      </c>
      <c r="K193" s="37">
        <v>0.28000000000000003</v>
      </c>
      <c r="L193" s="37">
        <v>0</v>
      </c>
      <c r="M193" s="37">
        <v>1</v>
      </c>
      <c r="N193" s="37">
        <v>1</v>
      </c>
    </row>
    <row r="194" spans="1:14">
      <c r="A194" s="30">
        <v>193</v>
      </c>
      <c r="B194" s="31">
        <v>40552</v>
      </c>
      <c r="C194" s="30">
        <v>7</v>
      </c>
      <c r="D194" s="37" t="s">
        <v>28</v>
      </c>
      <c r="E194" s="37" t="b">
        <v>0</v>
      </c>
      <c r="F194" s="37" t="s">
        <v>19</v>
      </c>
      <c r="G194" s="37" t="s">
        <v>8</v>
      </c>
      <c r="H194" s="37">
        <v>0.09</v>
      </c>
      <c r="I194" s="30">
        <v>0.08</v>
      </c>
      <c r="J194" s="37">
        <v>0.53</v>
      </c>
      <c r="K194" s="37">
        <v>0.19</v>
      </c>
      <c r="L194" s="37">
        <v>1</v>
      </c>
      <c r="M194" s="37">
        <v>5</v>
      </c>
      <c r="N194" s="37">
        <v>6</v>
      </c>
    </row>
    <row r="195" spans="1:14">
      <c r="A195" s="30">
        <v>194</v>
      </c>
      <c r="B195" s="31">
        <v>40552</v>
      </c>
      <c r="C195" s="30">
        <v>8</v>
      </c>
      <c r="D195" s="37" t="s">
        <v>28</v>
      </c>
      <c r="E195" s="37" t="b">
        <v>0</v>
      </c>
      <c r="F195" s="37" t="s">
        <v>19</v>
      </c>
      <c r="G195" s="37" t="s">
        <v>8</v>
      </c>
      <c r="H195" s="37">
        <v>0.09</v>
      </c>
      <c r="I195" s="30">
        <v>0.1</v>
      </c>
      <c r="J195" s="37">
        <v>0.49</v>
      </c>
      <c r="K195" s="37">
        <v>0.28000000000000003</v>
      </c>
      <c r="L195" s="37">
        <v>0</v>
      </c>
      <c r="M195" s="37">
        <v>10</v>
      </c>
      <c r="N195" s="37">
        <v>10</v>
      </c>
    </row>
    <row r="196" spans="1:14">
      <c r="A196" s="30">
        <v>195</v>
      </c>
      <c r="B196" s="31">
        <v>40552</v>
      </c>
      <c r="C196" s="30">
        <v>9</v>
      </c>
      <c r="D196" s="37" t="s">
        <v>28</v>
      </c>
      <c r="E196" s="37" t="b">
        <v>0</v>
      </c>
      <c r="F196" s="37" t="s">
        <v>19</v>
      </c>
      <c r="G196" s="37" t="s">
        <v>8</v>
      </c>
      <c r="H196" s="37">
        <v>0.08</v>
      </c>
      <c r="I196" s="30">
        <v>0.12</v>
      </c>
      <c r="J196" s="37">
        <v>0.46</v>
      </c>
      <c r="K196" s="37">
        <v>0.52</v>
      </c>
      <c r="L196" s="37">
        <v>0</v>
      </c>
      <c r="M196" s="37">
        <v>19</v>
      </c>
      <c r="N196" s="37">
        <v>19</v>
      </c>
    </row>
    <row r="197" spans="1:14">
      <c r="A197" s="30">
        <v>196</v>
      </c>
      <c r="B197" s="31">
        <v>40552</v>
      </c>
      <c r="C197" s="30">
        <v>10</v>
      </c>
      <c r="D197" s="37" t="s">
        <v>28</v>
      </c>
      <c r="E197" s="37" t="b">
        <v>0</v>
      </c>
      <c r="F197" s="37" t="s">
        <v>19</v>
      </c>
      <c r="G197" s="37" t="s">
        <v>8</v>
      </c>
      <c r="H197" s="37">
        <v>0.11</v>
      </c>
      <c r="I197" s="30">
        <v>0.14000000000000001</v>
      </c>
      <c r="J197" s="37">
        <v>0.43</v>
      </c>
      <c r="K197" s="37">
        <v>0.39</v>
      </c>
      <c r="L197" s="37">
        <v>0</v>
      </c>
      <c r="M197" s="37">
        <v>49</v>
      </c>
      <c r="N197" s="37">
        <v>49</v>
      </c>
    </row>
    <row r="198" spans="1:14">
      <c r="A198" s="30">
        <v>197</v>
      </c>
      <c r="B198" s="31">
        <v>40552</v>
      </c>
      <c r="C198" s="30">
        <v>11</v>
      </c>
      <c r="D198" s="37" t="s">
        <v>28</v>
      </c>
      <c r="E198" s="37" t="b">
        <v>0</v>
      </c>
      <c r="F198" s="37" t="s">
        <v>19</v>
      </c>
      <c r="G198" s="37" t="s">
        <v>8</v>
      </c>
      <c r="H198" s="37">
        <v>0.12</v>
      </c>
      <c r="I198" s="30">
        <v>0.16</v>
      </c>
      <c r="J198" s="37">
        <v>0.4</v>
      </c>
      <c r="K198" s="37">
        <v>0.52</v>
      </c>
      <c r="L198" s="37">
        <v>2</v>
      </c>
      <c r="M198" s="37">
        <v>47</v>
      </c>
      <c r="N198" s="37">
        <v>49</v>
      </c>
    </row>
    <row r="199" spans="1:14">
      <c r="A199" s="30">
        <v>198</v>
      </c>
      <c r="B199" s="31">
        <v>40552</v>
      </c>
      <c r="C199" s="30">
        <v>12</v>
      </c>
      <c r="D199" s="37" t="s">
        <v>29</v>
      </c>
      <c r="E199" s="37" t="b">
        <v>0</v>
      </c>
      <c r="F199" s="37" t="s">
        <v>19</v>
      </c>
      <c r="G199" s="37" t="s">
        <v>8</v>
      </c>
      <c r="H199" s="37">
        <v>0.14000000000000001</v>
      </c>
      <c r="I199" s="30">
        <v>0.18</v>
      </c>
      <c r="J199" s="37">
        <v>0.37</v>
      </c>
      <c r="K199" s="37">
        <v>0.45</v>
      </c>
      <c r="L199" s="37">
        <v>4</v>
      </c>
      <c r="M199" s="37">
        <v>79</v>
      </c>
      <c r="N199" s="37">
        <v>83</v>
      </c>
    </row>
    <row r="200" spans="1:14">
      <c r="A200" s="30">
        <v>199</v>
      </c>
      <c r="B200" s="31">
        <v>40552</v>
      </c>
      <c r="C200" s="30">
        <v>13</v>
      </c>
      <c r="D200" s="37" t="s">
        <v>29</v>
      </c>
      <c r="E200" s="37" t="b">
        <v>0</v>
      </c>
      <c r="F200" s="37" t="s">
        <v>19</v>
      </c>
      <c r="G200" s="37" t="s">
        <v>8</v>
      </c>
      <c r="H200" s="37">
        <v>0.17</v>
      </c>
      <c r="I200" s="30">
        <v>0.2</v>
      </c>
      <c r="J200" s="37">
        <v>0.34</v>
      </c>
      <c r="K200" s="37">
        <v>0.45</v>
      </c>
      <c r="L200" s="37">
        <v>6</v>
      </c>
      <c r="M200" s="37">
        <v>69</v>
      </c>
      <c r="N200" s="37">
        <v>75</v>
      </c>
    </row>
    <row r="201" spans="1:14">
      <c r="A201" s="30">
        <v>200</v>
      </c>
      <c r="B201" s="31">
        <v>40552</v>
      </c>
      <c r="C201" s="30">
        <v>14</v>
      </c>
      <c r="D201" s="37" t="s">
        <v>29</v>
      </c>
      <c r="E201" s="37" t="b">
        <v>0</v>
      </c>
      <c r="F201" s="37" t="s">
        <v>19</v>
      </c>
      <c r="G201" s="37" t="s">
        <v>8</v>
      </c>
      <c r="H201" s="37">
        <v>0.18</v>
      </c>
      <c r="I201" s="30">
        <v>0.22</v>
      </c>
      <c r="J201" s="37">
        <v>0.32</v>
      </c>
      <c r="K201" s="37">
        <v>0.46</v>
      </c>
      <c r="L201" s="37">
        <v>8</v>
      </c>
      <c r="M201" s="37">
        <v>64</v>
      </c>
      <c r="N201" s="37">
        <v>72</v>
      </c>
    </row>
    <row r="202" spans="1:14">
      <c r="A202" s="30">
        <v>201</v>
      </c>
      <c r="B202" s="31">
        <v>40552</v>
      </c>
      <c r="C202" s="30">
        <v>15</v>
      </c>
      <c r="D202" s="37" t="s">
        <v>29</v>
      </c>
      <c r="E202" s="37" t="b">
        <v>0</v>
      </c>
      <c r="F202" s="37" t="s">
        <v>19</v>
      </c>
      <c r="G202" s="37" t="s">
        <v>8</v>
      </c>
      <c r="H202" s="37">
        <v>0.2</v>
      </c>
      <c r="I202" s="30">
        <v>0.22</v>
      </c>
      <c r="J202" s="37">
        <v>0.35</v>
      </c>
      <c r="K202" s="37">
        <v>0.36</v>
      </c>
      <c r="L202" s="37">
        <v>5</v>
      </c>
      <c r="M202" s="37">
        <v>77</v>
      </c>
      <c r="N202" s="37">
        <v>82</v>
      </c>
    </row>
    <row r="203" spans="1:14">
      <c r="A203" s="30">
        <v>202</v>
      </c>
      <c r="B203" s="31">
        <v>40552</v>
      </c>
      <c r="C203" s="30">
        <v>16</v>
      </c>
      <c r="D203" s="37" t="s">
        <v>29</v>
      </c>
      <c r="E203" s="37" t="b">
        <v>0</v>
      </c>
      <c r="F203" s="37" t="s">
        <v>19</v>
      </c>
      <c r="G203" s="37" t="s">
        <v>8</v>
      </c>
      <c r="H203" s="37">
        <v>0.17</v>
      </c>
      <c r="I203" s="30">
        <v>0.2</v>
      </c>
      <c r="J203" s="37">
        <v>0.34</v>
      </c>
      <c r="K203" s="37">
        <v>0.45</v>
      </c>
      <c r="L203" s="37">
        <v>13</v>
      </c>
      <c r="M203" s="37">
        <v>79</v>
      </c>
      <c r="N203" s="37">
        <v>92</v>
      </c>
    </row>
    <row r="204" spans="1:14">
      <c r="A204" s="30">
        <v>203</v>
      </c>
      <c r="B204" s="31">
        <v>40552</v>
      </c>
      <c r="C204" s="30">
        <v>17</v>
      </c>
      <c r="D204" s="37" t="s">
        <v>29</v>
      </c>
      <c r="E204" s="37" t="b">
        <v>0</v>
      </c>
      <c r="F204" s="37" t="s">
        <v>19</v>
      </c>
      <c r="G204" s="37" t="s">
        <v>8</v>
      </c>
      <c r="H204" s="37">
        <v>0.15</v>
      </c>
      <c r="I204" s="30">
        <v>0.18</v>
      </c>
      <c r="J204" s="37">
        <v>0.37</v>
      </c>
      <c r="K204" s="37">
        <v>0.39</v>
      </c>
      <c r="L204" s="37">
        <v>3</v>
      </c>
      <c r="M204" s="37">
        <v>59</v>
      </c>
      <c r="N204" s="37">
        <v>62</v>
      </c>
    </row>
    <row r="205" spans="1:14">
      <c r="A205" s="30">
        <v>204</v>
      </c>
      <c r="B205" s="31">
        <v>40552</v>
      </c>
      <c r="C205" s="30">
        <v>18</v>
      </c>
      <c r="D205" s="37" t="s">
        <v>30</v>
      </c>
      <c r="E205" s="37" t="b">
        <v>0</v>
      </c>
      <c r="F205" s="37" t="s">
        <v>19</v>
      </c>
      <c r="G205" s="37" t="s">
        <v>8</v>
      </c>
      <c r="H205" s="37">
        <v>0.14000000000000001</v>
      </c>
      <c r="I205" s="30">
        <v>0.16</v>
      </c>
      <c r="J205" s="37">
        <v>0.4</v>
      </c>
      <c r="K205" s="37">
        <v>0.33</v>
      </c>
      <c r="L205" s="37">
        <v>4</v>
      </c>
      <c r="M205" s="37">
        <v>44</v>
      </c>
      <c r="N205" s="37">
        <v>48</v>
      </c>
    </row>
    <row r="206" spans="1:14">
      <c r="A206" s="30">
        <v>205</v>
      </c>
      <c r="B206" s="31">
        <v>40552</v>
      </c>
      <c r="C206" s="30">
        <v>19</v>
      </c>
      <c r="D206" s="37" t="s">
        <v>30</v>
      </c>
      <c r="E206" s="37" t="b">
        <v>0</v>
      </c>
      <c r="F206" s="37" t="s">
        <v>19</v>
      </c>
      <c r="G206" s="37" t="s">
        <v>8</v>
      </c>
      <c r="H206" s="37">
        <v>0.14000000000000001</v>
      </c>
      <c r="I206" s="30">
        <v>0.16</v>
      </c>
      <c r="J206" s="37">
        <v>0.43</v>
      </c>
      <c r="K206" s="37">
        <v>0.33</v>
      </c>
      <c r="L206" s="37">
        <v>1</v>
      </c>
      <c r="M206" s="37">
        <v>40</v>
      </c>
      <c r="N206" s="37">
        <v>41</v>
      </c>
    </row>
    <row r="207" spans="1:14">
      <c r="A207" s="30">
        <v>206</v>
      </c>
      <c r="B207" s="31">
        <v>40552</v>
      </c>
      <c r="C207" s="30">
        <v>20</v>
      </c>
      <c r="D207" s="37" t="s">
        <v>30</v>
      </c>
      <c r="E207" s="37" t="b">
        <v>0</v>
      </c>
      <c r="F207" s="37" t="s">
        <v>19</v>
      </c>
      <c r="G207" s="37" t="s">
        <v>8</v>
      </c>
      <c r="H207" s="37">
        <v>0.12</v>
      </c>
      <c r="I207" s="30">
        <v>0.14000000000000001</v>
      </c>
      <c r="J207" s="37">
        <v>0.46</v>
      </c>
      <c r="K207" s="37">
        <v>0.25</v>
      </c>
      <c r="L207" s="37">
        <v>0</v>
      </c>
      <c r="M207" s="37">
        <v>38</v>
      </c>
      <c r="N207" s="37">
        <v>38</v>
      </c>
    </row>
    <row r="208" spans="1:14">
      <c r="A208" s="30">
        <v>207</v>
      </c>
      <c r="B208" s="31">
        <v>40552</v>
      </c>
      <c r="C208" s="30">
        <v>21</v>
      </c>
      <c r="D208" s="37" t="s">
        <v>30</v>
      </c>
      <c r="E208" s="37" t="b">
        <v>0</v>
      </c>
      <c r="F208" s="37" t="s">
        <v>19</v>
      </c>
      <c r="G208" s="37" t="s">
        <v>8</v>
      </c>
      <c r="H208" s="37">
        <v>0.11</v>
      </c>
      <c r="I208" s="30">
        <v>0.14000000000000001</v>
      </c>
      <c r="J208" s="37">
        <v>0.46</v>
      </c>
      <c r="K208" s="37">
        <v>0.42</v>
      </c>
      <c r="L208" s="37">
        <v>1</v>
      </c>
      <c r="M208" s="37">
        <v>19</v>
      </c>
      <c r="N208" s="37">
        <v>20</v>
      </c>
    </row>
    <row r="209" spans="1:14">
      <c r="A209" s="30">
        <v>208</v>
      </c>
      <c r="B209" s="31">
        <v>40552</v>
      </c>
      <c r="C209" s="30">
        <v>22</v>
      </c>
      <c r="D209" s="37" t="s">
        <v>30</v>
      </c>
      <c r="E209" s="37" t="b">
        <v>0</v>
      </c>
      <c r="F209" s="37" t="s">
        <v>19</v>
      </c>
      <c r="G209" s="37" t="s">
        <v>8</v>
      </c>
      <c r="H209" s="37">
        <v>0.12</v>
      </c>
      <c r="I209" s="30">
        <v>0.14000000000000001</v>
      </c>
      <c r="J209" s="37">
        <v>0.46</v>
      </c>
      <c r="K209" s="37">
        <v>0.3</v>
      </c>
      <c r="L209" s="37">
        <v>5</v>
      </c>
      <c r="M209" s="37">
        <v>10</v>
      </c>
      <c r="N209" s="37">
        <v>15</v>
      </c>
    </row>
    <row r="210" spans="1:14">
      <c r="A210" s="30">
        <v>209</v>
      </c>
      <c r="B210" s="31">
        <v>40552</v>
      </c>
      <c r="C210" s="30">
        <v>23</v>
      </c>
      <c r="D210" s="37" t="s">
        <v>30</v>
      </c>
      <c r="E210" s="37" t="b">
        <v>0</v>
      </c>
      <c r="F210" s="37" t="s">
        <v>19</v>
      </c>
      <c r="G210" s="37" t="s">
        <v>8</v>
      </c>
      <c r="H210" s="37">
        <v>0.14000000000000001</v>
      </c>
      <c r="I210" s="30">
        <v>0.12</v>
      </c>
      <c r="J210" s="37">
        <v>0.5</v>
      </c>
      <c r="K210" s="37">
        <v>0.19</v>
      </c>
      <c r="L210" s="37">
        <v>0</v>
      </c>
      <c r="M210" s="37">
        <v>6</v>
      </c>
      <c r="N210" s="37">
        <v>6</v>
      </c>
    </row>
    <row r="211" spans="1:14">
      <c r="A211" s="30">
        <v>210</v>
      </c>
      <c r="B211" s="31">
        <v>40553</v>
      </c>
      <c r="C211" s="30">
        <v>0</v>
      </c>
      <c r="D211" s="37" t="s">
        <v>27</v>
      </c>
      <c r="E211" s="37" t="b">
        <v>0</v>
      </c>
      <c r="F211" s="37" t="s">
        <v>20</v>
      </c>
      <c r="G211" s="37" t="s">
        <v>8</v>
      </c>
      <c r="H211" s="37">
        <v>0.12</v>
      </c>
      <c r="I211" s="30">
        <v>0.12</v>
      </c>
      <c r="J211" s="37">
        <v>0.5</v>
      </c>
      <c r="K211" s="37">
        <v>0.28000000000000003</v>
      </c>
      <c r="L211" s="37">
        <v>2</v>
      </c>
      <c r="M211" s="37">
        <v>3</v>
      </c>
      <c r="N211" s="37">
        <v>5</v>
      </c>
    </row>
    <row r="212" spans="1:14">
      <c r="A212" s="30">
        <v>211</v>
      </c>
      <c r="B212" s="31">
        <v>40553</v>
      </c>
      <c r="C212" s="30">
        <v>1</v>
      </c>
      <c r="D212" s="37" t="s">
        <v>27</v>
      </c>
      <c r="E212" s="37" t="b">
        <v>0</v>
      </c>
      <c r="F212" s="37" t="s">
        <v>20</v>
      </c>
      <c r="G212" s="37" t="s">
        <v>8</v>
      </c>
      <c r="H212" s="37">
        <v>0.12</v>
      </c>
      <c r="I212" s="30">
        <v>0.12</v>
      </c>
      <c r="J212" s="37">
        <v>0.5</v>
      </c>
      <c r="K212" s="37">
        <v>0.28000000000000003</v>
      </c>
      <c r="L212" s="37">
        <v>1</v>
      </c>
      <c r="M212" s="37">
        <v>0</v>
      </c>
      <c r="N212" s="37">
        <v>1</v>
      </c>
    </row>
    <row r="213" spans="1:14">
      <c r="A213" s="30">
        <v>212</v>
      </c>
      <c r="B213" s="31">
        <v>40553</v>
      </c>
      <c r="C213" s="30">
        <v>2</v>
      </c>
      <c r="D213" s="37" t="s">
        <v>27</v>
      </c>
      <c r="E213" s="37" t="b">
        <v>0</v>
      </c>
      <c r="F213" s="37" t="s">
        <v>20</v>
      </c>
      <c r="G213" s="37" t="s">
        <v>8</v>
      </c>
      <c r="H213" s="37">
        <v>0.12</v>
      </c>
      <c r="I213" s="30">
        <v>0.12</v>
      </c>
      <c r="J213" s="37">
        <v>0.5</v>
      </c>
      <c r="K213" s="37">
        <v>0.22</v>
      </c>
      <c r="L213" s="37">
        <v>0</v>
      </c>
      <c r="M213" s="37">
        <v>3</v>
      </c>
      <c r="N213" s="37">
        <v>3</v>
      </c>
    </row>
    <row r="214" spans="1:14">
      <c r="A214" s="30">
        <v>213</v>
      </c>
      <c r="B214" s="31">
        <v>40553</v>
      </c>
      <c r="C214" s="30">
        <v>3</v>
      </c>
      <c r="D214" s="37" t="s">
        <v>27</v>
      </c>
      <c r="E214" s="37" t="b">
        <v>0</v>
      </c>
      <c r="F214" s="37" t="s">
        <v>20</v>
      </c>
      <c r="G214" s="37" t="s">
        <v>8</v>
      </c>
      <c r="H214" s="37">
        <v>0.12</v>
      </c>
      <c r="I214" s="30">
        <v>0.12</v>
      </c>
      <c r="J214" s="37">
        <v>0.5</v>
      </c>
      <c r="K214" s="37">
        <v>0.22</v>
      </c>
      <c r="L214" s="37">
        <v>0</v>
      </c>
      <c r="M214" s="37">
        <v>1</v>
      </c>
      <c r="N214" s="37">
        <v>1</v>
      </c>
    </row>
    <row r="215" spans="1:14">
      <c r="A215" s="30">
        <v>214</v>
      </c>
      <c r="B215" s="31">
        <v>40553</v>
      </c>
      <c r="C215" s="30">
        <v>4</v>
      </c>
      <c r="D215" s="37" t="s">
        <v>27</v>
      </c>
      <c r="E215" s="37" t="b">
        <v>0</v>
      </c>
      <c r="F215" s="37" t="s">
        <v>20</v>
      </c>
      <c r="G215" s="37" t="s">
        <v>8</v>
      </c>
      <c r="H215" s="37">
        <v>0.12</v>
      </c>
      <c r="I215" s="30">
        <v>0.1</v>
      </c>
      <c r="J215" s="37">
        <v>0.54</v>
      </c>
      <c r="K215" s="37">
        <v>0.13</v>
      </c>
      <c r="L215" s="37">
        <v>1</v>
      </c>
      <c r="M215" s="37">
        <v>2</v>
      </c>
      <c r="N215" s="37">
        <v>3</v>
      </c>
    </row>
    <row r="216" spans="1:14">
      <c r="A216" s="30">
        <v>215</v>
      </c>
      <c r="B216" s="31">
        <v>40553</v>
      </c>
      <c r="C216" s="30">
        <v>5</v>
      </c>
      <c r="D216" s="37" t="s">
        <v>27</v>
      </c>
      <c r="E216" s="37" t="b">
        <v>0</v>
      </c>
      <c r="F216" s="37" t="s">
        <v>20</v>
      </c>
      <c r="G216" s="37" t="s">
        <v>8</v>
      </c>
      <c r="H216" s="37">
        <v>0.11</v>
      </c>
      <c r="I216" s="30">
        <v>0.1</v>
      </c>
      <c r="J216" s="37">
        <v>0.54</v>
      </c>
      <c r="K216" s="37">
        <v>0.25</v>
      </c>
      <c r="L216" s="37">
        <v>0</v>
      </c>
      <c r="M216" s="37">
        <v>3</v>
      </c>
      <c r="N216" s="37">
        <v>3</v>
      </c>
    </row>
    <row r="217" spans="1:14">
      <c r="A217" s="30">
        <v>216</v>
      </c>
      <c r="B217" s="31">
        <v>40553</v>
      </c>
      <c r="C217" s="30">
        <v>6</v>
      </c>
      <c r="D217" s="37" t="s">
        <v>28</v>
      </c>
      <c r="E217" s="37" t="b">
        <v>0</v>
      </c>
      <c r="F217" s="37" t="s">
        <v>20</v>
      </c>
      <c r="G217" s="37" t="s">
        <v>8</v>
      </c>
      <c r="H217" s="37">
        <v>0.12</v>
      </c>
      <c r="I217" s="30">
        <v>0.12</v>
      </c>
      <c r="J217" s="37">
        <v>0.5</v>
      </c>
      <c r="K217" s="37">
        <v>0.28000000000000003</v>
      </c>
      <c r="L217" s="37">
        <v>0</v>
      </c>
      <c r="M217" s="37">
        <v>31</v>
      </c>
      <c r="N217" s="37">
        <v>31</v>
      </c>
    </row>
    <row r="218" spans="1:14">
      <c r="A218" s="30">
        <v>217</v>
      </c>
      <c r="B218" s="31">
        <v>40553</v>
      </c>
      <c r="C218" s="30">
        <v>7</v>
      </c>
      <c r="D218" s="37" t="s">
        <v>28</v>
      </c>
      <c r="E218" s="37" t="b">
        <v>0</v>
      </c>
      <c r="F218" s="37" t="s">
        <v>20</v>
      </c>
      <c r="G218" s="37" t="s">
        <v>8</v>
      </c>
      <c r="H218" s="37">
        <v>0.12</v>
      </c>
      <c r="I218" s="30">
        <v>0.12</v>
      </c>
      <c r="J218" s="37">
        <v>0.5</v>
      </c>
      <c r="K218" s="37">
        <v>0.22</v>
      </c>
      <c r="L218" s="37">
        <v>2</v>
      </c>
      <c r="M218" s="37">
        <v>75</v>
      </c>
      <c r="N218" s="37">
        <v>77</v>
      </c>
    </row>
    <row r="219" spans="1:14">
      <c r="A219" s="30">
        <v>218</v>
      </c>
      <c r="B219" s="31">
        <v>40553</v>
      </c>
      <c r="C219" s="30">
        <v>8</v>
      </c>
      <c r="D219" s="37" t="s">
        <v>28</v>
      </c>
      <c r="E219" s="37" t="b">
        <v>0</v>
      </c>
      <c r="F219" s="37" t="s">
        <v>20</v>
      </c>
      <c r="G219" s="37" t="s">
        <v>9</v>
      </c>
      <c r="H219" s="37">
        <v>0.12</v>
      </c>
      <c r="I219" s="30">
        <v>0.12</v>
      </c>
      <c r="J219" s="37">
        <v>0.5</v>
      </c>
      <c r="K219" s="37">
        <v>0.28000000000000003</v>
      </c>
      <c r="L219" s="37">
        <v>4</v>
      </c>
      <c r="M219" s="37">
        <v>184</v>
      </c>
      <c r="N219" s="37">
        <v>188</v>
      </c>
    </row>
    <row r="220" spans="1:14">
      <c r="A220" s="30">
        <v>219</v>
      </c>
      <c r="B220" s="31">
        <v>40553</v>
      </c>
      <c r="C220" s="30">
        <v>9</v>
      </c>
      <c r="D220" s="37" t="s">
        <v>28</v>
      </c>
      <c r="E220" s="37" t="b">
        <v>0</v>
      </c>
      <c r="F220" s="37" t="s">
        <v>20</v>
      </c>
      <c r="G220" s="37" t="s">
        <v>9</v>
      </c>
      <c r="H220" s="37">
        <v>0.12</v>
      </c>
      <c r="I220" s="30">
        <v>0.14000000000000001</v>
      </c>
      <c r="J220" s="37">
        <v>0.5</v>
      </c>
      <c r="K220" s="37">
        <v>0.25</v>
      </c>
      <c r="L220" s="37">
        <v>2</v>
      </c>
      <c r="M220" s="37">
        <v>92</v>
      </c>
      <c r="N220" s="37">
        <v>94</v>
      </c>
    </row>
    <row r="221" spans="1:14">
      <c r="A221" s="30">
        <v>220</v>
      </c>
      <c r="B221" s="31">
        <v>40553</v>
      </c>
      <c r="C221" s="30">
        <v>10</v>
      </c>
      <c r="D221" s="37" t="s">
        <v>28</v>
      </c>
      <c r="E221" s="37" t="b">
        <v>0</v>
      </c>
      <c r="F221" s="37" t="s">
        <v>20</v>
      </c>
      <c r="G221" s="37" t="s">
        <v>9</v>
      </c>
      <c r="H221" s="37">
        <v>0.12</v>
      </c>
      <c r="I221" s="30">
        <v>0.14000000000000001</v>
      </c>
      <c r="J221" s="37">
        <v>0.5</v>
      </c>
      <c r="K221" s="37">
        <v>0.3</v>
      </c>
      <c r="L221" s="37">
        <v>0</v>
      </c>
      <c r="M221" s="37">
        <v>31</v>
      </c>
      <c r="N221" s="37">
        <v>31</v>
      </c>
    </row>
    <row r="222" spans="1:14">
      <c r="A222" s="30">
        <v>221</v>
      </c>
      <c r="B222" s="31">
        <v>40553</v>
      </c>
      <c r="C222" s="30">
        <v>11</v>
      </c>
      <c r="D222" s="37" t="s">
        <v>28</v>
      </c>
      <c r="E222" s="37" t="b">
        <v>0</v>
      </c>
      <c r="F222" s="37" t="s">
        <v>20</v>
      </c>
      <c r="G222" s="37" t="s">
        <v>9</v>
      </c>
      <c r="H222" s="37">
        <v>0.14000000000000001</v>
      </c>
      <c r="I222" s="30">
        <v>0.16</v>
      </c>
      <c r="J222" s="37">
        <v>0.47</v>
      </c>
      <c r="K222" s="37">
        <v>0.28000000000000003</v>
      </c>
      <c r="L222" s="37">
        <v>2</v>
      </c>
      <c r="M222" s="37">
        <v>28</v>
      </c>
      <c r="N222" s="37">
        <v>30</v>
      </c>
    </row>
    <row r="223" spans="1:14">
      <c r="A223" s="30">
        <v>222</v>
      </c>
      <c r="B223" s="31">
        <v>40553</v>
      </c>
      <c r="C223" s="30">
        <v>12</v>
      </c>
      <c r="D223" s="37" t="s">
        <v>29</v>
      </c>
      <c r="E223" s="37" t="b">
        <v>0</v>
      </c>
      <c r="F223" s="37" t="s">
        <v>20</v>
      </c>
      <c r="G223" s="37" t="s">
        <v>9</v>
      </c>
      <c r="H223" s="37">
        <v>0.18</v>
      </c>
      <c r="I223" s="30">
        <v>0.2</v>
      </c>
      <c r="J223" s="37">
        <v>0.4</v>
      </c>
      <c r="K223" s="37">
        <v>0.28000000000000003</v>
      </c>
      <c r="L223" s="37">
        <v>5</v>
      </c>
      <c r="M223" s="37">
        <v>47</v>
      </c>
      <c r="N223" s="37">
        <v>52</v>
      </c>
    </row>
    <row r="224" spans="1:14">
      <c r="A224" s="30">
        <v>223</v>
      </c>
      <c r="B224" s="31">
        <v>40553</v>
      </c>
      <c r="C224" s="30">
        <v>13</v>
      </c>
      <c r="D224" s="37" t="s">
        <v>29</v>
      </c>
      <c r="E224" s="37" t="b">
        <v>0</v>
      </c>
      <c r="F224" s="37" t="s">
        <v>20</v>
      </c>
      <c r="G224" s="37" t="s">
        <v>9</v>
      </c>
      <c r="H224" s="37">
        <v>0.18</v>
      </c>
      <c r="I224" s="30">
        <v>0.2</v>
      </c>
      <c r="J224" s="37">
        <v>0.4</v>
      </c>
      <c r="K224" s="37">
        <v>0.28000000000000003</v>
      </c>
      <c r="L224" s="37">
        <v>4</v>
      </c>
      <c r="M224" s="37">
        <v>50</v>
      </c>
      <c r="N224" s="37">
        <v>54</v>
      </c>
    </row>
    <row r="225" spans="1:14">
      <c r="A225" s="30">
        <v>224</v>
      </c>
      <c r="B225" s="31">
        <v>40553</v>
      </c>
      <c r="C225" s="30">
        <v>14</v>
      </c>
      <c r="D225" s="37" t="s">
        <v>29</v>
      </c>
      <c r="E225" s="37" t="b">
        <v>0</v>
      </c>
      <c r="F225" s="37" t="s">
        <v>20</v>
      </c>
      <c r="G225" s="37" t="s">
        <v>9</v>
      </c>
      <c r="H225" s="37">
        <v>0.2</v>
      </c>
      <c r="I225" s="30">
        <v>0.2</v>
      </c>
      <c r="J225" s="37">
        <v>0.4</v>
      </c>
      <c r="K225" s="37">
        <v>0.22</v>
      </c>
      <c r="L225" s="37">
        <v>0</v>
      </c>
      <c r="M225" s="37">
        <v>47</v>
      </c>
      <c r="N225" s="37">
        <v>47</v>
      </c>
    </row>
    <row r="226" spans="1:14">
      <c r="A226" s="30">
        <v>225</v>
      </c>
      <c r="B226" s="31">
        <v>40553</v>
      </c>
      <c r="C226" s="30">
        <v>15</v>
      </c>
      <c r="D226" s="37" t="s">
        <v>29</v>
      </c>
      <c r="E226" s="37" t="b">
        <v>0</v>
      </c>
      <c r="F226" s="37" t="s">
        <v>20</v>
      </c>
      <c r="G226" s="37" t="s">
        <v>9</v>
      </c>
      <c r="H226" s="37">
        <v>0.2</v>
      </c>
      <c r="I226" s="30">
        <v>0.2</v>
      </c>
      <c r="J226" s="37">
        <v>0.4</v>
      </c>
      <c r="K226" s="37">
        <v>0.22</v>
      </c>
      <c r="L226" s="37">
        <v>2</v>
      </c>
      <c r="M226" s="37">
        <v>43</v>
      </c>
      <c r="N226" s="37">
        <v>45</v>
      </c>
    </row>
    <row r="227" spans="1:14">
      <c r="A227" s="30">
        <v>226</v>
      </c>
      <c r="B227" s="31">
        <v>40553</v>
      </c>
      <c r="C227" s="30">
        <v>16</v>
      </c>
      <c r="D227" s="37" t="s">
        <v>29</v>
      </c>
      <c r="E227" s="37" t="b">
        <v>0</v>
      </c>
      <c r="F227" s="37" t="s">
        <v>20</v>
      </c>
      <c r="G227" s="37" t="s">
        <v>8</v>
      </c>
      <c r="H227" s="37">
        <v>0.21</v>
      </c>
      <c r="I227" s="30">
        <v>0.2</v>
      </c>
      <c r="J227" s="37">
        <v>0.4</v>
      </c>
      <c r="K227" s="37">
        <v>0.13</v>
      </c>
      <c r="L227" s="37">
        <v>4</v>
      </c>
      <c r="M227" s="37">
        <v>70</v>
      </c>
      <c r="N227" s="37">
        <v>74</v>
      </c>
    </row>
    <row r="228" spans="1:14">
      <c r="A228" s="30">
        <v>227</v>
      </c>
      <c r="B228" s="31">
        <v>40553</v>
      </c>
      <c r="C228" s="30">
        <v>17</v>
      </c>
      <c r="D228" s="37" t="s">
        <v>29</v>
      </c>
      <c r="E228" s="37" t="b">
        <v>0</v>
      </c>
      <c r="F228" s="37" t="s">
        <v>20</v>
      </c>
      <c r="G228" s="37" t="s">
        <v>8</v>
      </c>
      <c r="H228" s="37">
        <v>0.23</v>
      </c>
      <c r="I228" s="30">
        <v>0.2</v>
      </c>
      <c r="J228" s="37">
        <v>0.4</v>
      </c>
      <c r="K228" s="37">
        <v>0.1</v>
      </c>
      <c r="L228" s="37">
        <v>4</v>
      </c>
      <c r="M228" s="37">
        <v>174</v>
      </c>
      <c r="N228" s="37">
        <v>178</v>
      </c>
    </row>
    <row r="229" spans="1:14">
      <c r="A229" s="30">
        <v>228</v>
      </c>
      <c r="B229" s="31">
        <v>40553</v>
      </c>
      <c r="C229" s="30">
        <v>18</v>
      </c>
      <c r="D229" s="37" t="s">
        <v>30</v>
      </c>
      <c r="E229" s="37" t="b">
        <v>0</v>
      </c>
      <c r="F229" s="37" t="s">
        <v>20</v>
      </c>
      <c r="G229" s="37" t="s">
        <v>8</v>
      </c>
      <c r="H229" s="37">
        <v>0.2</v>
      </c>
      <c r="I229" s="30">
        <v>0.2</v>
      </c>
      <c r="J229" s="37">
        <v>0.4</v>
      </c>
      <c r="K229" s="37">
        <v>0.22</v>
      </c>
      <c r="L229" s="37">
        <v>1</v>
      </c>
      <c r="M229" s="37">
        <v>154</v>
      </c>
      <c r="N229" s="37">
        <v>155</v>
      </c>
    </row>
    <row r="230" spans="1:14">
      <c r="A230" s="30">
        <v>229</v>
      </c>
      <c r="B230" s="31">
        <v>40553</v>
      </c>
      <c r="C230" s="30">
        <v>19</v>
      </c>
      <c r="D230" s="37" t="s">
        <v>30</v>
      </c>
      <c r="E230" s="37" t="b">
        <v>0</v>
      </c>
      <c r="F230" s="37" t="s">
        <v>20</v>
      </c>
      <c r="G230" s="37" t="s">
        <v>8</v>
      </c>
      <c r="H230" s="37">
        <v>0.17</v>
      </c>
      <c r="I230" s="30">
        <v>0.16</v>
      </c>
      <c r="J230" s="37">
        <v>0.47</v>
      </c>
      <c r="K230" s="37">
        <v>0.16</v>
      </c>
      <c r="L230" s="37">
        <v>3</v>
      </c>
      <c r="M230" s="37">
        <v>92</v>
      </c>
      <c r="N230" s="37">
        <v>95</v>
      </c>
    </row>
    <row r="231" spans="1:14">
      <c r="A231" s="30">
        <v>230</v>
      </c>
      <c r="B231" s="31">
        <v>40553</v>
      </c>
      <c r="C231" s="30">
        <v>20</v>
      </c>
      <c r="D231" s="37" t="s">
        <v>30</v>
      </c>
      <c r="E231" s="37" t="b">
        <v>0</v>
      </c>
      <c r="F231" s="37" t="s">
        <v>20</v>
      </c>
      <c r="G231" s="37" t="s">
        <v>8</v>
      </c>
      <c r="H231" s="37">
        <v>0.17</v>
      </c>
      <c r="I231" s="30">
        <v>0.16</v>
      </c>
      <c r="J231" s="37">
        <v>0.5</v>
      </c>
      <c r="K231" s="37">
        <v>0.16</v>
      </c>
      <c r="L231" s="37">
        <v>1</v>
      </c>
      <c r="M231" s="37">
        <v>73</v>
      </c>
      <c r="N231" s="37">
        <v>74</v>
      </c>
    </row>
    <row r="232" spans="1:14">
      <c r="A232" s="30">
        <v>231</v>
      </c>
      <c r="B232" s="31">
        <v>40553</v>
      </c>
      <c r="C232" s="30">
        <v>21</v>
      </c>
      <c r="D232" s="37" t="s">
        <v>30</v>
      </c>
      <c r="E232" s="37" t="b">
        <v>0</v>
      </c>
      <c r="F232" s="37" t="s">
        <v>20</v>
      </c>
      <c r="G232" s="37" t="s">
        <v>8</v>
      </c>
      <c r="H232" s="37">
        <v>0.14000000000000001</v>
      </c>
      <c r="I232" s="30">
        <v>0.14000000000000001</v>
      </c>
      <c r="J232" s="37">
        <v>0.59</v>
      </c>
      <c r="K232" s="37">
        <v>0.19</v>
      </c>
      <c r="L232" s="37">
        <v>1</v>
      </c>
      <c r="M232" s="37">
        <v>37</v>
      </c>
      <c r="N232" s="37">
        <v>38</v>
      </c>
    </row>
    <row r="233" spans="1:14">
      <c r="A233" s="30">
        <v>232</v>
      </c>
      <c r="B233" s="31">
        <v>40553</v>
      </c>
      <c r="C233" s="30">
        <v>22</v>
      </c>
      <c r="D233" s="37" t="s">
        <v>30</v>
      </c>
      <c r="E233" s="37" t="b">
        <v>0</v>
      </c>
      <c r="F233" s="37" t="s">
        <v>20</v>
      </c>
      <c r="G233" s="37" t="s">
        <v>8</v>
      </c>
      <c r="H233" s="37">
        <v>0.15</v>
      </c>
      <c r="I233" s="30">
        <v>0.14000000000000001</v>
      </c>
      <c r="J233" s="37">
        <v>0.59</v>
      </c>
      <c r="K233" s="37">
        <v>0.16</v>
      </c>
      <c r="L233" s="37">
        <v>2</v>
      </c>
      <c r="M233" s="37">
        <v>22</v>
      </c>
      <c r="N233" s="37">
        <v>24</v>
      </c>
    </row>
    <row r="234" spans="1:14">
      <c r="A234" s="30">
        <v>233</v>
      </c>
      <c r="B234" s="31">
        <v>40553</v>
      </c>
      <c r="C234" s="30">
        <v>23</v>
      </c>
      <c r="D234" s="37" t="s">
        <v>30</v>
      </c>
      <c r="E234" s="37" t="b">
        <v>0</v>
      </c>
      <c r="F234" s="37" t="s">
        <v>20</v>
      </c>
      <c r="G234" s="37" t="s">
        <v>8</v>
      </c>
      <c r="H234" s="37">
        <v>0.15</v>
      </c>
      <c r="I234" s="30">
        <v>0.14000000000000001</v>
      </c>
      <c r="J234" s="37">
        <v>0.59</v>
      </c>
      <c r="K234" s="37">
        <v>0.16</v>
      </c>
      <c r="L234" s="37">
        <v>0</v>
      </c>
      <c r="M234" s="37">
        <v>18</v>
      </c>
      <c r="N234" s="37">
        <v>18</v>
      </c>
    </row>
    <row r="235" spans="1:14">
      <c r="A235" s="30">
        <v>234</v>
      </c>
      <c r="B235" s="31">
        <v>40554</v>
      </c>
      <c r="C235" s="30">
        <v>0</v>
      </c>
      <c r="D235" s="37" t="s">
        <v>27</v>
      </c>
      <c r="E235" s="37" t="b">
        <v>0</v>
      </c>
      <c r="F235" s="37" t="s">
        <v>21</v>
      </c>
      <c r="G235" s="37" t="s">
        <v>8</v>
      </c>
      <c r="H235" s="37">
        <v>0.17</v>
      </c>
      <c r="I235" s="30">
        <v>0.14000000000000001</v>
      </c>
      <c r="J235" s="37">
        <v>0.59</v>
      </c>
      <c r="K235" s="37">
        <v>0.1</v>
      </c>
      <c r="L235" s="37">
        <v>2</v>
      </c>
      <c r="M235" s="37">
        <v>10</v>
      </c>
      <c r="N235" s="37">
        <v>12</v>
      </c>
    </row>
    <row r="236" spans="1:14">
      <c r="A236" s="30">
        <v>235</v>
      </c>
      <c r="B236" s="31">
        <v>40554</v>
      </c>
      <c r="C236" s="30">
        <v>1</v>
      </c>
      <c r="D236" s="37" t="s">
        <v>27</v>
      </c>
      <c r="E236" s="37" t="b">
        <v>0</v>
      </c>
      <c r="F236" s="37" t="s">
        <v>21</v>
      </c>
      <c r="G236" s="37" t="s">
        <v>8</v>
      </c>
      <c r="H236" s="37">
        <v>0.15</v>
      </c>
      <c r="I236" s="30">
        <v>0.14000000000000001</v>
      </c>
      <c r="J236" s="37">
        <v>0.59</v>
      </c>
      <c r="K236" s="37">
        <v>0.16</v>
      </c>
      <c r="L236" s="37">
        <v>0</v>
      </c>
      <c r="M236" s="37">
        <v>3</v>
      </c>
      <c r="N236" s="37">
        <v>3</v>
      </c>
    </row>
    <row r="237" spans="1:14">
      <c r="A237" s="30">
        <v>236</v>
      </c>
      <c r="B237" s="31">
        <v>40554</v>
      </c>
      <c r="C237" s="30">
        <v>2</v>
      </c>
      <c r="D237" s="37" t="s">
        <v>27</v>
      </c>
      <c r="E237" s="37" t="b">
        <v>0</v>
      </c>
      <c r="F237" s="37" t="s">
        <v>21</v>
      </c>
      <c r="G237" s="37" t="s">
        <v>9</v>
      </c>
      <c r="H237" s="37">
        <v>0.15</v>
      </c>
      <c r="I237" s="30">
        <v>0.16</v>
      </c>
      <c r="J237" s="37">
        <v>0.55000000000000004</v>
      </c>
      <c r="K237" s="37">
        <v>0.19</v>
      </c>
      <c r="L237" s="37">
        <v>0</v>
      </c>
      <c r="M237" s="37">
        <v>3</v>
      </c>
      <c r="N237" s="37">
        <v>3</v>
      </c>
    </row>
    <row r="238" spans="1:14">
      <c r="A238" s="30">
        <v>237</v>
      </c>
      <c r="B238" s="31">
        <v>40554</v>
      </c>
      <c r="C238" s="30">
        <v>5</v>
      </c>
      <c r="D238" s="37" t="s">
        <v>27</v>
      </c>
      <c r="E238" s="37" t="b">
        <v>0</v>
      </c>
      <c r="F238" s="37" t="s">
        <v>21</v>
      </c>
      <c r="G238" s="37" t="s">
        <v>9</v>
      </c>
      <c r="H238" s="37">
        <v>0.18</v>
      </c>
      <c r="I238" s="30">
        <v>0.16</v>
      </c>
      <c r="J238" s="37">
        <v>0.55000000000000004</v>
      </c>
      <c r="K238" s="37">
        <v>0.13</v>
      </c>
      <c r="L238" s="37">
        <v>0</v>
      </c>
      <c r="M238" s="37">
        <v>6</v>
      </c>
      <c r="N238" s="37">
        <v>6</v>
      </c>
    </row>
    <row r="239" spans="1:14">
      <c r="A239" s="30">
        <v>238</v>
      </c>
      <c r="B239" s="31">
        <v>40554</v>
      </c>
      <c r="C239" s="30">
        <v>6</v>
      </c>
      <c r="D239" s="37" t="s">
        <v>28</v>
      </c>
      <c r="E239" s="37" t="b">
        <v>0</v>
      </c>
      <c r="F239" s="37" t="s">
        <v>21</v>
      </c>
      <c r="G239" s="37" t="s">
        <v>9</v>
      </c>
      <c r="H239" s="37">
        <v>0.18</v>
      </c>
      <c r="I239" s="30">
        <v>0.16</v>
      </c>
      <c r="J239" s="37">
        <v>0.55000000000000004</v>
      </c>
      <c r="K239" s="37">
        <v>0.13</v>
      </c>
      <c r="L239" s="37">
        <v>0</v>
      </c>
      <c r="M239" s="37">
        <v>27</v>
      </c>
      <c r="N239" s="37">
        <v>27</v>
      </c>
    </row>
    <row r="240" spans="1:14">
      <c r="A240" s="30">
        <v>239</v>
      </c>
      <c r="B240" s="31">
        <v>40554</v>
      </c>
      <c r="C240" s="30">
        <v>7</v>
      </c>
      <c r="D240" s="37" t="s">
        <v>28</v>
      </c>
      <c r="E240" s="37" t="b">
        <v>0</v>
      </c>
      <c r="F240" s="37" t="s">
        <v>21</v>
      </c>
      <c r="G240" s="37" t="s">
        <v>9</v>
      </c>
      <c r="H240" s="37">
        <v>0.23</v>
      </c>
      <c r="I240" s="30">
        <v>0.16</v>
      </c>
      <c r="J240" s="37">
        <v>0.55000000000000004</v>
      </c>
      <c r="K240" s="37">
        <v>0</v>
      </c>
      <c r="L240" s="37">
        <v>2</v>
      </c>
      <c r="M240" s="37">
        <v>97</v>
      </c>
      <c r="N240" s="37">
        <v>99</v>
      </c>
    </row>
    <row r="241" spans="1:14">
      <c r="A241" s="30">
        <v>240</v>
      </c>
      <c r="B241" s="31">
        <v>40554</v>
      </c>
      <c r="C241" s="30">
        <v>8</v>
      </c>
      <c r="D241" s="37" t="s">
        <v>28</v>
      </c>
      <c r="E241" s="37" t="b">
        <v>0</v>
      </c>
      <c r="F241" s="37" t="s">
        <v>21</v>
      </c>
      <c r="G241" s="37" t="s">
        <v>9</v>
      </c>
      <c r="H241" s="37">
        <v>0.21</v>
      </c>
      <c r="I241" s="30">
        <v>0.18</v>
      </c>
      <c r="J241" s="37">
        <v>0.51</v>
      </c>
      <c r="K241" s="37">
        <v>0.09</v>
      </c>
      <c r="L241" s="37">
        <v>3</v>
      </c>
      <c r="M241" s="37">
        <v>214</v>
      </c>
      <c r="N241" s="37">
        <v>217</v>
      </c>
    </row>
    <row r="242" spans="1:14">
      <c r="A242" s="30">
        <v>241</v>
      </c>
      <c r="B242" s="31">
        <v>40554</v>
      </c>
      <c r="C242" s="30">
        <v>9</v>
      </c>
      <c r="D242" s="37" t="s">
        <v>28</v>
      </c>
      <c r="E242" s="37" t="b">
        <v>0</v>
      </c>
      <c r="F242" s="37" t="s">
        <v>21</v>
      </c>
      <c r="G242" s="37" t="s">
        <v>9</v>
      </c>
      <c r="H242" s="37">
        <v>0.2</v>
      </c>
      <c r="I242" s="30">
        <v>0.18</v>
      </c>
      <c r="J242" s="37">
        <v>0.51</v>
      </c>
      <c r="K242" s="37">
        <v>0.16</v>
      </c>
      <c r="L242" s="37">
        <v>3</v>
      </c>
      <c r="M242" s="37">
        <v>127</v>
      </c>
      <c r="N242" s="37">
        <v>130</v>
      </c>
    </row>
    <row r="243" spans="1:14">
      <c r="A243" s="30">
        <v>242</v>
      </c>
      <c r="B243" s="31">
        <v>40554</v>
      </c>
      <c r="C243" s="30">
        <v>10</v>
      </c>
      <c r="D243" s="37" t="s">
        <v>28</v>
      </c>
      <c r="E243" s="37" t="b">
        <v>0</v>
      </c>
      <c r="F243" s="37" t="s">
        <v>21</v>
      </c>
      <c r="G243" s="37" t="s">
        <v>9</v>
      </c>
      <c r="H243" s="37">
        <v>0.21</v>
      </c>
      <c r="I243" s="30">
        <v>0.2</v>
      </c>
      <c r="J243" s="37">
        <v>0.51</v>
      </c>
      <c r="K243" s="37">
        <v>0.16</v>
      </c>
      <c r="L243" s="37">
        <v>3</v>
      </c>
      <c r="M243" s="37">
        <v>51</v>
      </c>
      <c r="N243" s="37">
        <v>54</v>
      </c>
    </row>
    <row r="244" spans="1:14">
      <c r="A244" s="30">
        <v>243</v>
      </c>
      <c r="B244" s="31">
        <v>40554</v>
      </c>
      <c r="C244" s="30">
        <v>11</v>
      </c>
      <c r="D244" s="37" t="s">
        <v>28</v>
      </c>
      <c r="E244" s="37" t="b">
        <v>0</v>
      </c>
      <c r="F244" s="37" t="s">
        <v>21</v>
      </c>
      <c r="G244" s="37" t="s">
        <v>9</v>
      </c>
      <c r="H244" s="37">
        <v>0.21</v>
      </c>
      <c r="I244" s="30">
        <v>0.2</v>
      </c>
      <c r="J244" s="37">
        <v>0.47</v>
      </c>
      <c r="K244" s="37">
        <v>0.13</v>
      </c>
      <c r="L244" s="37">
        <v>4</v>
      </c>
      <c r="M244" s="37">
        <v>31</v>
      </c>
      <c r="N244" s="37">
        <v>35</v>
      </c>
    </row>
    <row r="245" spans="1:14">
      <c r="A245" s="30">
        <v>244</v>
      </c>
      <c r="B245" s="31">
        <v>40554</v>
      </c>
      <c r="C245" s="30">
        <v>12</v>
      </c>
      <c r="D245" s="37" t="s">
        <v>29</v>
      </c>
      <c r="E245" s="37" t="b">
        <v>0</v>
      </c>
      <c r="F245" s="37" t="s">
        <v>21</v>
      </c>
      <c r="G245" s="37" t="s">
        <v>9</v>
      </c>
      <c r="H245" s="37">
        <v>0.23</v>
      </c>
      <c r="I245" s="30">
        <v>0.2</v>
      </c>
      <c r="J245" s="37">
        <v>0.51</v>
      </c>
      <c r="K245" s="37">
        <v>0.1</v>
      </c>
      <c r="L245" s="37">
        <v>2</v>
      </c>
      <c r="M245" s="37">
        <v>55</v>
      </c>
      <c r="N245" s="37">
        <v>57</v>
      </c>
    </row>
    <row r="246" spans="1:14">
      <c r="A246" s="30">
        <v>245</v>
      </c>
      <c r="B246" s="31">
        <v>40554</v>
      </c>
      <c r="C246" s="30">
        <v>13</v>
      </c>
      <c r="D246" s="37" t="s">
        <v>29</v>
      </c>
      <c r="E246" s="37" t="b">
        <v>0</v>
      </c>
      <c r="F246" s="37" t="s">
        <v>21</v>
      </c>
      <c r="G246" s="37" t="s">
        <v>9</v>
      </c>
      <c r="H246" s="37">
        <v>0.23</v>
      </c>
      <c r="I246" s="30">
        <v>0.2</v>
      </c>
      <c r="J246" s="37">
        <v>0.59</v>
      </c>
      <c r="K246" s="37">
        <v>0.09</v>
      </c>
      <c r="L246" s="37">
        <v>6</v>
      </c>
      <c r="M246" s="37">
        <v>46</v>
      </c>
      <c r="N246" s="37">
        <v>52</v>
      </c>
    </row>
    <row r="247" spans="1:14">
      <c r="A247" s="30">
        <v>246</v>
      </c>
      <c r="B247" s="31">
        <v>40554</v>
      </c>
      <c r="C247" s="30">
        <v>14</v>
      </c>
      <c r="D247" s="37" t="s">
        <v>29</v>
      </c>
      <c r="E247" s="37" t="b">
        <v>0</v>
      </c>
      <c r="F247" s="37" t="s">
        <v>21</v>
      </c>
      <c r="G247" s="37" t="s">
        <v>9</v>
      </c>
      <c r="H247" s="37">
        <v>0.23</v>
      </c>
      <c r="I247" s="30">
        <v>0.2</v>
      </c>
      <c r="J247" s="37">
        <v>0.59</v>
      </c>
      <c r="K247" s="37">
        <v>0.09</v>
      </c>
      <c r="L247" s="37">
        <v>3</v>
      </c>
      <c r="M247" s="37">
        <v>60</v>
      </c>
      <c r="N247" s="37">
        <v>63</v>
      </c>
    </row>
    <row r="248" spans="1:14">
      <c r="A248" s="30">
        <v>247</v>
      </c>
      <c r="B248" s="31">
        <v>40554</v>
      </c>
      <c r="C248" s="30">
        <v>15</v>
      </c>
      <c r="D248" s="37" t="s">
        <v>29</v>
      </c>
      <c r="E248" s="37" t="b">
        <v>0</v>
      </c>
      <c r="F248" s="37" t="s">
        <v>21</v>
      </c>
      <c r="G248" s="37" t="s">
        <v>9</v>
      </c>
      <c r="H248" s="37">
        <v>0.2</v>
      </c>
      <c r="I248" s="30">
        <v>0.16</v>
      </c>
      <c r="J248" s="37">
        <v>0.8</v>
      </c>
      <c r="K248" s="37">
        <v>0.09</v>
      </c>
      <c r="L248" s="37">
        <v>2</v>
      </c>
      <c r="M248" s="37">
        <v>45</v>
      </c>
      <c r="N248" s="37">
        <v>47</v>
      </c>
    </row>
    <row r="249" spans="1:14">
      <c r="A249" s="30">
        <v>248</v>
      </c>
      <c r="B249" s="31">
        <v>40554</v>
      </c>
      <c r="C249" s="30">
        <v>16</v>
      </c>
      <c r="D249" s="37" t="s">
        <v>29</v>
      </c>
      <c r="E249" s="37" t="b">
        <v>0</v>
      </c>
      <c r="F249" s="37" t="s">
        <v>21</v>
      </c>
      <c r="G249" s="37" t="s">
        <v>9</v>
      </c>
      <c r="H249" s="37">
        <v>0.15</v>
      </c>
      <c r="I249" s="30">
        <v>0.16</v>
      </c>
      <c r="J249" s="37">
        <v>0.86</v>
      </c>
      <c r="K249" s="37">
        <v>0.22</v>
      </c>
      <c r="L249" s="37">
        <v>4</v>
      </c>
      <c r="M249" s="37">
        <v>72</v>
      </c>
      <c r="N249" s="37">
        <v>76</v>
      </c>
    </row>
    <row r="250" spans="1:14">
      <c r="A250" s="30">
        <v>249</v>
      </c>
      <c r="B250" s="31">
        <v>40554</v>
      </c>
      <c r="C250" s="30">
        <v>17</v>
      </c>
      <c r="D250" s="37" t="s">
        <v>29</v>
      </c>
      <c r="E250" s="37" t="b">
        <v>0</v>
      </c>
      <c r="F250" s="37" t="s">
        <v>21</v>
      </c>
      <c r="G250" s="37" t="s">
        <v>9</v>
      </c>
      <c r="H250" s="37">
        <v>0.15</v>
      </c>
      <c r="I250" s="30">
        <v>0.16</v>
      </c>
      <c r="J250" s="37">
        <v>0.86</v>
      </c>
      <c r="K250" s="37">
        <v>0.22</v>
      </c>
      <c r="L250" s="37">
        <v>6</v>
      </c>
      <c r="M250" s="37">
        <v>130</v>
      </c>
      <c r="N250" s="37">
        <v>136</v>
      </c>
    </row>
    <row r="251" spans="1:14">
      <c r="A251" s="30">
        <v>250</v>
      </c>
      <c r="B251" s="31">
        <v>40554</v>
      </c>
      <c r="C251" s="30">
        <v>18</v>
      </c>
      <c r="D251" s="37" t="s">
        <v>30</v>
      </c>
      <c r="E251" s="37" t="b">
        <v>0</v>
      </c>
      <c r="F251" s="37" t="s">
        <v>21</v>
      </c>
      <c r="G251" s="37" t="s">
        <v>10</v>
      </c>
      <c r="H251" s="37">
        <v>0.18</v>
      </c>
      <c r="I251" s="30">
        <v>0.16</v>
      </c>
      <c r="J251" s="37">
        <v>0.93</v>
      </c>
      <c r="K251" s="37">
        <v>0.1</v>
      </c>
      <c r="L251" s="37">
        <v>1</v>
      </c>
      <c r="M251" s="37">
        <v>94</v>
      </c>
      <c r="N251" s="37">
        <v>95</v>
      </c>
    </row>
    <row r="252" spans="1:14">
      <c r="A252" s="30">
        <v>251</v>
      </c>
      <c r="B252" s="31">
        <v>40554</v>
      </c>
      <c r="C252" s="30">
        <v>19</v>
      </c>
      <c r="D252" s="37" t="s">
        <v>30</v>
      </c>
      <c r="E252" s="37" t="b">
        <v>0</v>
      </c>
      <c r="F252" s="37" t="s">
        <v>21</v>
      </c>
      <c r="G252" s="37" t="s">
        <v>10</v>
      </c>
      <c r="H252" s="37">
        <v>0.23</v>
      </c>
      <c r="I252" s="30">
        <v>0.16</v>
      </c>
      <c r="J252" s="37">
        <v>0.93</v>
      </c>
      <c r="K252" s="37">
        <v>0</v>
      </c>
      <c r="L252" s="37">
        <v>0</v>
      </c>
      <c r="M252" s="37">
        <v>51</v>
      </c>
      <c r="N252" s="37">
        <v>51</v>
      </c>
    </row>
    <row r="253" spans="1:14">
      <c r="A253" s="30">
        <v>252</v>
      </c>
      <c r="B253" s="31">
        <v>40554</v>
      </c>
      <c r="C253" s="30">
        <v>20</v>
      </c>
      <c r="D253" s="37" t="s">
        <v>30</v>
      </c>
      <c r="E253" s="37" t="b">
        <v>0</v>
      </c>
      <c r="F253" s="37" t="s">
        <v>21</v>
      </c>
      <c r="G253" s="37" t="s">
        <v>10</v>
      </c>
      <c r="H253" s="37">
        <v>0.15</v>
      </c>
      <c r="I253" s="30">
        <v>0.16</v>
      </c>
      <c r="J253" s="37">
        <v>0.93</v>
      </c>
      <c r="K253" s="37">
        <v>0.19</v>
      </c>
      <c r="L253" s="37">
        <v>0</v>
      </c>
      <c r="M253" s="37">
        <v>32</v>
      </c>
      <c r="N253" s="37">
        <v>32</v>
      </c>
    </row>
    <row r="254" spans="1:14">
      <c r="A254" s="30">
        <v>253</v>
      </c>
      <c r="B254" s="31">
        <v>40554</v>
      </c>
      <c r="C254" s="30">
        <v>21</v>
      </c>
      <c r="D254" s="37" t="s">
        <v>30</v>
      </c>
      <c r="E254" s="37" t="b">
        <v>0</v>
      </c>
      <c r="F254" s="37" t="s">
        <v>21</v>
      </c>
      <c r="G254" s="37" t="s">
        <v>10</v>
      </c>
      <c r="H254" s="37">
        <v>0.2</v>
      </c>
      <c r="I254" s="30">
        <v>0.16</v>
      </c>
      <c r="J254" s="37">
        <v>0.86</v>
      </c>
      <c r="K254" s="37">
        <v>0.09</v>
      </c>
      <c r="L254" s="37">
        <v>0</v>
      </c>
      <c r="M254" s="37">
        <v>20</v>
      </c>
      <c r="N254" s="37">
        <v>20</v>
      </c>
    </row>
    <row r="255" spans="1:14">
      <c r="A255" s="30">
        <v>254</v>
      </c>
      <c r="B255" s="31">
        <v>40554</v>
      </c>
      <c r="C255" s="30">
        <v>22</v>
      </c>
      <c r="D255" s="37" t="s">
        <v>30</v>
      </c>
      <c r="E255" s="37" t="b">
        <v>0</v>
      </c>
      <c r="F255" s="37" t="s">
        <v>21</v>
      </c>
      <c r="G255" s="37" t="s">
        <v>10</v>
      </c>
      <c r="H255" s="37">
        <v>0.18</v>
      </c>
      <c r="I255" s="30">
        <v>0.16</v>
      </c>
      <c r="J255" s="37">
        <v>0.93</v>
      </c>
      <c r="K255" s="37">
        <v>0.1</v>
      </c>
      <c r="L255" s="37">
        <v>1</v>
      </c>
      <c r="M255" s="37">
        <v>28</v>
      </c>
      <c r="N255" s="37">
        <v>29</v>
      </c>
    </row>
    <row r="256" spans="1:14">
      <c r="A256" s="30">
        <v>255</v>
      </c>
      <c r="B256" s="31">
        <v>40554</v>
      </c>
      <c r="C256" s="30">
        <v>23</v>
      </c>
      <c r="D256" s="37" t="s">
        <v>30</v>
      </c>
      <c r="E256" s="37" t="b">
        <v>0</v>
      </c>
      <c r="F256" s="37" t="s">
        <v>21</v>
      </c>
      <c r="G256" s="37" t="s">
        <v>10</v>
      </c>
      <c r="H256" s="37">
        <v>0.2</v>
      </c>
      <c r="I256" s="30">
        <v>0.16</v>
      </c>
      <c r="J256" s="37">
        <v>0.93</v>
      </c>
      <c r="K256" s="37">
        <v>0.09</v>
      </c>
      <c r="L256" s="37">
        <v>1</v>
      </c>
      <c r="M256" s="37">
        <v>18</v>
      </c>
      <c r="N256" s="37">
        <v>19</v>
      </c>
    </row>
    <row r="257" spans="1:14">
      <c r="A257" s="30">
        <v>256</v>
      </c>
      <c r="B257" s="31">
        <v>40555</v>
      </c>
      <c r="C257" s="30">
        <v>0</v>
      </c>
      <c r="D257" s="37" t="s">
        <v>27</v>
      </c>
      <c r="E257" s="37" t="b">
        <v>0</v>
      </c>
      <c r="F257" s="37" t="s">
        <v>22</v>
      </c>
      <c r="G257" s="37" t="s">
        <v>9</v>
      </c>
      <c r="H257" s="37">
        <v>0.2</v>
      </c>
      <c r="I257" s="30">
        <v>0.16</v>
      </c>
      <c r="J257" s="37">
        <v>0.86</v>
      </c>
      <c r="K257" s="37">
        <v>0.09</v>
      </c>
      <c r="L257" s="37">
        <v>0</v>
      </c>
      <c r="M257" s="37">
        <v>7</v>
      </c>
      <c r="N257" s="37">
        <v>7</v>
      </c>
    </row>
    <row r="258" spans="1:14">
      <c r="A258" s="30">
        <v>257</v>
      </c>
      <c r="B258" s="31">
        <v>40555</v>
      </c>
      <c r="C258" s="30">
        <v>1</v>
      </c>
      <c r="D258" s="37" t="s">
        <v>27</v>
      </c>
      <c r="E258" s="37" t="b">
        <v>0</v>
      </c>
      <c r="F258" s="37" t="s">
        <v>22</v>
      </c>
      <c r="G258" s="37" t="s">
        <v>9</v>
      </c>
      <c r="H258" s="37">
        <v>0.18</v>
      </c>
      <c r="I258" s="30">
        <v>0.16</v>
      </c>
      <c r="J258" s="37">
        <v>0.86</v>
      </c>
      <c r="K258" s="37">
        <v>0.1</v>
      </c>
      <c r="L258" s="37">
        <v>0</v>
      </c>
      <c r="M258" s="37">
        <v>6</v>
      </c>
      <c r="N258" s="37">
        <v>6</v>
      </c>
    </row>
    <row r="259" spans="1:14">
      <c r="A259" s="30">
        <v>258</v>
      </c>
      <c r="B259" s="31">
        <v>40555</v>
      </c>
      <c r="C259" s="30">
        <v>2</v>
      </c>
      <c r="D259" s="37" t="s">
        <v>27</v>
      </c>
      <c r="E259" s="37" t="b">
        <v>0</v>
      </c>
      <c r="F259" s="37" t="s">
        <v>22</v>
      </c>
      <c r="G259" s="37" t="s">
        <v>8</v>
      </c>
      <c r="H259" s="37">
        <v>0.15</v>
      </c>
      <c r="I259" s="30">
        <v>0.14000000000000001</v>
      </c>
      <c r="J259" s="37">
        <v>0.86</v>
      </c>
      <c r="K259" s="37">
        <v>0.13</v>
      </c>
      <c r="L259" s="37">
        <v>0</v>
      </c>
      <c r="M259" s="37">
        <v>1</v>
      </c>
      <c r="N259" s="37">
        <v>1</v>
      </c>
    </row>
    <row r="260" spans="1:14">
      <c r="A260" s="30">
        <v>259</v>
      </c>
      <c r="B260" s="31">
        <v>40555</v>
      </c>
      <c r="C260" s="30">
        <v>5</v>
      </c>
      <c r="D260" s="37" t="s">
        <v>27</v>
      </c>
      <c r="E260" s="37" t="b">
        <v>0</v>
      </c>
      <c r="F260" s="37" t="s">
        <v>22</v>
      </c>
      <c r="G260" s="37" t="s">
        <v>8</v>
      </c>
      <c r="H260" s="37">
        <v>0.15</v>
      </c>
      <c r="I260" s="30">
        <v>0.14000000000000001</v>
      </c>
      <c r="J260" s="37">
        <v>0.86</v>
      </c>
      <c r="K260" s="37">
        <v>0.16</v>
      </c>
      <c r="L260" s="37">
        <v>0</v>
      </c>
      <c r="M260" s="37">
        <v>5</v>
      </c>
      <c r="N260" s="37">
        <v>5</v>
      </c>
    </row>
    <row r="261" spans="1:14">
      <c r="A261" s="30">
        <v>260</v>
      </c>
      <c r="B261" s="31">
        <v>40555</v>
      </c>
      <c r="C261" s="30">
        <v>6</v>
      </c>
      <c r="D261" s="37" t="s">
        <v>28</v>
      </c>
      <c r="E261" s="37" t="b">
        <v>0</v>
      </c>
      <c r="F261" s="37" t="s">
        <v>22</v>
      </c>
      <c r="G261" s="37" t="s">
        <v>8</v>
      </c>
      <c r="H261" s="37">
        <v>0.15</v>
      </c>
      <c r="I261" s="30">
        <v>0.12</v>
      </c>
      <c r="J261" s="37">
        <v>0.93</v>
      </c>
      <c r="K261" s="37">
        <v>0.13</v>
      </c>
      <c r="L261" s="37">
        <v>0</v>
      </c>
      <c r="M261" s="37">
        <v>16</v>
      </c>
      <c r="N261" s="37">
        <v>16</v>
      </c>
    </row>
    <row r="262" spans="1:14">
      <c r="A262" s="30">
        <v>261</v>
      </c>
      <c r="B262" s="31">
        <v>40555</v>
      </c>
      <c r="C262" s="30">
        <v>7</v>
      </c>
      <c r="D262" s="37" t="s">
        <v>28</v>
      </c>
      <c r="E262" s="37" t="b">
        <v>0</v>
      </c>
      <c r="F262" s="37" t="s">
        <v>22</v>
      </c>
      <c r="G262" s="37" t="s">
        <v>8</v>
      </c>
      <c r="H262" s="37">
        <v>0.15</v>
      </c>
      <c r="I262" s="30">
        <v>0.14000000000000001</v>
      </c>
      <c r="J262" s="37">
        <v>0.69</v>
      </c>
      <c r="K262" s="37">
        <v>0.13</v>
      </c>
      <c r="L262" s="37">
        <v>0</v>
      </c>
      <c r="M262" s="37">
        <v>54</v>
      </c>
      <c r="N262" s="37">
        <v>54</v>
      </c>
    </row>
    <row r="263" spans="1:14">
      <c r="A263" s="30">
        <v>262</v>
      </c>
      <c r="B263" s="31">
        <v>40555</v>
      </c>
      <c r="C263" s="30">
        <v>8</v>
      </c>
      <c r="D263" s="37" t="s">
        <v>28</v>
      </c>
      <c r="E263" s="37" t="b">
        <v>0</v>
      </c>
      <c r="F263" s="37" t="s">
        <v>22</v>
      </c>
      <c r="G263" s="37" t="s">
        <v>8</v>
      </c>
      <c r="H263" s="37">
        <v>0.17</v>
      </c>
      <c r="I263" s="30">
        <v>0.16</v>
      </c>
      <c r="J263" s="37">
        <v>0.59</v>
      </c>
      <c r="K263" s="37">
        <v>0.16</v>
      </c>
      <c r="L263" s="37">
        <v>3</v>
      </c>
      <c r="M263" s="37">
        <v>125</v>
      </c>
      <c r="N263" s="37">
        <v>128</v>
      </c>
    </row>
    <row r="264" spans="1:14">
      <c r="A264" s="30">
        <v>263</v>
      </c>
      <c r="B264" s="31">
        <v>40555</v>
      </c>
      <c r="C264" s="30">
        <v>9</v>
      </c>
      <c r="D264" s="37" t="s">
        <v>28</v>
      </c>
      <c r="E264" s="37" t="b">
        <v>0</v>
      </c>
      <c r="F264" s="37" t="s">
        <v>22</v>
      </c>
      <c r="G264" s="37" t="s">
        <v>8</v>
      </c>
      <c r="H264" s="37">
        <v>0.14000000000000001</v>
      </c>
      <c r="I264" s="30">
        <v>0.16</v>
      </c>
      <c r="J264" s="37">
        <v>0.59</v>
      </c>
      <c r="K264" s="37">
        <v>0.33</v>
      </c>
      <c r="L264" s="37">
        <v>3</v>
      </c>
      <c r="M264" s="37">
        <v>78</v>
      </c>
      <c r="N264" s="37">
        <v>81</v>
      </c>
    </row>
    <row r="265" spans="1:14">
      <c r="A265" s="30">
        <v>264</v>
      </c>
      <c r="B265" s="31">
        <v>40555</v>
      </c>
      <c r="C265" s="30">
        <v>10</v>
      </c>
      <c r="D265" s="37" t="s">
        <v>28</v>
      </c>
      <c r="E265" s="37" t="b">
        <v>0</v>
      </c>
      <c r="F265" s="37" t="s">
        <v>22</v>
      </c>
      <c r="G265" s="37" t="s">
        <v>8</v>
      </c>
      <c r="H265" s="37">
        <v>0.18</v>
      </c>
      <c r="I265" s="30">
        <v>0.18</v>
      </c>
      <c r="J265" s="37">
        <v>0.55000000000000004</v>
      </c>
      <c r="K265" s="37">
        <v>0.22</v>
      </c>
      <c r="L265" s="37">
        <v>0</v>
      </c>
      <c r="M265" s="37">
        <v>39</v>
      </c>
      <c r="N265" s="37">
        <v>39</v>
      </c>
    </row>
    <row r="266" spans="1:14">
      <c r="A266" s="30">
        <v>265</v>
      </c>
      <c r="B266" s="31">
        <v>40555</v>
      </c>
      <c r="C266" s="30">
        <v>11</v>
      </c>
      <c r="D266" s="37" t="s">
        <v>28</v>
      </c>
      <c r="E266" s="37" t="b">
        <v>0</v>
      </c>
      <c r="F266" s="37" t="s">
        <v>22</v>
      </c>
      <c r="G266" s="37" t="s">
        <v>8</v>
      </c>
      <c r="H266" s="37">
        <v>0.18</v>
      </c>
      <c r="I266" s="30">
        <v>0.2</v>
      </c>
      <c r="J266" s="37">
        <v>0.51</v>
      </c>
      <c r="K266" s="37">
        <v>0.39</v>
      </c>
      <c r="L266" s="37">
        <v>3</v>
      </c>
      <c r="M266" s="37">
        <v>32</v>
      </c>
      <c r="N266" s="37">
        <v>35</v>
      </c>
    </row>
    <row r="267" spans="1:14">
      <c r="A267" s="30">
        <v>266</v>
      </c>
      <c r="B267" s="31">
        <v>40555</v>
      </c>
      <c r="C267" s="30">
        <v>12</v>
      </c>
      <c r="D267" s="37" t="s">
        <v>29</v>
      </c>
      <c r="E267" s="37" t="b">
        <v>0</v>
      </c>
      <c r="F267" s="37" t="s">
        <v>22</v>
      </c>
      <c r="G267" s="37" t="s">
        <v>8</v>
      </c>
      <c r="H267" s="37">
        <v>0.15</v>
      </c>
      <c r="I267" s="30">
        <v>0.2</v>
      </c>
      <c r="J267" s="37">
        <v>0.47</v>
      </c>
      <c r="K267" s="37">
        <v>0.57999999999999996</v>
      </c>
      <c r="L267" s="37">
        <v>3</v>
      </c>
      <c r="M267" s="37">
        <v>52</v>
      </c>
      <c r="N267" s="37">
        <v>55</v>
      </c>
    </row>
    <row r="268" spans="1:14">
      <c r="A268" s="30">
        <v>267</v>
      </c>
      <c r="B268" s="31">
        <v>40555</v>
      </c>
      <c r="C268" s="30">
        <v>13</v>
      </c>
      <c r="D268" s="37" t="s">
        <v>29</v>
      </c>
      <c r="E268" s="37" t="b">
        <v>0</v>
      </c>
      <c r="F268" s="37" t="s">
        <v>22</v>
      </c>
      <c r="G268" s="37" t="s">
        <v>8</v>
      </c>
      <c r="H268" s="37">
        <v>0.2</v>
      </c>
      <c r="I268" s="30">
        <v>0.22</v>
      </c>
      <c r="J268" s="37">
        <v>0.44</v>
      </c>
      <c r="K268" s="37">
        <v>0.36</v>
      </c>
      <c r="L268" s="37">
        <v>0</v>
      </c>
      <c r="M268" s="37">
        <v>49</v>
      </c>
      <c r="N268" s="37">
        <v>49</v>
      </c>
    </row>
    <row r="269" spans="1:14">
      <c r="A269" s="30">
        <v>268</v>
      </c>
      <c r="B269" s="31">
        <v>40555</v>
      </c>
      <c r="C269" s="30">
        <v>14</v>
      </c>
      <c r="D269" s="37" t="s">
        <v>29</v>
      </c>
      <c r="E269" s="37" t="b">
        <v>0</v>
      </c>
      <c r="F269" s="37" t="s">
        <v>22</v>
      </c>
      <c r="G269" s="37" t="s">
        <v>8</v>
      </c>
      <c r="H269" s="37">
        <v>0.18</v>
      </c>
      <c r="I269" s="30">
        <v>0.2</v>
      </c>
      <c r="J269" s="37">
        <v>0.47</v>
      </c>
      <c r="K269" s="37">
        <v>0.33</v>
      </c>
      <c r="L269" s="37">
        <v>0</v>
      </c>
      <c r="M269" s="37">
        <v>44</v>
      </c>
      <c r="N269" s="37">
        <v>44</v>
      </c>
    </row>
    <row r="270" spans="1:14">
      <c r="A270" s="30">
        <v>269</v>
      </c>
      <c r="B270" s="31">
        <v>40555</v>
      </c>
      <c r="C270" s="30">
        <v>15</v>
      </c>
      <c r="D270" s="37" t="s">
        <v>29</v>
      </c>
      <c r="E270" s="37" t="b">
        <v>0</v>
      </c>
      <c r="F270" s="37" t="s">
        <v>22</v>
      </c>
      <c r="G270" s="37" t="s">
        <v>8</v>
      </c>
      <c r="H270" s="37">
        <v>0.17</v>
      </c>
      <c r="I270" s="30">
        <v>0.2</v>
      </c>
      <c r="J270" s="37">
        <v>0.47</v>
      </c>
      <c r="K270" s="37">
        <v>0.42</v>
      </c>
      <c r="L270" s="37">
        <v>1</v>
      </c>
      <c r="M270" s="37">
        <v>48</v>
      </c>
      <c r="N270" s="37">
        <v>49</v>
      </c>
    </row>
    <row r="271" spans="1:14">
      <c r="A271" s="30">
        <v>270</v>
      </c>
      <c r="B271" s="31">
        <v>40555</v>
      </c>
      <c r="C271" s="30">
        <v>16</v>
      </c>
      <c r="D271" s="37" t="s">
        <v>29</v>
      </c>
      <c r="E271" s="37" t="b">
        <v>0</v>
      </c>
      <c r="F271" s="37" t="s">
        <v>22</v>
      </c>
      <c r="G271" s="37" t="s">
        <v>8</v>
      </c>
      <c r="H271" s="37">
        <v>0.2</v>
      </c>
      <c r="I271" s="30">
        <v>0.22</v>
      </c>
      <c r="J271" s="37">
        <v>0.44</v>
      </c>
      <c r="K271" s="37">
        <v>0.33</v>
      </c>
      <c r="L271" s="37">
        <v>5</v>
      </c>
      <c r="M271" s="37">
        <v>63</v>
      </c>
      <c r="N271" s="37">
        <v>68</v>
      </c>
    </row>
    <row r="272" spans="1:14">
      <c r="A272" s="30">
        <v>271</v>
      </c>
      <c r="B272" s="31">
        <v>40555</v>
      </c>
      <c r="C272" s="30">
        <v>17</v>
      </c>
      <c r="D272" s="37" t="s">
        <v>29</v>
      </c>
      <c r="E272" s="37" t="b">
        <v>0</v>
      </c>
      <c r="F272" s="37" t="s">
        <v>22</v>
      </c>
      <c r="G272" s="37" t="s">
        <v>8</v>
      </c>
      <c r="H272" s="37">
        <v>0.18</v>
      </c>
      <c r="I272" s="30">
        <v>0.2</v>
      </c>
      <c r="J272" s="37">
        <v>0.47</v>
      </c>
      <c r="K272" s="37">
        <v>0.36</v>
      </c>
      <c r="L272" s="37">
        <v>0</v>
      </c>
      <c r="M272" s="37">
        <v>139</v>
      </c>
      <c r="N272" s="37">
        <v>139</v>
      </c>
    </row>
    <row r="273" spans="1:14">
      <c r="A273" s="30">
        <v>272</v>
      </c>
      <c r="B273" s="31">
        <v>40555</v>
      </c>
      <c r="C273" s="30">
        <v>18</v>
      </c>
      <c r="D273" s="37" t="s">
        <v>30</v>
      </c>
      <c r="E273" s="37" t="b">
        <v>0</v>
      </c>
      <c r="F273" s="37" t="s">
        <v>22</v>
      </c>
      <c r="G273" s="37" t="s">
        <v>8</v>
      </c>
      <c r="H273" s="37">
        <v>0.15</v>
      </c>
      <c r="I273" s="30">
        <v>0.2</v>
      </c>
      <c r="J273" s="37">
        <v>0.47</v>
      </c>
      <c r="K273" s="37">
        <v>0.52</v>
      </c>
      <c r="L273" s="37">
        <v>2</v>
      </c>
      <c r="M273" s="37">
        <v>135</v>
      </c>
      <c r="N273" s="37">
        <v>137</v>
      </c>
    </row>
    <row r="274" spans="1:14">
      <c r="A274" s="30">
        <v>273</v>
      </c>
      <c r="B274" s="31">
        <v>40555</v>
      </c>
      <c r="C274" s="30">
        <v>19</v>
      </c>
      <c r="D274" s="37" t="s">
        <v>30</v>
      </c>
      <c r="E274" s="37" t="b">
        <v>0</v>
      </c>
      <c r="F274" s="37" t="s">
        <v>22</v>
      </c>
      <c r="G274" s="37" t="s">
        <v>8</v>
      </c>
      <c r="H274" s="37">
        <v>0.15</v>
      </c>
      <c r="I274" s="30">
        <v>0.18</v>
      </c>
      <c r="J274" s="37">
        <v>0.47</v>
      </c>
      <c r="K274" s="37">
        <v>0.42</v>
      </c>
      <c r="L274" s="37">
        <v>1</v>
      </c>
      <c r="M274" s="37">
        <v>82</v>
      </c>
      <c r="N274" s="37">
        <v>83</v>
      </c>
    </row>
    <row r="275" spans="1:14">
      <c r="A275" s="30">
        <v>274</v>
      </c>
      <c r="B275" s="31">
        <v>40555</v>
      </c>
      <c r="C275" s="30">
        <v>20</v>
      </c>
      <c r="D275" s="37" t="s">
        <v>30</v>
      </c>
      <c r="E275" s="37" t="b">
        <v>0</v>
      </c>
      <c r="F275" s="37" t="s">
        <v>22</v>
      </c>
      <c r="G275" s="37" t="s">
        <v>8</v>
      </c>
      <c r="H275" s="37">
        <v>0.14000000000000001</v>
      </c>
      <c r="I275" s="30">
        <v>0.16</v>
      </c>
      <c r="J275" s="37">
        <v>0.5</v>
      </c>
      <c r="K275" s="37">
        <v>0.33</v>
      </c>
      <c r="L275" s="37">
        <v>2</v>
      </c>
      <c r="M275" s="37">
        <v>54</v>
      </c>
      <c r="N275" s="37">
        <v>56</v>
      </c>
    </row>
    <row r="276" spans="1:14">
      <c r="A276" s="30">
        <v>275</v>
      </c>
      <c r="B276" s="31">
        <v>40555</v>
      </c>
      <c r="C276" s="30">
        <v>21</v>
      </c>
      <c r="D276" s="37" t="s">
        <v>30</v>
      </c>
      <c r="E276" s="37" t="b">
        <v>0</v>
      </c>
      <c r="F276" s="37" t="s">
        <v>22</v>
      </c>
      <c r="G276" s="37" t="s">
        <v>8</v>
      </c>
      <c r="H276" s="37">
        <v>0.14000000000000001</v>
      </c>
      <c r="I276" s="30">
        <v>0.16</v>
      </c>
      <c r="J276" s="37">
        <v>0.55000000000000004</v>
      </c>
      <c r="K276" s="37">
        <v>0.33</v>
      </c>
      <c r="L276" s="37">
        <v>0</v>
      </c>
      <c r="M276" s="37">
        <v>57</v>
      </c>
      <c r="N276" s="37">
        <v>57</v>
      </c>
    </row>
    <row r="277" spans="1:14">
      <c r="A277" s="30">
        <v>276</v>
      </c>
      <c r="B277" s="31">
        <v>40555</v>
      </c>
      <c r="C277" s="30">
        <v>22</v>
      </c>
      <c r="D277" s="37" t="s">
        <v>30</v>
      </c>
      <c r="E277" s="37" t="b">
        <v>0</v>
      </c>
      <c r="F277" s="37" t="s">
        <v>22</v>
      </c>
      <c r="G277" s="37" t="s">
        <v>8</v>
      </c>
      <c r="H277" s="37">
        <v>0.12</v>
      </c>
      <c r="I277" s="30">
        <v>0.16</v>
      </c>
      <c r="J277" s="37">
        <v>0.55000000000000004</v>
      </c>
      <c r="K277" s="37">
        <v>0.45</v>
      </c>
      <c r="L277" s="37">
        <v>1</v>
      </c>
      <c r="M277" s="37">
        <v>32</v>
      </c>
      <c r="N277" s="37">
        <v>33</v>
      </c>
    </row>
    <row r="278" spans="1:14">
      <c r="A278" s="30">
        <v>277</v>
      </c>
      <c r="B278" s="31">
        <v>40555</v>
      </c>
      <c r="C278" s="30">
        <v>23</v>
      </c>
      <c r="D278" s="37" t="s">
        <v>30</v>
      </c>
      <c r="E278" s="37" t="b">
        <v>0</v>
      </c>
      <c r="F278" s="37" t="s">
        <v>22</v>
      </c>
      <c r="G278" s="37" t="s">
        <v>8</v>
      </c>
      <c r="H278" s="37">
        <v>0.11</v>
      </c>
      <c r="I278" s="30">
        <v>0.14000000000000001</v>
      </c>
      <c r="J278" s="37">
        <v>0.59</v>
      </c>
      <c r="K278" s="37">
        <v>0.42</v>
      </c>
      <c r="L278" s="37">
        <v>1</v>
      </c>
      <c r="M278" s="37">
        <v>19</v>
      </c>
      <c r="N278" s="37">
        <v>20</v>
      </c>
    </row>
    <row r="279" spans="1:14">
      <c r="A279" s="30">
        <v>278</v>
      </c>
      <c r="B279" s="31">
        <v>40556</v>
      </c>
      <c r="C279" s="30">
        <v>0</v>
      </c>
      <c r="D279" s="37" t="s">
        <v>27</v>
      </c>
      <c r="E279" s="37" t="b">
        <v>0</v>
      </c>
      <c r="F279" s="37" t="s">
        <v>23</v>
      </c>
      <c r="G279" s="37" t="s">
        <v>8</v>
      </c>
      <c r="H279" s="37">
        <v>0.12</v>
      </c>
      <c r="I279" s="30">
        <v>0.14000000000000001</v>
      </c>
      <c r="J279" s="37">
        <v>0.59</v>
      </c>
      <c r="K279" s="37">
        <v>0.28000000000000003</v>
      </c>
      <c r="L279" s="37">
        <v>1</v>
      </c>
      <c r="M279" s="37">
        <v>6</v>
      </c>
      <c r="N279" s="37">
        <v>7</v>
      </c>
    </row>
    <row r="280" spans="1:14">
      <c r="A280" s="30">
        <v>279</v>
      </c>
      <c r="B280" s="31">
        <v>40556</v>
      </c>
      <c r="C280" s="30">
        <v>1</v>
      </c>
      <c r="D280" s="37" t="s">
        <v>27</v>
      </c>
      <c r="E280" s="37" t="b">
        <v>0</v>
      </c>
      <c r="F280" s="37" t="s">
        <v>23</v>
      </c>
      <c r="G280" s="37" t="s">
        <v>8</v>
      </c>
      <c r="H280" s="37">
        <v>0.12</v>
      </c>
      <c r="I280" s="30">
        <v>0.14000000000000001</v>
      </c>
      <c r="J280" s="37">
        <v>0.5</v>
      </c>
      <c r="K280" s="37">
        <v>0.28000000000000003</v>
      </c>
      <c r="L280" s="37">
        <v>0</v>
      </c>
      <c r="M280" s="37">
        <v>2</v>
      </c>
      <c r="N280" s="37">
        <v>2</v>
      </c>
    </row>
    <row r="281" spans="1:14">
      <c r="A281" s="30">
        <v>280</v>
      </c>
      <c r="B281" s="31">
        <v>40556</v>
      </c>
      <c r="C281" s="30">
        <v>2</v>
      </c>
      <c r="D281" s="37" t="s">
        <v>27</v>
      </c>
      <c r="E281" s="37" t="b">
        <v>0</v>
      </c>
      <c r="F281" s="37" t="s">
        <v>23</v>
      </c>
      <c r="G281" s="37" t="s">
        <v>8</v>
      </c>
      <c r="H281" s="37">
        <v>0.12</v>
      </c>
      <c r="I281" s="30">
        <v>0.14000000000000001</v>
      </c>
      <c r="J281" s="37">
        <v>0.5</v>
      </c>
      <c r="K281" s="37">
        <v>0.36</v>
      </c>
      <c r="L281" s="37">
        <v>0</v>
      </c>
      <c r="M281" s="37">
        <v>2</v>
      </c>
      <c r="N281" s="37">
        <v>2</v>
      </c>
    </row>
    <row r="282" spans="1:14">
      <c r="A282" s="30">
        <v>281</v>
      </c>
      <c r="B282" s="31">
        <v>40556</v>
      </c>
      <c r="C282" s="30">
        <v>3</v>
      </c>
      <c r="D282" s="37" t="s">
        <v>27</v>
      </c>
      <c r="E282" s="37" t="b">
        <v>0</v>
      </c>
      <c r="F282" s="37" t="s">
        <v>23</v>
      </c>
      <c r="G282" s="37" t="s">
        <v>8</v>
      </c>
      <c r="H282" s="37">
        <v>0.12</v>
      </c>
      <c r="I282" s="30">
        <v>0.14000000000000001</v>
      </c>
      <c r="J282" s="37">
        <v>0.5</v>
      </c>
      <c r="K282" s="37">
        <v>0.33</v>
      </c>
      <c r="L282" s="37">
        <v>0</v>
      </c>
      <c r="M282" s="37">
        <v>3</v>
      </c>
      <c r="N282" s="37">
        <v>3</v>
      </c>
    </row>
    <row r="283" spans="1:14">
      <c r="A283" s="30">
        <v>282</v>
      </c>
      <c r="B283" s="31">
        <v>40556</v>
      </c>
      <c r="C283" s="30">
        <v>4</v>
      </c>
      <c r="D283" s="37" t="s">
        <v>27</v>
      </c>
      <c r="E283" s="37" t="b">
        <v>0</v>
      </c>
      <c r="F283" s="37" t="s">
        <v>23</v>
      </c>
      <c r="G283" s="37" t="s">
        <v>8</v>
      </c>
      <c r="H283" s="37">
        <v>0.12</v>
      </c>
      <c r="I283" s="30">
        <v>0.14000000000000001</v>
      </c>
      <c r="J283" s="37">
        <v>0.5</v>
      </c>
      <c r="K283" s="37">
        <v>0.25</v>
      </c>
      <c r="L283" s="37">
        <v>0</v>
      </c>
      <c r="M283" s="37">
        <v>4</v>
      </c>
      <c r="N283" s="37">
        <v>4</v>
      </c>
    </row>
    <row r="284" spans="1:14">
      <c r="A284" s="30">
        <v>283</v>
      </c>
      <c r="B284" s="31">
        <v>40556</v>
      </c>
      <c r="C284" s="30">
        <v>5</v>
      </c>
      <c r="D284" s="37" t="s">
        <v>27</v>
      </c>
      <c r="E284" s="37" t="b">
        <v>0</v>
      </c>
      <c r="F284" s="37" t="s">
        <v>23</v>
      </c>
      <c r="G284" s="37" t="s">
        <v>8</v>
      </c>
      <c r="H284" s="37">
        <v>0.12</v>
      </c>
      <c r="I284" s="30">
        <v>0.14000000000000001</v>
      </c>
      <c r="J284" s="37">
        <v>0.5</v>
      </c>
      <c r="K284" s="37">
        <v>0.3</v>
      </c>
      <c r="L284" s="37">
        <v>0</v>
      </c>
      <c r="M284" s="37">
        <v>3</v>
      </c>
      <c r="N284" s="37">
        <v>3</v>
      </c>
    </row>
    <row r="285" spans="1:14">
      <c r="A285" s="30">
        <v>284</v>
      </c>
      <c r="B285" s="31">
        <v>40556</v>
      </c>
      <c r="C285" s="30">
        <v>6</v>
      </c>
      <c r="D285" s="37" t="s">
        <v>28</v>
      </c>
      <c r="E285" s="37" t="b">
        <v>0</v>
      </c>
      <c r="F285" s="37" t="s">
        <v>23</v>
      </c>
      <c r="G285" s="37" t="s">
        <v>8</v>
      </c>
      <c r="H285" s="37">
        <v>0.15</v>
      </c>
      <c r="I285" s="30">
        <v>0.12</v>
      </c>
      <c r="J285" s="37">
        <v>0.54</v>
      </c>
      <c r="K285" s="37">
        <v>0.13</v>
      </c>
      <c r="L285" s="37">
        <v>0</v>
      </c>
      <c r="M285" s="37">
        <v>28</v>
      </c>
      <c r="N285" s="37">
        <v>28</v>
      </c>
    </row>
    <row r="286" spans="1:14">
      <c r="A286" s="30">
        <v>285</v>
      </c>
      <c r="B286" s="31">
        <v>40556</v>
      </c>
      <c r="C286" s="30">
        <v>7</v>
      </c>
      <c r="D286" s="37" t="s">
        <v>28</v>
      </c>
      <c r="E286" s="37" t="b">
        <v>0</v>
      </c>
      <c r="F286" s="37" t="s">
        <v>23</v>
      </c>
      <c r="G286" s="37" t="s">
        <v>8</v>
      </c>
      <c r="H286" s="37">
        <v>0.15</v>
      </c>
      <c r="I286" s="30">
        <v>0.12</v>
      </c>
      <c r="J286" s="37">
        <v>0.54</v>
      </c>
      <c r="K286" s="37">
        <v>0.13</v>
      </c>
      <c r="L286" s="37">
        <v>0</v>
      </c>
      <c r="M286" s="37">
        <v>72</v>
      </c>
      <c r="N286" s="37">
        <v>72</v>
      </c>
    </row>
    <row r="287" spans="1:14">
      <c r="A287" s="30">
        <v>286</v>
      </c>
      <c r="B287" s="31">
        <v>40556</v>
      </c>
      <c r="C287" s="30">
        <v>8</v>
      </c>
      <c r="D287" s="37" t="s">
        <v>28</v>
      </c>
      <c r="E287" s="37" t="b">
        <v>0</v>
      </c>
      <c r="F287" s="37" t="s">
        <v>23</v>
      </c>
      <c r="G287" s="37" t="s">
        <v>8</v>
      </c>
      <c r="H287" s="37">
        <v>0.14000000000000001</v>
      </c>
      <c r="I287" s="30">
        <v>0.14000000000000001</v>
      </c>
      <c r="J287" s="37">
        <v>0.5</v>
      </c>
      <c r="K287" s="37">
        <v>0.19</v>
      </c>
      <c r="L287" s="37">
        <v>5</v>
      </c>
      <c r="M287" s="37">
        <v>197</v>
      </c>
      <c r="N287" s="37">
        <v>202</v>
      </c>
    </row>
    <row r="288" spans="1:14">
      <c r="A288" s="30">
        <v>287</v>
      </c>
      <c r="B288" s="31">
        <v>40556</v>
      </c>
      <c r="C288" s="30">
        <v>9</v>
      </c>
      <c r="D288" s="37" t="s">
        <v>28</v>
      </c>
      <c r="E288" s="37" t="b">
        <v>0</v>
      </c>
      <c r="F288" s="37" t="s">
        <v>23</v>
      </c>
      <c r="G288" s="37" t="s">
        <v>8</v>
      </c>
      <c r="H288" s="37">
        <v>0.12</v>
      </c>
      <c r="I288" s="30">
        <v>0.14000000000000001</v>
      </c>
      <c r="J288" s="37">
        <v>0.5</v>
      </c>
      <c r="K288" s="37">
        <v>0.33</v>
      </c>
      <c r="L288" s="37">
        <v>2</v>
      </c>
      <c r="M288" s="37">
        <v>137</v>
      </c>
      <c r="N288" s="37">
        <v>139</v>
      </c>
    </row>
    <row r="289" spans="1:14">
      <c r="A289" s="30">
        <v>288</v>
      </c>
      <c r="B289" s="31">
        <v>40556</v>
      </c>
      <c r="C289" s="30">
        <v>10</v>
      </c>
      <c r="D289" s="37" t="s">
        <v>28</v>
      </c>
      <c r="E289" s="37" t="b">
        <v>0</v>
      </c>
      <c r="F289" s="37" t="s">
        <v>23</v>
      </c>
      <c r="G289" s="37" t="s">
        <v>9</v>
      </c>
      <c r="H289" s="37">
        <v>0.14000000000000001</v>
      </c>
      <c r="I289" s="30">
        <v>0.16</v>
      </c>
      <c r="J289" s="37">
        <v>0.5</v>
      </c>
      <c r="K289" s="37">
        <v>0.36</v>
      </c>
      <c r="L289" s="37">
        <v>2</v>
      </c>
      <c r="M289" s="37">
        <v>36</v>
      </c>
      <c r="N289" s="37">
        <v>38</v>
      </c>
    </row>
    <row r="290" spans="1:14">
      <c r="A290" s="30">
        <v>289</v>
      </c>
      <c r="B290" s="31">
        <v>40556</v>
      </c>
      <c r="C290" s="30">
        <v>11</v>
      </c>
      <c r="D290" s="37" t="s">
        <v>28</v>
      </c>
      <c r="E290" s="37" t="b">
        <v>0</v>
      </c>
      <c r="F290" s="37" t="s">
        <v>23</v>
      </c>
      <c r="G290" s="37" t="s">
        <v>9</v>
      </c>
      <c r="H290" s="37">
        <v>0.17</v>
      </c>
      <c r="I290" s="30">
        <v>0.2</v>
      </c>
      <c r="J290" s="37">
        <v>0.44</v>
      </c>
      <c r="K290" s="37">
        <v>0.45</v>
      </c>
      <c r="L290" s="37">
        <v>4</v>
      </c>
      <c r="M290" s="37">
        <v>33</v>
      </c>
      <c r="N290" s="37">
        <v>37</v>
      </c>
    </row>
    <row r="291" spans="1:14">
      <c r="A291" s="30">
        <v>290</v>
      </c>
      <c r="B291" s="31">
        <v>40556</v>
      </c>
      <c r="C291" s="30">
        <v>12</v>
      </c>
      <c r="D291" s="37" t="s">
        <v>29</v>
      </c>
      <c r="E291" s="37" t="b">
        <v>0</v>
      </c>
      <c r="F291" s="37" t="s">
        <v>23</v>
      </c>
      <c r="G291" s="37" t="s">
        <v>8</v>
      </c>
      <c r="H291" s="37">
        <v>0.17</v>
      </c>
      <c r="I291" s="30">
        <v>0.2</v>
      </c>
      <c r="J291" s="37">
        <v>0.44</v>
      </c>
      <c r="K291" s="37">
        <v>0.42</v>
      </c>
      <c r="L291" s="37">
        <v>3</v>
      </c>
      <c r="M291" s="37">
        <v>49</v>
      </c>
      <c r="N291" s="37">
        <v>52</v>
      </c>
    </row>
    <row r="292" spans="1:14">
      <c r="A292" s="30">
        <v>291</v>
      </c>
      <c r="B292" s="31">
        <v>40556</v>
      </c>
      <c r="C292" s="30">
        <v>13</v>
      </c>
      <c r="D292" s="37" t="s">
        <v>29</v>
      </c>
      <c r="E292" s="37" t="b">
        <v>0</v>
      </c>
      <c r="F292" s="37" t="s">
        <v>23</v>
      </c>
      <c r="G292" s="37" t="s">
        <v>8</v>
      </c>
      <c r="H292" s="37">
        <v>0.2</v>
      </c>
      <c r="I292" s="30">
        <v>0.22</v>
      </c>
      <c r="J292" s="37">
        <v>0.41</v>
      </c>
      <c r="K292" s="37">
        <v>0.45</v>
      </c>
      <c r="L292" s="37">
        <v>2</v>
      </c>
      <c r="M292" s="37">
        <v>81</v>
      </c>
      <c r="N292" s="37">
        <v>83</v>
      </c>
    </row>
    <row r="293" spans="1:14">
      <c r="A293" s="30">
        <v>292</v>
      </c>
      <c r="B293" s="31">
        <v>40556</v>
      </c>
      <c r="C293" s="30">
        <v>14</v>
      </c>
      <c r="D293" s="37" t="s">
        <v>29</v>
      </c>
      <c r="E293" s="37" t="b">
        <v>0</v>
      </c>
      <c r="F293" s="37" t="s">
        <v>23</v>
      </c>
      <c r="G293" s="37" t="s">
        <v>8</v>
      </c>
      <c r="H293" s="37">
        <v>0.2</v>
      </c>
      <c r="I293" s="30">
        <v>0.22</v>
      </c>
      <c r="J293" s="37">
        <v>0.41</v>
      </c>
      <c r="K293" s="37">
        <v>0.39</v>
      </c>
      <c r="L293" s="37">
        <v>3</v>
      </c>
      <c r="M293" s="37">
        <v>39</v>
      </c>
      <c r="N293" s="37">
        <v>42</v>
      </c>
    </row>
    <row r="294" spans="1:14">
      <c r="A294" s="30">
        <v>293</v>
      </c>
      <c r="B294" s="31">
        <v>40556</v>
      </c>
      <c r="C294" s="30">
        <v>15</v>
      </c>
      <c r="D294" s="37" t="s">
        <v>29</v>
      </c>
      <c r="E294" s="37" t="b">
        <v>0</v>
      </c>
      <c r="F294" s="37" t="s">
        <v>23</v>
      </c>
      <c r="G294" s="37" t="s">
        <v>8</v>
      </c>
      <c r="H294" s="37">
        <v>0.21</v>
      </c>
      <c r="I294" s="30">
        <v>0.24</v>
      </c>
      <c r="J294" s="37">
        <v>0.38</v>
      </c>
      <c r="K294" s="37">
        <v>0.3</v>
      </c>
      <c r="L294" s="37">
        <v>5</v>
      </c>
      <c r="M294" s="37">
        <v>55</v>
      </c>
      <c r="N294" s="37">
        <v>60</v>
      </c>
    </row>
    <row r="295" spans="1:14">
      <c r="A295" s="30">
        <v>294</v>
      </c>
      <c r="B295" s="31">
        <v>40556</v>
      </c>
      <c r="C295" s="30">
        <v>16</v>
      </c>
      <c r="D295" s="37" t="s">
        <v>29</v>
      </c>
      <c r="E295" s="37" t="b">
        <v>0</v>
      </c>
      <c r="F295" s="37" t="s">
        <v>23</v>
      </c>
      <c r="G295" s="37" t="s">
        <v>8</v>
      </c>
      <c r="H295" s="37">
        <v>0.21</v>
      </c>
      <c r="I295" s="30">
        <v>0.24</v>
      </c>
      <c r="J295" s="37">
        <v>0.38</v>
      </c>
      <c r="K295" s="37">
        <v>0.36</v>
      </c>
      <c r="L295" s="37">
        <v>2</v>
      </c>
      <c r="M295" s="37">
        <v>76</v>
      </c>
      <c r="N295" s="37">
        <v>78</v>
      </c>
    </row>
    <row r="296" spans="1:14">
      <c r="A296" s="30">
        <v>295</v>
      </c>
      <c r="B296" s="31">
        <v>40556</v>
      </c>
      <c r="C296" s="30">
        <v>17</v>
      </c>
      <c r="D296" s="37" t="s">
        <v>29</v>
      </c>
      <c r="E296" s="37" t="b">
        <v>0</v>
      </c>
      <c r="F296" s="37" t="s">
        <v>23</v>
      </c>
      <c r="G296" s="37" t="s">
        <v>8</v>
      </c>
      <c r="H296" s="37">
        <v>0.18</v>
      </c>
      <c r="I296" s="30">
        <v>0.2</v>
      </c>
      <c r="J296" s="37">
        <v>0.4</v>
      </c>
      <c r="K296" s="37">
        <v>0.28000000000000003</v>
      </c>
      <c r="L296" s="37">
        <v>4</v>
      </c>
      <c r="M296" s="37">
        <v>158</v>
      </c>
      <c r="N296" s="37">
        <v>162</v>
      </c>
    </row>
    <row r="297" spans="1:14">
      <c r="A297" s="30">
        <v>296</v>
      </c>
      <c r="B297" s="31">
        <v>40556</v>
      </c>
      <c r="C297" s="30">
        <v>18</v>
      </c>
      <c r="D297" s="37" t="s">
        <v>30</v>
      </c>
      <c r="E297" s="37" t="b">
        <v>0</v>
      </c>
      <c r="F297" s="37" t="s">
        <v>23</v>
      </c>
      <c r="G297" s="37" t="s">
        <v>8</v>
      </c>
      <c r="H297" s="37">
        <v>0.18</v>
      </c>
      <c r="I297" s="30">
        <v>0.2</v>
      </c>
      <c r="J297" s="37">
        <v>0.4</v>
      </c>
      <c r="K297" s="37">
        <v>0.33</v>
      </c>
      <c r="L297" s="37">
        <v>3</v>
      </c>
      <c r="M297" s="37">
        <v>141</v>
      </c>
      <c r="N297" s="37">
        <v>144</v>
      </c>
    </row>
    <row r="298" spans="1:14">
      <c r="A298" s="30">
        <v>297</v>
      </c>
      <c r="B298" s="31">
        <v>40556</v>
      </c>
      <c r="C298" s="30">
        <v>19</v>
      </c>
      <c r="D298" s="37" t="s">
        <v>30</v>
      </c>
      <c r="E298" s="37" t="b">
        <v>0</v>
      </c>
      <c r="F298" s="37" t="s">
        <v>23</v>
      </c>
      <c r="G298" s="37" t="s">
        <v>8</v>
      </c>
      <c r="H298" s="37">
        <v>0.15</v>
      </c>
      <c r="I298" s="30">
        <v>0.16</v>
      </c>
      <c r="J298" s="37">
        <v>0.47</v>
      </c>
      <c r="K298" s="37">
        <v>0.25</v>
      </c>
      <c r="L298" s="37">
        <v>1</v>
      </c>
      <c r="M298" s="37">
        <v>98</v>
      </c>
      <c r="N298" s="37">
        <v>99</v>
      </c>
    </row>
    <row r="299" spans="1:14">
      <c r="A299" s="30">
        <v>298</v>
      </c>
      <c r="B299" s="31">
        <v>40556</v>
      </c>
      <c r="C299" s="30">
        <v>20</v>
      </c>
      <c r="D299" s="37" t="s">
        <v>30</v>
      </c>
      <c r="E299" s="37" t="b">
        <v>0</v>
      </c>
      <c r="F299" s="37" t="s">
        <v>23</v>
      </c>
      <c r="G299" s="37" t="s">
        <v>8</v>
      </c>
      <c r="H299" s="37">
        <v>0.15</v>
      </c>
      <c r="I299" s="30">
        <v>0.16</v>
      </c>
      <c r="J299" s="37">
        <v>0.47</v>
      </c>
      <c r="K299" s="37">
        <v>0.22</v>
      </c>
      <c r="L299" s="37">
        <v>0</v>
      </c>
      <c r="M299" s="37">
        <v>64</v>
      </c>
      <c r="N299" s="37">
        <v>64</v>
      </c>
    </row>
    <row r="300" spans="1:14">
      <c r="A300" s="30">
        <v>299</v>
      </c>
      <c r="B300" s="31">
        <v>40556</v>
      </c>
      <c r="C300" s="30">
        <v>21</v>
      </c>
      <c r="D300" s="37" t="s">
        <v>30</v>
      </c>
      <c r="E300" s="37" t="b">
        <v>0</v>
      </c>
      <c r="F300" s="37" t="s">
        <v>23</v>
      </c>
      <c r="G300" s="37" t="s">
        <v>8</v>
      </c>
      <c r="H300" s="37">
        <v>0.12</v>
      </c>
      <c r="I300" s="30">
        <v>0.14000000000000001</v>
      </c>
      <c r="J300" s="37">
        <v>0.46</v>
      </c>
      <c r="K300" s="37">
        <v>0.3</v>
      </c>
      <c r="L300" s="37">
        <v>0</v>
      </c>
      <c r="M300" s="37">
        <v>40</v>
      </c>
      <c r="N300" s="37">
        <v>40</v>
      </c>
    </row>
    <row r="301" spans="1:14">
      <c r="A301" s="30">
        <v>300</v>
      </c>
      <c r="B301" s="31">
        <v>40556</v>
      </c>
      <c r="C301" s="30">
        <v>22</v>
      </c>
      <c r="D301" s="37" t="s">
        <v>30</v>
      </c>
      <c r="E301" s="37" t="b">
        <v>0</v>
      </c>
      <c r="F301" s="37" t="s">
        <v>23</v>
      </c>
      <c r="G301" s="37" t="s">
        <v>8</v>
      </c>
      <c r="H301" s="37">
        <v>0.12</v>
      </c>
      <c r="I301" s="30">
        <v>0.14000000000000001</v>
      </c>
      <c r="J301" s="37">
        <v>0.46</v>
      </c>
      <c r="K301" s="37">
        <v>0.33</v>
      </c>
      <c r="L301" s="37">
        <v>0</v>
      </c>
      <c r="M301" s="37">
        <v>30</v>
      </c>
      <c r="N301" s="37">
        <v>30</v>
      </c>
    </row>
    <row r="302" spans="1:14">
      <c r="A302" s="30">
        <v>301</v>
      </c>
      <c r="B302" s="31">
        <v>40556</v>
      </c>
      <c r="C302" s="30">
        <v>23</v>
      </c>
      <c r="D302" s="37" t="s">
        <v>30</v>
      </c>
      <c r="E302" s="37" t="b">
        <v>0</v>
      </c>
      <c r="F302" s="37" t="s">
        <v>23</v>
      </c>
      <c r="G302" s="37" t="s">
        <v>8</v>
      </c>
      <c r="H302" s="37">
        <v>0.14000000000000001</v>
      </c>
      <c r="I302" s="30">
        <v>0.12</v>
      </c>
      <c r="J302" s="37">
        <v>0.5</v>
      </c>
      <c r="K302" s="37">
        <v>0.19</v>
      </c>
      <c r="L302" s="37">
        <v>1</v>
      </c>
      <c r="M302" s="37">
        <v>14</v>
      </c>
      <c r="N302" s="37">
        <v>15</v>
      </c>
    </row>
    <row r="303" spans="1:14">
      <c r="A303" s="30">
        <v>302</v>
      </c>
      <c r="B303" s="31">
        <v>40557</v>
      </c>
      <c r="C303" s="30">
        <v>0</v>
      </c>
      <c r="D303" s="37" t="s">
        <v>27</v>
      </c>
      <c r="E303" s="37" t="b">
        <v>0</v>
      </c>
      <c r="F303" s="37" t="s">
        <v>24</v>
      </c>
      <c r="G303" s="37" t="s">
        <v>8</v>
      </c>
      <c r="H303" s="37">
        <v>0.14000000000000001</v>
      </c>
      <c r="I303" s="30">
        <v>0.12</v>
      </c>
      <c r="J303" s="37">
        <v>0.5</v>
      </c>
      <c r="K303" s="37">
        <v>0.19</v>
      </c>
      <c r="L303" s="37">
        <v>0</v>
      </c>
      <c r="M303" s="37">
        <v>14</v>
      </c>
      <c r="N303" s="37">
        <v>14</v>
      </c>
    </row>
    <row r="304" spans="1:14">
      <c r="A304" s="30">
        <v>303</v>
      </c>
      <c r="B304" s="31">
        <v>40557</v>
      </c>
      <c r="C304" s="30">
        <v>1</v>
      </c>
      <c r="D304" s="37" t="s">
        <v>27</v>
      </c>
      <c r="E304" s="37" t="b">
        <v>0</v>
      </c>
      <c r="F304" s="37" t="s">
        <v>24</v>
      </c>
      <c r="G304" s="37" t="s">
        <v>8</v>
      </c>
      <c r="H304" s="37">
        <v>0.12</v>
      </c>
      <c r="I304" s="30">
        <v>0.1</v>
      </c>
      <c r="J304" s="37">
        <v>0.54</v>
      </c>
      <c r="K304" s="37">
        <v>0.16</v>
      </c>
      <c r="L304" s="37">
        <v>0</v>
      </c>
      <c r="M304" s="37">
        <v>5</v>
      </c>
      <c r="N304" s="37">
        <v>5</v>
      </c>
    </row>
    <row r="305" spans="1:14">
      <c r="A305" s="30">
        <v>304</v>
      </c>
      <c r="B305" s="31">
        <v>40557</v>
      </c>
      <c r="C305" s="30">
        <v>2</v>
      </c>
      <c r="D305" s="37" t="s">
        <v>27</v>
      </c>
      <c r="E305" s="37" t="b">
        <v>0</v>
      </c>
      <c r="F305" s="37" t="s">
        <v>24</v>
      </c>
      <c r="G305" s="37" t="s">
        <v>8</v>
      </c>
      <c r="H305" s="37">
        <v>0.12</v>
      </c>
      <c r="I305" s="30">
        <v>0.1</v>
      </c>
      <c r="J305" s="37">
        <v>0.54</v>
      </c>
      <c r="K305" s="37">
        <v>0.13</v>
      </c>
      <c r="L305" s="37">
        <v>0</v>
      </c>
      <c r="M305" s="37">
        <v>1</v>
      </c>
      <c r="N305" s="37">
        <v>1</v>
      </c>
    </row>
    <row r="306" spans="1:14">
      <c r="A306" s="30">
        <v>305</v>
      </c>
      <c r="B306" s="31">
        <v>40557</v>
      </c>
      <c r="C306" s="30">
        <v>3</v>
      </c>
      <c r="D306" s="37" t="s">
        <v>27</v>
      </c>
      <c r="E306" s="37" t="b">
        <v>0</v>
      </c>
      <c r="F306" s="37" t="s">
        <v>24</v>
      </c>
      <c r="G306" s="37" t="s">
        <v>8</v>
      </c>
      <c r="H306" s="37">
        <v>0.14000000000000001</v>
      </c>
      <c r="I306" s="30">
        <v>0.1</v>
      </c>
      <c r="J306" s="37">
        <v>0.54</v>
      </c>
      <c r="K306" s="37">
        <v>0.1</v>
      </c>
      <c r="L306" s="37">
        <v>0</v>
      </c>
      <c r="M306" s="37">
        <v>1</v>
      </c>
      <c r="N306" s="37">
        <v>1</v>
      </c>
    </row>
    <row r="307" spans="1:14">
      <c r="A307" s="30">
        <v>306</v>
      </c>
      <c r="B307" s="31">
        <v>40557</v>
      </c>
      <c r="C307" s="30">
        <v>5</v>
      </c>
      <c r="D307" s="37" t="s">
        <v>27</v>
      </c>
      <c r="E307" s="37" t="b">
        <v>0</v>
      </c>
      <c r="F307" s="37" t="s">
        <v>24</v>
      </c>
      <c r="G307" s="37" t="s">
        <v>8</v>
      </c>
      <c r="H307" s="37">
        <v>0.14000000000000001</v>
      </c>
      <c r="I307" s="30">
        <v>0.1</v>
      </c>
      <c r="J307" s="37">
        <v>0.54</v>
      </c>
      <c r="K307" s="37">
        <v>0.09</v>
      </c>
      <c r="L307" s="37">
        <v>0</v>
      </c>
      <c r="M307" s="37">
        <v>8</v>
      </c>
      <c r="N307" s="37">
        <v>8</v>
      </c>
    </row>
    <row r="308" spans="1:14">
      <c r="A308" s="30">
        <v>307</v>
      </c>
      <c r="B308" s="31">
        <v>40557</v>
      </c>
      <c r="C308" s="30">
        <v>6</v>
      </c>
      <c r="D308" s="37" t="s">
        <v>28</v>
      </c>
      <c r="E308" s="37" t="b">
        <v>0</v>
      </c>
      <c r="F308" s="37" t="s">
        <v>24</v>
      </c>
      <c r="G308" s="37" t="s">
        <v>8</v>
      </c>
      <c r="H308" s="37">
        <v>0.18</v>
      </c>
      <c r="I308" s="30">
        <v>0.1</v>
      </c>
      <c r="J308" s="37">
        <v>0.54</v>
      </c>
      <c r="K308" s="37">
        <v>0</v>
      </c>
      <c r="L308" s="37">
        <v>0</v>
      </c>
      <c r="M308" s="37">
        <v>17</v>
      </c>
      <c r="N308" s="37">
        <v>17</v>
      </c>
    </row>
    <row r="309" spans="1:14">
      <c r="A309" s="30">
        <v>308</v>
      </c>
      <c r="B309" s="31">
        <v>40557</v>
      </c>
      <c r="C309" s="30">
        <v>7</v>
      </c>
      <c r="D309" s="37" t="s">
        <v>28</v>
      </c>
      <c r="E309" s="37" t="b">
        <v>0</v>
      </c>
      <c r="F309" s="37" t="s">
        <v>24</v>
      </c>
      <c r="G309" s="37" t="s">
        <v>8</v>
      </c>
      <c r="H309" s="37">
        <v>0.12</v>
      </c>
      <c r="I309" s="30">
        <v>0.1</v>
      </c>
      <c r="J309" s="37">
        <v>0.74</v>
      </c>
      <c r="K309" s="37">
        <v>0.16</v>
      </c>
      <c r="L309" s="37">
        <v>0</v>
      </c>
      <c r="M309" s="37">
        <v>70</v>
      </c>
      <c r="N309" s="37">
        <v>70</v>
      </c>
    </row>
    <row r="310" spans="1:14">
      <c r="A310" s="30">
        <v>309</v>
      </c>
      <c r="B310" s="31">
        <v>40557</v>
      </c>
      <c r="C310" s="30">
        <v>8</v>
      </c>
      <c r="D310" s="37" t="s">
        <v>28</v>
      </c>
      <c r="E310" s="37" t="b">
        <v>0</v>
      </c>
      <c r="F310" s="37" t="s">
        <v>24</v>
      </c>
      <c r="G310" s="37" t="s">
        <v>8</v>
      </c>
      <c r="H310" s="37">
        <v>0.17</v>
      </c>
      <c r="I310" s="30">
        <v>0.12</v>
      </c>
      <c r="J310" s="37">
        <v>0.68</v>
      </c>
      <c r="K310" s="37">
        <v>0</v>
      </c>
      <c r="L310" s="37">
        <v>2</v>
      </c>
      <c r="M310" s="37">
        <v>156</v>
      </c>
      <c r="N310" s="37">
        <v>158</v>
      </c>
    </row>
    <row r="311" spans="1:14">
      <c r="A311" s="30">
        <v>310</v>
      </c>
      <c r="B311" s="31">
        <v>40557</v>
      </c>
      <c r="C311" s="30">
        <v>9</v>
      </c>
      <c r="D311" s="37" t="s">
        <v>28</v>
      </c>
      <c r="E311" s="37" t="b">
        <v>0</v>
      </c>
      <c r="F311" s="37" t="s">
        <v>24</v>
      </c>
      <c r="G311" s="37" t="s">
        <v>8</v>
      </c>
      <c r="H311" s="37">
        <v>0.15</v>
      </c>
      <c r="I311" s="30">
        <v>0.14000000000000001</v>
      </c>
      <c r="J311" s="37">
        <v>0.69</v>
      </c>
      <c r="K311" s="37">
        <v>0.13</v>
      </c>
      <c r="L311" s="37">
        <v>0</v>
      </c>
      <c r="M311" s="37">
        <v>117</v>
      </c>
      <c r="N311" s="37">
        <v>117</v>
      </c>
    </row>
    <row r="312" spans="1:14">
      <c r="A312" s="30">
        <v>311</v>
      </c>
      <c r="B312" s="31">
        <v>40557</v>
      </c>
      <c r="C312" s="30">
        <v>10</v>
      </c>
      <c r="D312" s="37" t="s">
        <v>28</v>
      </c>
      <c r="E312" s="37" t="b">
        <v>0</v>
      </c>
      <c r="F312" s="37" t="s">
        <v>24</v>
      </c>
      <c r="G312" s="37" t="s">
        <v>8</v>
      </c>
      <c r="H312" s="37">
        <v>0.18</v>
      </c>
      <c r="I312" s="30">
        <v>0.18</v>
      </c>
      <c r="J312" s="37">
        <v>0.55000000000000004</v>
      </c>
      <c r="K312" s="37">
        <v>0.19</v>
      </c>
      <c r="L312" s="37">
        <v>4</v>
      </c>
      <c r="M312" s="37">
        <v>40</v>
      </c>
      <c r="N312" s="37">
        <v>44</v>
      </c>
    </row>
    <row r="313" spans="1:14">
      <c r="A313" s="30">
        <v>312</v>
      </c>
      <c r="B313" s="31">
        <v>40557</v>
      </c>
      <c r="C313" s="30">
        <v>11</v>
      </c>
      <c r="D313" s="37" t="s">
        <v>28</v>
      </c>
      <c r="E313" s="37" t="b">
        <v>0</v>
      </c>
      <c r="F313" s="37" t="s">
        <v>24</v>
      </c>
      <c r="G313" s="37" t="s">
        <v>8</v>
      </c>
      <c r="H313" s="37">
        <v>0.17</v>
      </c>
      <c r="I313" s="30">
        <v>0.18</v>
      </c>
      <c r="J313" s="37">
        <v>0.51</v>
      </c>
      <c r="K313" s="37">
        <v>0.28000000000000003</v>
      </c>
      <c r="L313" s="37">
        <v>6</v>
      </c>
      <c r="M313" s="37">
        <v>47</v>
      </c>
      <c r="N313" s="37">
        <v>53</v>
      </c>
    </row>
    <row r="314" spans="1:14">
      <c r="A314" s="30">
        <v>313</v>
      </c>
      <c r="B314" s="31">
        <v>40557</v>
      </c>
      <c r="C314" s="30">
        <v>12</v>
      </c>
      <c r="D314" s="37" t="s">
        <v>29</v>
      </c>
      <c r="E314" s="37" t="b">
        <v>0</v>
      </c>
      <c r="F314" s="37" t="s">
        <v>24</v>
      </c>
      <c r="G314" s="37" t="s">
        <v>8</v>
      </c>
      <c r="H314" s="37">
        <v>0.2</v>
      </c>
      <c r="I314" s="30">
        <v>0.2</v>
      </c>
      <c r="J314" s="37">
        <v>0.44</v>
      </c>
      <c r="K314" s="37">
        <v>0.25</v>
      </c>
      <c r="L314" s="37">
        <v>2</v>
      </c>
      <c r="M314" s="37">
        <v>59</v>
      </c>
      <c r="N314" s="37">
        <v>61</v>
      </c>
    </row>
    <row r="315" spans="1:14">
      <c r="A315" s="30">
        <v>314</v>
      </c>
      <c r="B315" s="31">
        <v>40557</v>
      </c>
      <c r="C315" s="30">
        <v>13</v>
      </c>
      <c r="D315" s="37" t="s">
        <v>29</v>
      </c>
      <c r="E315" s="37" t="b">
        <v>0</v>
      </c>
      <c r="F315" s="37" t="s">
        <v>24</v>
      </c>
      <c r="G315" s="37" t="s">
        <v>8</v>
      </c>
      <c r="H315" s="37">
        <v>0.2</v>
      </c>
      <c r="I315" s="30">
        <v>0.22</v>
      </c>
      <c r="J315" s="37">
        <v>0.37</v>
      </c>
      <c r="K315" s="37">
        <v>0.39</v>
      </c>
      <c r="L315" s="37">
        <v>4</v>
      </c>
      <c r="M315" s="37">
        <v>73</v>
      </c>
      <c r="N315" s="37">
        <v>77</v>
      </c>
    </row>
    <row r="316" spans="1:14">
      <c r="A316" s="30">
        <v>315</v>
      </c>
      <c r="B316" s="31">
        <v>40557</v>
      </c>
      <c r="C316" s="30">
        <v>14</v>
      </c>
      <c r="D316" s="37" t="s">
        <v>29</v>
      </c>
      <c r="E316" s="37" t="b">
        <v>0</v>
      </c>
      <c r="F316" s="37" t="s">
        <v>24</v>
      </c>
      <c r="G316" s="37" t="s">
        <v>8</v>
      </c>
      <c r="H316" s="37">
        <v>0.21</v>
      </c>
      <c r="I316" s="30">
        <v>0.22</v>
      </c>
      <c r="J316" s="37">
        <v>0.41</v>
      </c>
      <c r="K316" s="37">
        <v>0.28000000000000003</v>
      </c>
      <c r="L316" s="37">
        <v>5</v>
      </c>
      <c r="M316" s="37">
        <v>59</v>
      </c>
      <c r="N316" s="37">
        <v>64</v>
      </c>
    </row>
    <row r="317" spans="1:14">
      <c r="A317" s="30">
        <v>316</v>
      </c>
      <c r="B317" s="31">
        <v>40557</v>
      </c>
      <c r="C317" s="30">
        <v>15</v>
      </c>
      <c r="D317" s="37" t="s">
        <v>29</v>
      </c>
      <c r="E317" s="37" t="b">
        <v>0</v>
      </c>
      <c r="F317" s="37" t="s">
        <v>24</v>
      </c>
      <c r="G317" s="37" t="s">
        <v>8</v>
      </c>
      <c r="H317" s="37">
        <v>0.24</v>
      </c>
      <c r="I317" s="30">
        <v>0.24</v>
      </c>
      <c r="J317" s="37">
        <v>0.38</v>
      </c>
      <c r="K317" s="37">
        <v>0.16</v>
      </c>
      <c r="L317" s="37">
        <v>9</v>
      </c>
      <c r="M317" s="37">
        <v>59</v>
      </c>
      <c r="N317" s="37">
        <v>68</v>
      </c>
    </row>
    <row r="318" spans="1:14">
      <c r="A318" s="30">
        <v>317</v>
      </c>
      <c r="B318" s="31">
        <v>40557</v>
      </c>
      <c r="C318" s="30">
        <v>16</v>
      </c>
      <c r="D318" s="37" t="s">
        <v>29</v>
      </c>
      <c r="E318" s="37" t="b">
        <v>0</v>
      </c>
      <c r="F318" s="37" t="s">
        <v>24</v>
      </c>
      <c r="G318" s="37" t="s">
        <v>8</v>
      </c>
      <c r="H318" s="37">
        <v>0.24</v>
      </c>
      <c r="I318" s="30">
        <v>0.22</v>
      </c>
      <c r="J318" s="37">
        <v>0.41</v>
      </c>
      <c r="K318" s="37">
        <v>0.1</v>
      </c>
      <c r="L318" s="37">
        <v>3</v>
      </c>
      <c r="M318" s="37">
        <v>87</v>
      </c>
      <c r="N318" s="37">
        <v>90</v>
      </c>
    </row>
    <row r="319" spans="1:14">
      <c r="A319" s="30">
        <v>318</v>
      </c>
      <c r="B319" s="31">
        <v>40557</v>
      </c>
      <c r="C319" s="30">
        <v>17</v>
      </c>
      <c r="D319" s="37" t="s">
        <v>29</v>
      </c>
      <c r="E319" s="37" t="b">
        <v>0</v>
      </c>
      <c r="F319" s="37" t="s">
        <v>24</v>
      </c>
      <c r="G319" s="37" t="s">
        <v>8</v>
      </c>
      <c r="H319" s="37">
        <v>0.23</v>
      </c>
      <c r="I319" s="30">
        <v>0.22</v>
      </c>
      <c r="J319" s="37">
        <v>0.41</v>
      </c>
      <c r="K319" s="37">
        <v>0.16</v>
      </c>
      <c r="L319" s="37">
        <v>4</v>
      </c>
      <c r="M319" s="37">
        <v>155</v>
      </c>
      <c r="N319" s="37">
        <v>159</v>
      </c>
    </row>
    <row r="320" spans="1:14">
      <c r="A320" s="30">
        <v>319</v>
      </c>
      <c r="B320" s="31">
        <v>40557</v>
      </c>
      <c r="C320" s="30">
        <v>18</v>
      </c>
      <c r="D320" s="37" t="s">
        <v>30</v>
      </c>
      <c r="E320" s="37" t="b">
        <v>0</v>
      </c>
      <c r="F320" s="37" t="s">
        <v>24</v>
      </c>
      <c r="G320" s="37" t="s">
        <v>8</v>
      </c>
      <c r="H320" s="37">
        <v>0.26</v>
      </c>
      <c r="I320" s="30">
        <v>0.2</v>
      </c>
      <c r="J320" s="37">
        <v>0.47</v>
      </c>
      <c r="K320" s="37">
        <v>0</v>
      </c>
      <c r="L320" s="37">
        <v>5</v>
      </c>
      <c r="M320" s="37">
        <v>134</v>
      </c>
      <c r="N320" s="37">
        <v>139</v>
      </c>
    </row>
    <row r="321" spans="1:14">
      <c r="A321" s="30">
        <v>320</v>
      </c>
      <c r="B321" s="31">
        <v>40557</v>
      </c>
      <c r="C321" s="30">
        <v>19</v>
      </c>
      <c r="D321" s="37" t="s">
        <v>30</v>
      </c>
      <c r="E321" s="37" t="b">
        <v>0</v>
      </c>
      <c r="F321" s="37" t="s">
        <v>24</v>
      </c>
      <c r="G321" s="37" t="s">
        <v>8</v>
      </c>
      <c r="H321" s="37">
        <v>0.2</v>
      </c>
      <c r="I321" s="30">
        <v>0.16</v>
      </c>
      <c r="J321" s="37">
        <v>0.59</v>
      </c>
      <c r="K321" s="37">
        <v>0.09</v>
      </c>
      <c r="L321" s="37">
        <v>3</v>
      </c>
      <c r="M321" s="37">
        <v>89</v>
      </c>
      <c r="N321" s="37">
        <v>92</v>
      </c>
    </row>
    <row r="322" spans="1:14">
      <c r="A322" s="30">
        <v>321</v>
      </c>
      <c r="B322" s="31">
        <v>40557</v>
      </c>
      <c r="C322" s="30">
        <v>20</v>
      </c>
      <c r="D322" s="37" t="s">
        <v>30</v>
      </c>
      <c r="E322" s="37" t="b">
        <v>0</v>
      </c>
      <c r="F322" s="37" t="s">
        <v>24</v>
      </c>
      <c r="G322" s="37" t="s">
        <v>8</v>
      </c>
      <c r="H322" s="37">
        <v>0.24</v>
      </c>
      <c r="I322" s="30">
        <v>0.18</v>
      </c>
      <c r="J322" s="37">
        <v>0.59</v>
      </c>
      <c r="K322" s="37">
        <v>0</v>
      </c>
      <c r="L322" s="37">
        <v>0</v>
      </c>
      <c r="M322" s="37">
        <v>68</v>
      </c>
      <c r="N322" s="37">
        <v>68</v>
      </c>
    </row>
    <row r="323" spans="1:14">
      <c r="A323" s="30">
        <v>322</v>
      </c>
      <c r="B323" s="31">
        <v>40557</v>
      </c>
      <c r="C323" s="30">
        <v>21</v>
      </c>
      <c r="D323" s="37" t="s">
        <v>30</v>
      </c>
      <c r="E323" s="37" t="b">
        <v>0</v>
      </c>
      <c r="F323" s="37" t="s">
        <v>24</v>
      </c>
      <c r="G323" s="37" t="s">
        <v>8</v>
      </c>
      <c r="H323" s="37">
        <v>0.23</v>
      </c>
      <c r="I323" s="30">
        <v>0.16</v>
      </c>
      <c r="J323" s="37">
        <v>0.69</v>
      </c>
      <c r="K323" s="37">
        <v>0</v>
      </c>
      <c r="L323" s="37">
        <v>4</v>
      </c>
      <c r="M323" s="37">
        <v>48</v>
      </c>
      <c r="N323" s="37">
        <v>52</v>
      </c>
    </row>
    <row r="324" spans="1:14">
      <c r="A324" s="30">
        <v>323</v>
      </c>
      <c r="B324" s="31">
        <v>40557</v>
      </c>
      <c r="C324" s="30">
        <v>22</v>
      </c>
      <c r="D324" s="37" t="s">
        <v>30</v>
      </c>
      <c r="E324" s="37" t="b">
        <v>0</v>
      </c>
      <c r="F324" s="37" t="s">
        <v>24</v>
      </c>
      <c r="G324" s="37" t="s">
        <v>9</v>
      </c>
      <c r="H324" s="37">
        <v>0.23</v>
      </c>
      <c r="I324" s="30">
        <v>0.16</v>
      </c>
      <c r="J324" s="37">
        <v>0.69</v>
      </c>
      <c r="K324" s="37">
        <v>0</v>
      </c>
      <c r="L324" s="37">
        <v>2</v>
      </c>
      <c r="M324" s="37">
        <v>34</v>
      </c>
      <c r="N324" s="37">
        <v>36</v>
      </c>
    </row>
    <row r="325" spans="1:14">
      <c r="A325" s="30">
        <v>324</v>
      </c>
      <c r="B325" s="31">
        <v>40557</v>
      </c>
      <c r="C325" s="30">
        <v>23</v>
      </c>
      <c r="D325" s="37" t="s">
        <v>30</v>
      </c>
      <c r="E325" s="37" t="b">
        <v>0</v>
      </c>
      <c r="F325" s="37" t="s">
        <v>24</v>
      </c>
      <c r="G325" s="37" t="s">
        <v>9</v>
      </c>
      <c r="H325" s="37">
        <v>0.24</v>
      </c>
      <c r="I325" s="30">
        <v>0.18</v>
      </c>
      <c r="J325" s="37">
        <v>0.55000000000000004</v>
      </c>
      <c r="K325" s="37">
        <v>0</v>
      </c>
      <c r="L325" s="37">
        <v>1</v>
      </c>
      <c r="M325" s="37">
        <v>26</v>
      </c>
      <c r="N325" s="37">
        <v>27</v>
      </c>
    </row>
    <row r="326" spans="1:14">
      <c r="A326" s="30">
        <v>325</v>
      </c>
      <c r="B326" s="31">
        <v>40558</v>
      </c>
      <c r="C326" s="30">
        <v>0</v>
      </c>
      <c r="D326" s="37" t="s">
        <v>27</v>
      </c>
      <c r="E326" s="37" t="b">
        <v>0</v>
      </c>
      <c r="F326" s="37" t="s">
        <v>25</v>
      </c>
      <c r="G326" s="37" t="s">
        <v>8</v>
      </c>
      <c r="H326" s="37">
        <v>0.24</v>
      </c>
      <c r="I326" s="30">
        <v>0.18</v>
      </c>
      <c r="J326" s="37">
        <v>0.55000000000000004</v>
      </c>
      <c r="K326" s="37">
        <v>0</v>
      </c>
      <c r="L326" s="37">
        <v>3</v>
      </c>
      <c r="M326" s="37">
        <v>25</v>
      </c>
      <c r="N326" s="37">
        <v>28</v>
      </c>
    </row>
    <row r="327" spans="1:14">
      <c r="A327" s="30">
        <v>326</v>
      </c>
      <c r="B327" s="31">
        <v>40558</v>
      </c>
      <c r="C327" s="30">
        <v>1</v>
      </c>
      <c r="D327" s="37" t="s">
        <v>27</v>
      </c>
      <c r="E327" s="37" t="b">
        <v>0</v>
      </c>
      <c r="F327" s="37" t="s">
        <v>25</v>
      </c>
      <c r="G327" s="37" t="s">
        <v>9</v>
      </c>
      <c r="H327" s="37">
        <v>0.2</v>
      </c>
      <c r="I327" s="30">
        <v>0.16</v>
      </c>
      <c r="J327" s="37">
        <v>0.59</v>
      </c>
      <c r="K327" s="37">
        <v>0.09</v>
      </c>
      <c r="L327" s="37">
        <v>2</v>
      </c>
      <c r="M327" s="37">
        <v>18</v>
      </c>
      <c r="N327" s="37">
        <v>20</v>
      </c>
    </row>
    <row r="328" spans="1:14">
      <c r="A328" s="30">
        <v>327</v>
      </c>
      <c r="B328" s="31">
        <v>40558</v>
      </c>
      <c r="C328" s="30">
        <v>2</v>
      </c>
      <c r="D328" s="37" t="s">
        <v>27</v>
      </c>
      <c r="E328" s="37" t="b">
        <v>0</v>
      </c>
      <c r="F328" s="37" t="s">
        <v>25</v>
      </c>
      <c r="G328" s="37" t="s">
        <v>9</v>
      </c>
      <c r="H328" s="37">
        <v>0.2</v>
      </c>
      <c r="I328" s="30">
        <v>0.16</v>
      </c>
      <c r="J328" s="37">
        <v>0.59</v>
      </c>
      <c r="K328" s="37">
        <v>0.09</v>
      </c>
      <c r="L328" s="37">
        <v>0</v>
      </c>
      <c r="M328" s="37">
        <v>12</v>
      </c>
      <c r="N328" s="37">
        <v>12</v>
      </c>
    </row>
    <row r="329" spans="1:14">
      <c r="A329" s="30">
        <v>328</v>
      </c>
      <c r="B329" s="31">
        <v>40558</v>
      </c>
      <c r="C329" s="30">
        <v>3</v>
      </c>
      <c r="D329" s="37" t="s">
        <v>27</v>
      </c>
      <c r="E329" s="37" t="b">
        <v>0</v>
      </c>
      <c r="F329" s="37" t="s">
        <v>25</v>
      </c>
      <c r="G329" s="37" t="s">
        <v>9</v>
      </c>
      <c r="H329" s="37">
        <v>0.23</v>
      </c>
      <c r="I329" s="30">
        <v>0.16</v>
      </c>
      <c r="J329" s="37">
        <v>0.59</v>
      </c>
      <c r="K329" s="37">
        <v>0</v>
      </c>
      <c r="L329" s="37">
        <v>1</v>
      </c>
      <c r="M329" s="37">
        <v>7</v>
      </c>
      <c r="N329" s="37">
        <v>8</v>
      </c>
    </row>
    <row r="330" spans="1:14">
      <c r="A330" s="30">
        <v>329</v>
      </c>
      <c r="B330" s="31">
        <v>40558</v>
      </c>
      <c r="C330" s="30">
        <v>4</v>
      </c>
      <c r="D330" s="37" t="s">
        <v>27</v>
      </c>
      <c r="E330" s="37" t="b">
        <v>0</v>
      </c>
      <c r="F330" s="37" t="s">
        <v>25</v>
      </c>
      <c r="G330" s="37" t="s">
        <v>9</v>
      </c>
      <c r="H330" s="37">
        <v>0.23</v>
      </c>
      <c r="I330" s="30">
        <v>0.16</v>
      </c>
      <c r="J330" s="37">
        <v>0.59</v>
      </c>
      <c r="K330" s="37">
        <v>0</v>
      </c>
      <c r="L330" s="37">
        <v>0</v>
      </c>
      <c r="M330" s="37">
        <v>5</v>
      </c>
      <c r="N330" s="37">
        <v>5</v>
      </c>
    </row>
    <row r="331" spans="1:14">
      <c r="A331" s="30">
        <v>330</v>
      </c>
      <c r="B331" s="31">
        <v>40558</v>
      </c>
      <c r="C331" s="30">
        <v>5</v>
      </c>
      <c r="D331" s="37" t="s">
        <v>27</v>
      </c>
      <c r="E331" s="37" t="b">
        <v>0</v>
      </c>
      <c r="F331" s="37" t="s">
        <v>25</v>
      </c>
      <c r="G331" s="37" t="s">
        <v>8</v>
      </c>
      <c r="H331" s="37">
        <v>0.23</v>
      </c>
      <c r="I331" s="30">
        <v>0.16</v>
      </c>
      <c r="J331" s="37">
        <v>0.59</v>
      </c>
      <c r="K331" s="37">
        <v>0</v>
      </c>
      <c r="L331" s="37">
        <v>0</v>
      </c>
      <c r="M331" s="37">
        <v>1</v>
      </c>
      <c r="N331" s="37">
        <v>1</v>
      </c>
    </row>
    <row r="332" spans="1:14">
      <c r="A332" s="30">
        <v>331</v>
      </c>
      <c r="B332" s="31">
        <v>40558</v>
      </c>
      <c r="C332" s="30">
        <v>6</v>
      </c>
      <c r="D332" s="37" t="s">
        <v>28</v>
      </c>
      <c r="E332" s="37" t="b">
        <v>0</v>
      </c>
      <c r="F332" s="37" t="s">
        <v>25</v>
      </c>
      <c r="G332" s="37" t="s">
        <v>8</v>
      </c>
      <c r="H332" s="37">
        <v>0.17</v>
      </c>
      <c r="I332" s="30">
        <v>0.14000000000000001</v>
      </c>
      <c r="J332" s="37">
        <v>0.63</v>
      </c>
      <c r="K332" s="37">
        <v>0.1</v>
      </c>
      <c r="L332" s="37">
        <v>1</v>
      </c>
      <c r="M332" s="37">
        <v>2</v>
      </c>
      <c r="N332" s="37">
        <v>3</v>
      </c>
    </row>
    <row r="333" spans="1:14">
      <c r="A333" s="30">
        <v>332</v>
      </c>
      <c r="B333" s="31">
        <v>40558</v>
      </c>
      <c r="C333" s="30">
        <v>7</v>
      </c>
      <c r="D333" s="37" t="s">
        <v>28</v>
      </c>
      <c r="E333" s="37" t="b">
        <v>0</v>
      </c>
      <c r="F333" s="37" t="s">
        <v>25</v>
      </c>
      <c r="G333" s="37" t="s">
        <v>8</v>
      </c>
      <c r="H333" s="37">
        <v>0.21</v>
      </c>
      <c r="I333" s="30">
        <v>0.14000000000000001</v>
      </c>
      <c r="J333" s="37">
        <v>0.63</v>
      </c>
      <c r="K333" s="37">
        <v>0</v>
      </c>
      <c r="L333" s="37">
        <v>1</v>
      </c>
      <c r="M333" s="37">
        <v>9</v>
      </c>
      <c r="N333" s="37">
        <v>10</v>
      </c>
    </row>
    <row r="334" spans="1:14">
      <c r="A334" s="30">
        <v>333</v>
      </c>
      <c r="B334" s="31">
        <v>40558</v>
      </c>
      <c r="C334" s="30">
        <v>8</v>
      </c>
      <c r="D334" s="37" t="s">
        <v>28</v>
      </c>
      <c r="E334" s="37" t="b">
        <v>0</v>
      </c>
      <c r="F334" s="37" t="s">
        <v>25</v>
      </c>
      <c r="G334" s="37" t="s">
        <v>8</v>
      </c>
      <c r="H334" s="37">
        <v>0.15</v>
      </c>
      <c r="I334" s="30">
        <v>0.14000000000000001</v>
      </c>
      <c r="J334" s="37">
        <v>0.63</v>
      </c>
      <c r="K334" s="37">
        <v>0.13</v>
      </c>
      <c r="L334" s="37">
        <v>1</v>
      </c>
      <c r="M334" s="37">
        <v>22</v>
      </c>
      <c r="N334" s="37">
        <v>23</v>
      </c>
    </row>
    <row r="335" spans="1:14">
      <c r="A335" s="30">
        <v>334</v>
      </c>
      <c r="B335" s="31">
        <v>40558</v>
      </c>
      <c r="C335" s="30">
        <v>9</v>
      </c>
      <c r="D335" s="37" t="s">
        <v>28</v>
      </c>
      <c r="E335" s="37" t="b">
        <v>0</v>
      </c>
      <c r="F335" s="37" t="s">
        <v>25</v>
      </c>
      <c r="G335" s="37" t="s">
        <v>8</v>
      </c>
      <c r="H335" s="37">
        <v>0.18</v>
      </c>
      <c r="I335" s="30">
        <v>0.16</v>
      </c>
      <c r="J335" s="37">
        <v>0.64</v>
      </c>
      <c r="K335" s="37">
        <v>0.13</v>
      </c>
      <c r="L335" s="37">
        <v>2</v>
      </c>
      <c r="M335" s="37">
        <v>31</v>
      </c>
      <c r="N335" s="37">
        <v>33</v>
      </c>
    </row>
    <row r="336" spans="1:14">
      <c r="A336" s="30">
        <v>335</v>
      </c>
      <c r="B336" s="31">
        <v>40558</v>
      </c>
      <c r="C336" s="30">
        <v>10</v>
      </c>
      <c r="D336" s="37" t="s">
        <v>28</v>
      </c>
      <c r="E336" s="37" t="b">
        <v>0</v>
      </c>
      <c r="F336" s="37" t="s">
        <v>25</v>
      </c>
      <c r="G336" s="37" t="s">
        <v>8</v>
      </c>
      <c r="H336" s="37">
        <v>0.2</v>
      </c>
      <c r="I336" s="30">
        <v>0.18</v>
      </c>
      <c r="J336" s="37">
        <v>0.59</v>
      </c>
      <c r="K336" s="37">
        <v>0.16</v>
      </c>
      <c r="L336" s="37">
        <v>2</v>
      </c>
      <c r="M336" s="37">
        <v>57</v>
      </c>
      <c r="N336" s="37">
        <v>59</v>
      </c>
    </row>
    <row r="337" spans="1:14">
      <c r="A337" s="30">
        <v>336</v>
      </c>
      <c r="B337" s="31">
        <v>40558</v>
      </c>
      <c r="C337" s="30">
        <v>11</v>
      </c>
      <c r="D337" s="37" t="s">
        <v>28</v>
      </c>
      <c r="E337" s="37" t="b">
        <v>0</v>
      </c>
      <c r="F337" s="37" t="s">
        <v>25</v>
      </c>
      <c r="G337" s="37" t="s">
        <v>8</v>
      </c>
      <c r="H337" s="37">
        <v>0.2</v>
      </c>
      <c r="I337" s="30">
        <v>0.2</v>
      </c>
      <c r="J337" s="37">
        <v>0.55000000000000004</v>
      </c>
      <c r="K337" s="37">
        <v>0.22</v>
      </c>
      <c r="L337" s="37">
        <v>18</v>
      </c>
      <c r="M337" s="37">
        <v>54</v>
      </c>
      <c r="N337" s="37">
        <v>72</v>
      </c>
    </row>
    <row r="338" spans="1:14">
      <c r="A338" s="30">
        <v>337</v>
      </c>
      <c r="B338" s="31">
        <v>40558</v>
      </c>
      <c r="C338" s="30">
        <v>12</v>
      </c>
      <c r="D338" s="37" t="s">
        <v>29</v>
      </c>
      <c r="E338" s="37" t="b">
        <v>0</v>
      </c>
      <c r="F338" s="37" t="s">
        <v>25</v>
      </c>
      <c r="G338" s="37" t="s">
        <v>8</v>
      </c>
      <c r="H338" s="37">
        <v>0.23</v>
      </c>
      <c r="I338" s="30">
        <v>0.24</v>
      </c>
      <c r="J338" s="37">
        <v>0.48</v>
      </c>
      <c r="K338" s="37">
        <v>0.22</v>
      </c>
      <c r="L338" s="37">
        <v>15</v>
      </c>
      <c r="M338" s="37">
        <v>74</v>
      </c>
      <c r="N338" s="37">
        <v>89</v>
      </c>
    </row>
    <row r="339" spans="1:14">
      <c r="A339" s="30">
        <v>338</v>
      </c>
      <c r="B339" s="31">
        <v>40558</v>
      </c>
      <c r="C339" s="30">
        <v>13</v>
      </c>
      <c r="D339" s="37" t="s">
        <v>29</v>
      </c>
      <c r="E339" s="37" t="b">
        <v>0</v>
      </c>
      <c r="F339" s="37" t="s">
        <v>25</v>
      </c>
      <c r="G339" s="37" t="s">
        <v>8</v>
      </c>
      <c r="H339" s="37">
        <v>0.26</v>
      </c>
      <c r="I339" s="30">
        <v>0.28000000000000003</v>
      </c>
      <c r="J339" s="37">
        <v>0.38</v>
      </c>
      <c r="K339" s="37">
        <v>0.3</v>
      </c>
      <c r="L339" s="37">
        <v>21</v>
      </c>
      <c r="M339" s="37">
        <v>80</v>
      </c>
      <c r="N339" s="37">
        <v>101</v>
      </c>
    </row>
    <row r="340" spans="1:14">
      <c r="A340" s="30">
        <v>339</v>
      </c>
      <c r="B340" s="31">
        <v>40558</v>
      </c>
      <c r="C340" s="30">
        <v>14</v>
      </c>
      <c r="D340" s="37" t="s">
        <v>29</v>
      </c>
      <c r="E340" s="37" t="b">
        <v>0</v>
      </c>
      <c r="F340" s="37" t="s">
        <v>25</v>
      </c>
      <c r="G340" s="37" t="s">
        <v>8</v>
      </c>
      <c r="H340" s="37">
        <v>0.28999999999999998</v>
      </c>
      <c r="I340" s="30">
        <v>0.3</v>
      </c>
      <c r="J340" s="37">
        <v>0.39</v>
      </c>
      <c r="K340" s="37">
        <v>0.28000000000000003</v>
      </c>
      <c r="L340" s="37">
        <v>26</v>
      </c>
      <c r="M340" s="37">
        <v>92</v>
      </c>
      <c r="N340" s="37">
        <v>118</v>
      </c>
    </row>
    <row r="341" spans="1:14">
      <c r="A341" s="30">
        <v>340</v>
      </c>
      <c r="B341" s="31">
        <v>40558</v>
      </c>
      <c r="C341" s="30">
        <v>15</v>
      </c>
      <c r="D341" s="37" t="s">
        <v>29</v>
      </c>
      <c r="E341" s="37" t="b">
        <v>0</v>
      </c>
      <c r="F341" s="37" t="s">
        <v>25</v>
      </c>
      <c r="G341" s="37" t="s">
        <v>9</v>
      </c>
      <c r="H341" s="37">
        <v>0.32</v>
      </c>
      <c r="I341" s="30">
        <v>0.32</v>
      </c>
      <c r="J341" s="37">
        <v>0.36</v>
      </c>
      <c r="K341" s="37">
        <v>0.19</v>
      </c>
      <c r="L341" s="37">
        <v>21</v>
      </c>
      <c r="M341" s="37">
        <v>108</v>
      </c>
      <c r="N341" s="37">
        <v>129</v>
      </c>
    </row>
    <row r="342" spans="1:14">
      <c r="A342" s="30">
        <v>341</v>
      </c>
      <c r="B342" s="31">
        <v>40558</v>
      </c>
      <c r="C342" s="30">
        <v>16</v>
      </c>
      <c r="D342" s="37" t="s">
        <v>29</v>
      </c>
      <c r="E342" s="37" t="b">
        <v>0</v>
      </c>
      <c r="F342" s="37" t="s">
        <v>25</v>
      </c>
      <c r="G342" s="37" t="s">
        <v>9</v>
      </c>
      <c r="H342" s="37">
        <v>0.33</v>
      </c>
      <c r="I342" s="30">
        <v>0.34</v>
      </c>
      <c r="J342" s="37">
        <v>0.34</v>
      </c>
      <c r="K342" s="37">
        <v>0.19</v>
      </c>
      <c r="L342" s="37">
        <v>33</v>
      </c>
      <c r="M342" s="37">
        <v>95</v>
      </c>
      <c r="N342" s="37">
        <v>128</v>
      </c>
    </row>
    <row r="343" spans="1:14">
      <c r="A343" s="30">
        <v>342</v>
      </c>
      <c r="B343" s="31">
        <v>40558</v>
      </c>
      <c r="C343" s="30">
        <v>17</v>
      </c>
      <c r="D343" s="37" t="s">
        <v>29</v>
      </c>
      <c r="E343" s="37" t="b">
        <v>0</v>
      </c>
      <c r="F343" s="37" t="s">
        <v>25</v>
      </c>
      <c r="G343" s="37" t="s">
        <v>9</v>
      </c>
      <c r="H343" s="37">
        <v>0.3</v>
      </c>
      <c r="I343" s="30">
        <v>0.32</v>
      </c>
      <c r="J343" s="37">
        <v>0.36</v>
      </c>
      <c r="K343" s="37">
        <v>0.28000000000000003</v>
      </c>
      <c r="L343" s="37">
        <v>29</v>
      </c>
      <c r="M343" s="37">
        <v>54</v>
      </c>
      <c r="N343" s="37">
        <v>83</v>
      </c>
    </row>
    <row r="344" spans="1:14">
      <c r="A344" s="30">
        <v>343</v>
      </c>
      <c r="B344" s="31">
        <v>40558</v>
      </c>
      <c r="C344" s="30">
        <v>18</v>
      </c>
      <c r="D344" s="37" t="s">
        <v>30</v>
      </c>
      <c r="E344" s="37" t="b">
        <v>0</v>
      </c>
      <c r="F344" s="37" t="s">
        <v>25</v>
      </c>
      <c r="G344" s="37" t="s">
        <v>9</v>
      </c>
      <c r="H344" s="37">
        <v>0.28999999999999998</v>
      </c>
      <c r="I344" s="30">
        <v>0.3</v>
      </c>
      <c r="J344" s="37">
        <v>0.45</v>
      </c>
      <c r="K344" s="37">
        <v>0.25</v>
      </c>
      <c r="L344" s="37">
        <v>15</v>
      </c>
      <c r="M344" s="37">
        <v>69</v>
      </c>
      <c r="N344" s="37">
        <v>84</v>
      </c>
    </row>
    <row r="345" spans="1:14">
      <c r="A345" s="30">
        <v>344</v>
      </c>
      <c r="B345" s="31">
        <v>40558</v>
      </c>
      <c r="C345" s="30">
        <v>19</v>
      </c>
      <c r="D345" s="37" t="s">
        <v>30</v>
      </c>
      <c r="E345" s="37" t="b">
        <v>0</v>
      </c>
      <c r="F345" s="37" t="s">
        <v>25</v>
      </c>
      <c r="G345" s="37" t="s">
        <v>9</v>
      </c>
      <c r="H345" s="37">
        <v>0.3</v>
      </c>
      <c r="I345" s="30">
        <v>0.32</v>
      </c>
      <c r="J345" s="37">
        <v>0.39</v>
      </c>
      <c r="K345" s="37">
        <v>0.25</v>
      </c>
      <c r="L345" s="37">
        <v>14</v>
      </c>
      <c r="M345" s="37">
        <v>60</v>
      </c>
      <c r="N345" s="37">
        <v>74</v>
      </c>
    </row>
    <row r="346" spans="1:14">
      <c r="A346" s="30">
        <v>345</v>
      </c>
      <c r="B346" s="31">
        <v>40558</v>
      </c>
      <c r="C346" s="30">
        <v>20</v>
      </c>
      <c r="D346" s="37" t="s">
        <v>30</v>
      </c>
      <c r="E346" s="37" t="b">
        <v>0</v>
      </c>
      <c r="F346" s="37" t="s">
        <v>25</v>
      </c>
      <c r="G346" s="37" t="s">
        <v>9</v>
      </c>
      <c r="H346" s="37">
        <v>0.3</v>
      </c>
      <c r="I346" s="30">
        <v>0.32</v>
      </c>
      <c r="J346" s="37">
        <v>0.39</v>
      </c>
      <c r="K346" s="37">
        <v>0.25</v>
      </c>
      <c r="L346" s="37">
        <v>6</v>
      </c>
      <c r="M346" s="37">
        <v>35</v>
      </c>
      <c r="N346" s="37">
        <v>41</v>
      </c>
    </row>
    <row r="347" spans="1:14">
      <c r="A347" s="30">
        <v>346</v>
      </c>
      <c r="B347" s="31">
        <v>40558</v>
      </c>
      <c r="C347" s="30">
        <v>21</v>
      </c>
      <c r="D347" s="37" t="s">
        <v>30</v>
      </c>
      <c r="E347" s="37" t="b">
        <v>0</v>
      </c>
      <c r="F347" s="37" t="s">
        <v>25</v>
      </c>
      <c r="G347" s="37" t="s">
        <v>9</v>
      </c>
      <c r="H347" s="37">
        <v>0.3</v>
      </c>
      <c r="I347" s="30">
        <v>0.32</v>
      </c>
      <c r="J347" s="37">
        <v>0.39</v>
      </c>
      <c r="K347" s="37">
        <v>0.22</v>
      </c>
      <c r="L347" s="37">
        <v>6</v>
      </c>
      <c r="M347" s="37">
        <v>51</v>
      </c>
      <c r="N347" s="37">
        <v>57</v>
      </c>
    </row>
    <row r="348" spans="1:14">
      <c r="A348" s="30">
        <v>347</v>
      </c>
      <c r="B348" s="31">
        <v>40558</v>
      </c>
      <c r="C348" s="30">
        <v>22</v>
      </c>
      <c r="D348" s="37" t="s">
        <v>30</v>
      </c>
      <c r="E348" s="37" t="b">
        <v>0</v>
      </c>
      <c r="F348" s="37" t="s">
        <v>25</v>
      </c>
      <c r="G348" s="37" t="s">
        <v>9</v>
      </c>
      <c r="H348" s="37">
        <v>0.32</v>
      </c>
      <c r="I348" s="30">
        <v>0.3</v>
      </c>
      <c r="J348" s="37">
        <v>0.42</v>
      </c>
      <c r="K348" s="37">
        <v>0.1</v>
      </c>
      <c r="L348" s="37">
        <v>0</v>
      </c>
      <c r="M348" s="37">
        <v>26</v>
      </c>
      <c r="N348" s="37">
        <v>26</v>
      </c>
    </row>
    <row r="349" spans="1:14">
      <c r="A349" s="30">
        <v>348</v>
      </c>
      <c r="B349" s="31">
        <v>40558</v>
      </c>
      <c r="C349" s="30">
        <v>23</v>
      </c>
      <c r="D349" s="37" t="s">
        <v>30</v>
      </c>
      <c r="E349" s="37" t="b">
        <v>0</v>
      </c>
      <c r="F349" s="37" t="s">
        <v>25</v>
      </c>
      <c r="G349" s="37" t="s">
        <v>8</v>
      </c>
      <c r="H349" s="37">
        <v>0.28999999999999998</v>
      </c>
      <c r="I349" s="30">
        <v>0.3</v>
      </c>
      <c r="J349" s="37">
        <v>0.45</v>
      </c>
      <c r="K349" s="37">
        <v>0.28000000000000003</v>
      </c>
      <c r="L349" s="37">
        <v>5</v>
      </c>
      <c r="M349" s="37">
        <v>39</v>
      </c>
      <c r="N349" s="37">
        <v>44</v>
      </c>
    </row>
    <row r="350" spans="1:14">
      <c r="A350" s="30">
        <v>349</v>
      </c>
      <c r="B350" s="31">
        <v>40559</v>
      </c>
      <c r="C350" s="30">
        <v>0</v>
      </c>
      <c r="D350" s="37" t="s">
        <v>27</v>
      </c>
      <c r="E350" s="37" t="b">
        <v>0</v>
      </c>
      <c r="F350" s="37" t="s">
        <v>19</v>
      </c>
      <c r="G350" s="37" t="s">
        <v>8</v>
      </c>
      <c r="H350" s="37">
        <v>0.3</v>
      </c>
      <c r="I350" s="30">
        <v>0.26</v>
      </c>
      <c r="J350" s="37">
        <v>0.56000000000000005</v>
      </c>
      <c r="K350" s="37">
        <v>0</v>
      </c>
      <c r="L350" s="37">
        <v>6</v>
      </c>
      <c r="M350" s="37">
        <v>33</v>
      </c>
      <c r="N350" s="37">
        <v>39</v>
      </c>
    </row>
    <row r="351" spans="1:14">
      <c r="A351" s="30">
        <v>350</v>
      </c>
      <c r="B351" s="31">
        <v>40559</v>
      </c>
      <c r="C351" s="30">
        <v>1</v>
      </c>
      <c r="D351" s="37" t="s">
        <v>27</v>
      </c>
      <c r="E351" s="37" t="b">
        <v>0</v>
      </c>
      <c r="F351" s="37" t="s">
        <v>19</v>
      </c>
      <c r="G351" s="37" t="s">
        <v>8</v>
      </c>
      <c r="H351" s="37">
        <v>0.27</v>
      </c>
      <c r="I351" s="30">
        <v>0.26</v>
      </c>
      <c r="J351" s="37">
        <v>0.56000000000000005</v>
      </c>
      <c r="K351" s="37">
        <v>0.13</v>
      </c>
      <c r="L351" s="37">
        <v>4</v>
      </c>
      <c r="M351" s="37">
        <v>19</v>
      </c>
      <c r="N351" s="37">
        <v>23</v>
      </c>
    </row>
    <row r="352" spans="1:14">
      <c r="A352" s="30">
        <v>351</v>
      </c>
      <c r="B352" s="31">
        <v>40559</v>
      </c>
      <c r="C352" s="30">
        <v>2</v>
      </c>
      <c r="D352" s="37" t="s">
        <v>27</v>
      </c>
      <c r="E352" s="37" t="b">
        <v>0</v>
      </c>
      <c r="F352" s="37" t="s">
        <v>19</v>
      </c>
      <c r="G352" s="37" t="s">
        <v>8</v>
      </c>
      <c r="H352" s="37">
        <v>0.28999999999999998</v>
      </c>
      <c r="I352" s="30">
        <v>0.26</v>
      </c>
      <c r="J352" s="37">
        <v>0.56000000000000005</v>
      </c>
      <c r="K352" s="37">
        <v>0.09</v>
      </c>
      <c r="L352" s="37">
        <v>3</v>
      </c>
      <c r="M352" s="37">
        <v>13</v>
      </c>
      <c r="N352" s="37">
        <v>16</v>
      </c>
    </row>
    <row r="353" spans="1:14">
      <c r="A353" s="30">
        <v>352</v>
      </c>
      <c r="B353" s="31">
        <v>40559</v>
      </c>
      <c r="C353" s="30">
        <v>3</v>
      </c>
      <c r="D353" s="37" t="s">
        <v>27</v>
      </c>
      <c r="E353" s="37" t="b">
        <v>0</v>
      </c>
      <c r="F353" s="37" t="s">
        <v>19</v>
      </c>
      <c r="G353" s="37" t="s">
        <v>8</v>
      </c>
      <c r="H353" s="37">
        <v>0.27</v>
      </c>
      <c r="I353" s="30">
        <v>0.22</v>
      </c>
      <c r="J353" s="37">
        <v>0.69</v>
      </c>
      <c r="K353" s="37">
        <v>0</v>
      </c>
      <c r="L353" s="37">
        <v>9</v>
      </c>
      <c r="M353" s="37">
        <v>6</v>
      </c>
      <c r="N353" s="37">
        <v>15</v>
      </c>
    </row>
    <row r="354" spans="1:14">
      <c r="A354" s="30">
        <v>353</v>
      </c>
      <c r="B354" s="31">
        <v>40559</v>
      </c>
      <c r="C354" s="30">
        <v>4</v>
      </c>
      <c r="D354" s="37" t="s">
        <v>27</v>
      </c>
      <c r="E354" s="37" t="b">
        <v>0</v>
      </c>
      <c r="F354" s="37" t="s">
        <v>19</v>
      </c>
      <c r="G354" s="37" t="s">
        <v>8</v>
      </c>
      <c r="H354" s="37">
        <v>0.26</v>
      </c>
      <c r="I354" s="30">
        <v>0.26</v>
      </c>
      <c r="J354" s="37">
        <v>0.56000000000000005</v>
      </c>
      <c r="K354" s="37">
        <v>0.16</v>
      </c>
      <c r="L354" s="37">
        <v>0</v>
      </c>
      <c r="M354" s="37">
        <v>1</v>
      </c>
      <c r="N354" s="37">
        <v>1</v>
      </c>
    </row>
    <row r="355" spans="1:14">
      <c r="A355" s="30">
        <v>354</v>
      </c>
      <c r="B355" s="31">
        <v>40559</v>
      </c>
      <c r="C355" s="30">
        <v>5</v>
      </c>
      <c r="D355" s="37" t="s">
        <v>27</v>
      </c>
      <c r="E355" s="37" t="b">
        <v>0</v>
      </c>
      <c r="F355" s="37" t="s">
        <v>19</v>
      </c>
      <c r="G355" s="37" t="s">
        <v>9</v>
      </c>
      <c r="H355" s="37">
        <v>0.26</v>
      </c>
      <c r="I355" s="30">
        <v>0.26</v>
      </c>
      <c r="J355" s="37">
        <v>0.56000000000000005</v>
      </c>
      <c r="K355" s="37">
        <v>0.16</v>
      </c>
      <c r="L355" s="37">
        <v>1</v>
      </c>
      <c r="M355" s="37">
        <v>1</v>
      </c>
      <c r="N355" s="37">
        <v>2</v>
      </c>
    </row>
    <row r="356" spans="1:14">
      <c r="A356" s="30">
        <v>355</v>
      </c>
      <c r="B356" s="31">
        <v>40559</v>
      </c>
      <c r="C356" s="30">
        <v>6</v>
      </c>
      <c r="D356" s="37" t="s">
        <v>28</v>
      </c>
      <c r="E356" s="37" t="b">
        <v>0</v>
      </c>
      <c r="F356" s="37" t="s">
        <v>19</v>
      </c>
      <c r="G356" s="37" t="s">
        <v>9</v>
      </c>
      <c r="H356" s="37">
        <v>0.26</v>
      </c>
      <c r="I356" s="30">
        <v>0.26</v>
      </c>
      <c r="J356" s="37">
        <v>0.56000000000000005</v>
      </c>
      <c r="K356" s="37">
        <v>0.16</v>
      </c>
      <c r="L356" s="37">
        <v>0</v>
      </c>
      <c r="M356" s="37">
        <v>1</v>
      </c>
      <c r="N356" s="37">
        <v>1</v>
      </c>
    </row>
    <row r="357" spans="1:14">
      <c r="A357" s="30">
        <v>356</v>
      </c>
      <c r="B357" s="31">
        <v>40559</v>
      </c>
      <c r="C357" s="30">
        <v>7</v>
      </c>
      <c r="D357" s="37" t="s">
        <v>28</v>
      </c>
      <c r="E357" s="37" t="b">
        <v>0</v>
      </c>
      <c r="F357" s="37" t="s">
        <v>19</v>
      </c>
      <c r="G357" s="37" t="s">
        <v>9</v>
      </c>
      <c r="H357" s="37">
        <v>0.21</v>
      </c>
      <c r="I357" s="30">
        <v>0.24</v>
      </c>
      <c r="J357" s="37">
        <v>0.56000000000000005</v>
      </c>
      <c r="K357" s="37">
        <v>0.3</v>
      </c>
      <c r="L357" s="37">
        <v>0</v>
      </c>
      <c r="M357" s="37">
        <v>3</v>
      </c>
      <c r="N357" s="37">
        <v>3</v>
      </c>
    </row>
    <row r="358" spans="1:14">
      <c r="A358" s="30">
        <v>357</v>
      </c>
      <c r="B358" s="31">
        <v>40559</v>
      </c>
      <c r="C358" s="30">
        <v>8</v>
      </c>
      <c r="D358" s="37" t="s">
        <v>28</v>
      </c>
      <c r="E358" s="37" t="b">
        <v>0</v>
      </c>
      <c r="F358" s="37" t="s">
        <v>19</v>
      </c>
      <c r="G358" s="37" t="s">
        <v>8</v>
      </c>
      <c r="H358" s="37">
        <v>0.21</v>
      </c>
      <c r="I358" s="30">
        <v>0.22</v>
      </c>
      <c r="J358" s="37">
        <v>0.55000000000000004</v>
      </c>
      <c r="K358" s="37">
        <v>0.28000000000000003</v>
      </c>
      <c r="L358" s="37">
        <v>0</v>
      </c>
      <c r="M358" s="37">
        <v>18</v>
      </c>
      <c r="N358" s="37">
        <v>18</v>
      </c>
    </row>
    <row r="359" spans="1:14">
      <c r="A359" s="30">
        <v>358</v>
      </c>
      <c r="B359" s="31">
        <v>40559</v>
      </c>
      <c r="C359" s="30">
        <v>9</v>
      </c>
      <c r="D359" s="37" t="s">
        <v>28</v>
      </c>
      <c r="E359" s="37" t="b">
        <v>0</v>
      </c>
      <c r="F359" s="37" t="s">
        <v>19</v>
      </c>
      <c r="G359" s="37" t="s">
        <v>8</v>
      </c>
      <c r="H359" s="37">
        <v>0.21</v>
      </c>
      <c r="I359" s="30">
        <v>0.22</v>
      </c>
      <c r="J359" s="37">
        <v>0.51</v>
      </c>
      <c r="K359" s="37">
        <v>0.25</v>
      </c>
      <c r="L359" s="37">
        <v>3</v>
      </c>
      <c r="M359" s="37">
        <v>29</v>
      </c>
      <c r="N359" s="37">
        <v>32</v>
      </c>
    </row>
    <row r="360" spans="1:14">
      <c r="A360" s="30">
        <v>359</v>
      </c>
      <c r="B360" s="31">
        <v>40559</v>
      </c>
      <c r="C360" s="30">
        <v>10</v>
      </c>
      <c r="D360" s="37" t="s">
        <v>28</v>
      </c>
      <c r="E360" s="37" t="b">
        <v>0</v>
      </c>
      <c r="F360" s="37" t="s">
        <v>19</v>
      </c>
      <c r="G360" s="37" t="s">
        <v>8</v>
      </c>
      <c r="H360" s="37">
        <v>0.21</v>
      </c>
      <c r="I360" s="30">
        <v>0.22</v>
      </c>
      <c r="J360" s="37">
        <v>0.51</v>
      </c>
      <c r="K360" s="37">
        <v>0.28000000000000003</v>
      </c>
      <c r="L360" s="37">
        <v>8</v>
      </c>
      <c r="M360" s="37">
        <v>71</v>
      </c>
      <c r="N360" s="37">
        <v>79</v>
      </c>
    </row>
    <row r="361" spans="1:14">
      <c r="A361" s="30">
        <v>360</v>
      </c>
      <c r="B361" s="31">
        <v>40559</v>
      </c>
      <c r="C361" s="30">
        <v>11</v>
      </c>
      <c r="D361" s="37" t="s">
        <v>28</v>
      </c>
      <c r="E361" s="37" t="b">
        <v>0</v>
      </c>
      <c r="F361" s="37" t="s">
        <v>19</v>
      </c>
      <c r="G361" s="37" t="s">
        <v>8</v>
      </c>
      <c r="H361" s="37">
        <v>0.23</v>
      </c>
      <c r="I361" s="30">
        <v>0.24</v>
      </c>
      <c r="J361" s="37">
        <v>0.44</v>
      </c>
      <c r="K361" s="37">
        <v>0.25</v>
      </c>
      <c r="L361" s="37">
        <v>23</v>
      </c>
      <c r="M361" s="37">
        <v>70</v>
      </c>
      <c r="N361" s="37">
        <v>93</v>
      </c>
    </row>
    <row r="362" spans="1:14">
      <c r="A362" s="30">
        <v>361</v>
      </c>
      <c r="B362" s="31">
        <v>40559</v>
      </c>
      <c r="C362" s="30">
        <v>12</v>
      </c>
      <c r="D362" s="37" t="s">
        <v>29</v>
      </c>
      <c r="E362" s="37" t="b">
        <v>0</v>
      </c>
      <c r="F362" s="37" t="s">
        <v>19</v>
      </c>
      <c r="G362" s="37" t="s">
        <v>8</v>
      </c>
      <c r="H362" s="37">
        <v>0.21</v>
      </c>
      <c r="I362" s="30">
        <v>0.24</v>
      </c>
      <c r="J362" s="37">
        <v>0.41</v>
      </c>
      <c r="K362" s="37">
        <v>0.28000000000000003</v>
      </c>
      <c r="L362" s="37">
        <v>29</v>
      </c>
      <c r="M362" s="37">
        <v>75</v>
      </c>
      <c r="N362" s="37">
        <v>104</v>
      </c>
    </row>
    <row r="363" spans="1:14">
      <c r="A363" s="30">
        <v>362</v>
      </c>
      <c r="B363" s="31">
        <v>40559</v>
      </c>
      <c r="C363" s="30">
        <v>13</v>
      </c>
      <c r="D363" s="37" t="s">
        <v>29</v>
      </c>
      <c r="E363" s="37" t="b">
        <v>0</v>
      </c>
      <c r="F363" s="37" t="s">
        <v>19</v>
      </c>
      <c r="G363" s="37" t="s">
        <v>8</v>
      </c>
      <c r="H363" s="37">
        <v>0.23</v>
      </c>
      <c r="I363" s="30">
        <v>0.26</v>
      </c>
      <c r="J363" s="37">
        <v>0.35</v>
      </c>
      <c r="K363" s="37">
        <v>0.3</v>
      </c>
      <c r="L363" s="37">
        <v>23</v>
      </c>
      <c r="M363" s="37">
        <v>95</v>
      </c>
      <c r="N363" s="37">
        <v>118</v>
      </c>
    </row>
    <row r="364" spans="1:14">
      <c r="A364" s="30">
        <v>363</v>
      </c>
      <c r="B364" s="31">
        <v>40559</v>
      </c>
      <c r="C364" s="30">
        <v>14</v>
      </c>
      <c r="D364" s="37" t="s">
        <v>29</v>
      </c>
      <c r="E364" s="37" t="b">
        <v>0</v>
      </c>
      <c r="F364" s="37" t="s">
        <v>19</v>
      </c>
      <c r="G364" s="37" t="s">
        <v>8</v>
      </c>
      <c r="H364" s="37">
        <v>0.27</v>
      </c>
      <c r="I364" s="30">
        <v>0.28000000000000003</v>
      </c>
      <c r="J364" s="37">
        <v>0.36</v>
      </c>
      <c r="K364" s="37">
        <v>0.25</v>
      </c>
      <c r="L364" s="37">
        <v>22</v>
      </c>
      <c r="M364" s="37">
        <v>69</v>
      </c>
      <c r="N364" s="37">
        <v>91</v>
      </c>
    </row>
    <row r="365" spans="1:14">
      <c r="A365" s="30">
        <v>364</v>
      </c>
      <c r="B365" s="31">
        <v>40559</v>
      </c>
      <c r="C365" s="30">
        <v>15</v>
      </c>
      <c r="D365" s="37" t="s">
        <v>29</v>
      </c>
      <c r="E365" s="37" t="b">
        <v>0</v>
      </c>
      <c r="F365" s="37" t="s">
        <v>19</v>
      </c>
      <c r="G365" s="37" t="s">
        <v>8</v>
      </c>
      <c r="H365" s="37">
        <v>0.24</v>
      </c>
      <c r="I365" s="30">
        <v>0.26</v>
      </c>
      <c r="J365" s="37">
        <v>0.38</v>
      </c>
      <c r="K365" s="37">
        <v>0.25</v>
      </c>
      <c r="L365" s="37">
        <v>35</v>
      </c>
      <c r="M365" s="37">
        <v>78</v>
      </c>
      <c r="N365" s="37">
        <v>113</v>
      </c>
    </row>
    <row r="366" spans="1:14">
      <c r="A366" s="30">
        <v>365</v>
      </c>
      <c r="B366" s="31">
        <v>40559</v>
      </c>
      <c r="C366" s="30">
        <v>16</v>
      </c>
      <c r="D366" s="37" t="s">
        <v>29</v>
      </c>
      <c r="E366" s="37" t="b">
        <v>0</v>
      </c>
      <c r="F366" s="37" t="s">
        <v>19</v>
      </c>
      <c r="G366" s="37" t="s">
        <v>8</v>
      </c>
      <c r="H366" s="37">
        <v>0.23</v>
      </c>
      <c r="I366" s="30">
        <v>0.24</v>
      </c>
      <c r="J366" s="37">
        <v>0.38</v>
      </c>
      <c r="K366" s="37">
        <v>0.22</v>
      </c>
      <c r="L366" s="37">
        <v>22</v>
      </c>
      <c r="M366" s="37">
        <v>77</v>
      </c>
      <c r="N366" s="37">
        <v>99</v>
      </c>
    </row>
    <row r="367" spans="1:14">
      <c r="A367" s="30">
        <v>366</v>
      </c>
      <c r="B367" s="31">
        <v>40559</v>
      </c>
      <c r="C367" s="30">
        <v>17</v>
      </c>
      <c r="D367" s="37" t="s">
        <v>29</v>
      </c>
      <c r="E367" s="37" t="b">
        <v>0</v>
      </c>
      <c r="F367" s="37" t="s">
        <v>19</v>
      </c>
      <c r="G367" s="37" t="s">
        <v>8</v>
      </c>
      <c r="H367" s="37">
        <v>0.21</v>
      </c>
      <c r="I367" s="30">
        <v>0.22</v>
      </c>
      <c r="J367" s="37">
        <v>0.37</v>
      </c>
      <c r="K367" s="37">
        <v>0.25</v>
      </c>
      <c r="L367" s="37">
        <v>23</v>
      </c>
      <c r="M367" s="37">
        <v>82</v>
      </c>
      <c r="N367" s="37">
        <v>105</v>
      </c>
    </row>
    <row r="368" spans="1:14">
      <c r="A368" s="30">
        <v>367</v>
      </c>
      <c r="B368" s="31">
        <v>40559</v>
      </c>
      <c r="C368" s="30">
        <v>18</v>
      </c>
      <c r="D368" s="37" t="s">
        <v>30</v>
      </c>
      <c r="E368" s="37" t="b">
        <v>0</v>
      </c>
      <c r="F368" s="37" t="s">
        <v>19</v>
      </c>
      <c r="G368" s="37" t="s">
        <v>8</v>
      </c>
      <c r="H368" s="37">
        <v>0.21</v>
      </c>
      <c r="I368" s="30">
        <v>0.2</v>
      </c>
      <c r="J368" s="37">
        <v>0.4</v>
      </c>
      <c r="K368" s="37">
        <v>0.16</v>
      </c>
      <c r="L368" s="37">
        <v>11</v>
      </c>
      <c r="M368" s="37">
        <v>56</v>
      </c>
      <c r="N368" s="37">
        <v>67</v>
      </c>
    </row>
    <row r="369" spans="1:14">
      <c r="A369" s="30">
        <v>368</v>
      </c>
      <c r="B369" s="31">
        <v>40559</v>
      </c>
      <c r="C369" s="30">
        <v>19</v>
      </c>
      <c r="D369" s="37" t="s">
        <v>30</v>
      </c>
      <c r="E369" s="37" t="b">
        <v>0</v>
      </c>
      <c r="F369" s="37" t="s">
        <v>19</v>
      </c>
      <c r="G369" s="37" t="s">
        <v>8</v>
      </c>
      <c r="H369" s="37">
        <v>0.2</v>
      </c>
      <c r="I369" s="30">
        <v>0.18</v>
      </c>
      <c r="J369" s="37">
        <v>0.47</v>
      </c>
      <c r="K369" s="37">
        <v>0.13</v>
      </c>
      <c r="L369" s="37">
        <v>14</v>
      </c>
      <c r="M369" s="37">
        <v>47</v>
      </c>
      <c r="N369" s="37">
        <v>61</v>
      </c>
    </row>
    <row r="370" spans="1:14">
      <c r="A370" s="30">
        <v>369</v>
      </c>
      <c r="B370" s="31">
        <v>40559</v>
      </c>
      <c r="C370" s="30">
        <v>20</v>
      </c>
      <c r="D370" s="37" t="s">
        <v>30</v>
      </c>
      <c r="E370" s="37" t="b">
        <v>0</v>
      </c>
      <c r="F370" s="37" t="s">
        <v>19</v>
      </c>
      <c r="G370" s="37" t="s">
        <v>8</v>
      </c>
      <c r="H370" s="37">
        <v>0.2</v>
      </c>
      <c r="I370" s="30">
        <v>0.18</v>
      </c>
      <c r="J370" s="37">
        <v>0.47</v>
      </c>
      <c r="K370" s="37">
        <v>0.16</v>
      </c>
      <c r="L370" s="37">
        <v>7</v>
      </c>
      <c r="M370" s="37">
        <v>50</v>
      </c>
      <c r="N370" s="37">
        <v>57</v>
      </c>
    </row>
    <row r="371" spans="1:14">
      <c r="A371" s="30">
        <v>370</v>
      </c>
      <c r="B371" s="31">
        <v>40559</v>
      </c>
      <c r="C371" s="30">
        <v>21</v>
      </c>
      <c r="D371" s="37" t="s">
        <v>30</v>
      </c>
      <c r="E371" s="37" t="b">
        <v>0</v>
      </c>
      <c r="F371" s="37" t="s">
        <v>19</v>
      </c>
      <c r="G371" s="37" t="s">
        <v>8</v>
      </c>
      <c r="H371" s="37">
        <v>0.2</v>
      </c>
      <c r="I371" s="30">
        <v>0.18</v>
      </c>
      <c r="J371" s="37">
        <v>0.51</v>
      </c>
      <c r="K371" s="37">
        <v>0.16</v>
      </c>
      <c r="L371" s="37">
        <v>6</v>
      </c>
      <c r="M371" s="37">
        <v>22</v>
      </c>
      <c r="N371" s="37">
        <v>28</v>
      </c>
    </row>
    <row r="372" spans="1:14">
      <c r="A372" s="30">
        <v>371</v>
      </c>
      <c r="B372" s="31">
        <v>40559</v>
      </c>
      <c r="C372" s="30">
        <v>22</v>
      </c>
      <c r="D372" s="37" t="s">
        <v>30</v>
      </c>
      <c r="E372" s="37" t="b">
        <v>0</v>
      </c>
      <c r="F372" s="37" t="s">
        <v>19</v>
      </c>
      <c r="G372" s="37" t="s">
        <v>9</v>
      </c>
      <c r="H372" s="37">
        <v>0.21</v>
      </c>
      <c r="I372" s="30">
        <v>0.2</v>
      </c>
      <c r="J372" s="37">
        <v>0.49</v>
      </c>
      <c r="K372" s="37">
        <v>0.13</v>
      </c>
      <c r="L372" s="37">
        <v>2</v>
      </c>
      <c r="M372" s="37">
        <v>19</v>
      </c>
      <c r="N372" s="37">
        <v>21</v>
      </c>
    </row>
    <row r="373" spans="1:14">
      <c r="A373" s="30">
        <v>372</v>
      </c>
      <c r="B373" s="31">
        <v>40559</v>
      </c>
      <c r="C373" s="30">
        <v>23</v>
      </c>
      <c r="D373" s="37" t="s">
        <v>30</v>
      </c>
      <c r="E373" s="37" t="b">
        <v>0</v>
      </c>
      <c r="F373" s="37" t="s">
        <v>19</v>
      </c>
      <c r="G373" s="37" t="s">
        <v>9</v>
      </c>
      <c r="H373" s="37">
        <v>0.23</v>
      </c>
      <c r="I373" s="30">
        <v>0.2</v>
      </c>
      <c r="J373" s="37">
        <v>0.4</v>
      </c>
      <c r="K373" s="37">
        <v>0.1</v>
      </c>
      <c r="L373" s="37">
        <v>0</v>
      </c>
      <c r="M373" s="37">
        <v>18</v>
      </c>
      <c r="N373" s="37">
        <v>18</v>
      </c>
    </row>
    <row r="374" spans="1:14">
      <c r="A374" s="30">
        <v>373</v>
      </c>
      <c r="B374" s="31">
        <v>40560</v>
      </c>
      <c r="C374" s="30">
        <v>0</v>
      </c>
      <c r="D374" s="37" t="s">
        <v>27</v>
      </c>
      <c r="E374" s="37" t="b">
        <v>1</v>
      </c>
      <c r="F374" s="37" t="s">
        <v>20</v>
      </c>
      <c r="G374" s="37" t="s">
        <v>9</v>
      </c>
      <c r="H374" s="37">
        <v>0.2</v>
      </c>
      <c r="I374" s="30">
        <v>0.2</v>
      </c>
      <c r="J374" s="37">
        <v>0.47</v>
      </c>
      <c r="K374" s="37">
        <v>0.22</v>
      </c>
      <c r="L374" s="37">
        <v>1</v>
      </c>
      <c r="M374" s="37">
        <v>16</v>
      </c>
      <c r="N374" s="37">
        <v>17</v>
      </c>
    </row>
    <row r="375" spans="1:14">
      <c r="A375" s="30">
        <v>374</v>
      </c>
      <c r="B375" s="31">
        <v>40560</v>
      </c>
      <c r="C375" s="30">
        <v>1</v>
      </c>
      <c r="D375" s="37" t="s">
        <v>27</v>
      </c>
      <c r="E375" s="37" t="b">
        <v>1</v>
      </c>
      <c r="F375" s="37" t="s">
        <v>20</v>
      </c>
      <c r="G375" s="37" t="s">
        <v>9</v>
      </c>
      <c r="H375" s="37">
        <v>0.2</v>
      </c>
      <c r="I375" s="30">
        <v>0.2</v>
      </c>
      <c r="J375" s="37">
        <v>0.44</v>
      </c>
      <c r="K375" s="37">
        <v>0.19</v>
      </c>
      <c r="L375" s="37">
        <v>1</v>
      </c>
      <c r="M375" s="37">
        <v>15</v>
      </c>
      <c r="N375" s="37">
        <v>16</v>
      </c>
    </row>
    <row r="376" spans="1:14">
      <c r="A376" s="30">
        <v>375</v>
      </c>
      <c r="B376" s="31">
        <v>40560</v>
      </c>
      <c r="C376" s="30">
        <v>2</v>
      </c>
      <c r="D376" s="37" t="s">
        <v>27</v>
      </c>
      <c r="E376" s="37" t="b">
        <v>1</v>
      </c>
      <c r="F376" s="37" t="s">
        <v>20</v>
      </c>
      <c r="G376" s="37" t="s">
        <v>9</v>
      </c>
      <c r="H376" s="37">
        <v>0.17</v>
      </c>
      <c r="I376" s="30">
        <v>0.18</v>
      </c>
      <c r="J376" s="37">
        <v>0.43</v>
      </c>
      <c r="K376" s="37">
        <v>0.25</v>
      </c>
      <c r="L376" s="37">
        <v>0</v>
      </c>
      <c r="M376" s="37">
        <v>8</v>
      </c>
      <c r="N376" s="37">
        <v>8</v>
      </c>
    </row>
    <row r="377" spans="1:14">
      <c r="A377" s="30">
        <v>376</v>
      </c>
      <c r="B377" s="31">
        <v>40560</v>
      </c>
      <c r="C377" s="30">
        <v>3</v>
      </c>
      <c r="D377" s="37" t="s">
        <v>27</v>
      </c>
      <c r="E377" s="37" t="b">
        <v>1</v>
      </c>
      <c r="F377" s="37" t="s">
        <v>20</v>
      </c>
      <c r="G377" s="37" t="s">
        <v>9</v>
      </c>
      <c r="H377" s="37">
        <v>0.18</v>
      </c>
      <c r="I377" s="30">
        <v>0.18</v>
      </c>
      <c r="J377" s="37">
        <v>0.43</v>
      </c>
      <c r="K377" s="37">
        <v>0.19</v>
      </c>
      <c r="L377" s="37">
        <v>0</v>
      </c>
      <c r="M377" s="37">
        <v>2</v>
      </c>
      <c r="N377" s="37">
        <v>2</v>
      </c>
    </row>
    <row r="378" spans="1:14">
      <c r="A378" s="30">
        <v>377</v>
      </c>
      <c r="B378" s="31">
        <v>40560</v>
      </c>
      <c r="C378" s="30">
        <v>4</v>
      </c>
      <c r="D378" s="37" t="s">
        <v>27</v>
      </c>
      <c r="E378" s="37" t="b">
        <v>1</v>
      </c>
      <c r="F378" s="37" t="s">
        <v>20</v>
      </c>
      <c r="G378" s="37" t="s">
        <v>9</v>
      </c>
      <c r="H378" s="37">
        <v>0.2</v>
      </c>
      <c r="I378" s="30">
        <v>0.18</v>
      </c>
      <c r="J378" s="37">
        <v>0.43</v>
      </c>
      <c r="K378" s="37">
        <v>0.13</v>
      </c>
      <c r="L378" s="37">
        <v>1</v>
      </c>
      <c r="M378" s="37">
        <v>2</v>
      </c>
      <c r="N378" s="37">
        <v>3</v>
      </c>
    </row>
    <row r="379" spans="1:14">
      <c r="A379" s="30">
        <v>378</v>
      </c>
      <c r="B379" s="31">
        <v>40560</v>
      </c>
      <c r="C379" s="30">
        <v>5</v>
      </c>
      <c r="D379" s="37" t="s">
        <v>27</v>
      </c>
      <c r="E379" s="37" t="b">
        <v>1</v>
      </c>
      <c r="F379" s="37" t="s">
        <v>20</v>
      </c>
      <c r="G379" s="37" t="s">
        <v>9</v>
      </c>
      <c r="H379" s="37">
        <v>0.2</v>
      </c>
      <c r="I379" s="30">
        <v>0.18</v>
      </c>
      <c r="J379" s="37">
        <v>0.43</v>
      </c>
      <c r="K379" s="37">
        <v>0.16</v>
      </c>
      <c r="L379" s="37">
        <v>0</v>
      </c>
      <c r="M379" s="37">
        <v>1</v>
      </c>
      <c r="N379" s="37">
        <v>1</v>
      </c>
    </row>
    <row r="380" spans="1:14">
      <c r="A380" s="30">
        <v>379</v>
      </c>
      <c r="B380" s="31">
        <v>40560</v>
      </c>
      <c r="C380" s="30">
        <v>6</v>
      </c>
      <c r="D380" s="37" t="s">
        <v>28</v>
      </c>
      <c r="E380" s="37" t="b">
        <v>1</v>
      </c>
      <c r="F380" s="37" t="s">
        <v>20</v>
      </c>
      <c r="G380" s="37" t="s">
        <v>9</v>
      </c>
      <c r="H380" s="37">
        <v>0.18</v>
      </c>
      <c r="I380" s="30">
        <v>0.18</v>
      </c>
      <c r="J380" s="37">
        <v>0.43</v>
      </c>
      <c r="K380" s="37">
        <v>0.19</v>
      </c>
      <c r="L380" s="37">
        <v>0</v>
      </c>
      <c r="M380" s="37">
        <v>5</v>
      </c>
      <c r="N380" s="37">
        <v>5</v>
      </c>
    </row>
    <row r="381" spans="1:14">
      <c r="A381" s="30">
        <v>380</v>
      </c>
      <c r="B381" s="31">
        <v>40560</v>
      </c>
      <c r="C381" s="30">
        <v>7</v>
      </c>
      <c r="D381" s="37" t="s">
        <v>28</v>
      </c>
      <c r="E381" s="37" t="b">
        <v>1</v>
      </c>
      <c r="F381" s="37" t="s">
        <v>20</v>
      </c>
      <c r="G381" s="37" t="s">
        <v>9</v>
      </c>
      <c r="H381" s="37">
        <v>0.18</v>
      </c>
      <c r="I381" s="30">
        <v>0.16</v>
      </c>
      <c r="J381" s="37">
        <v>0.5</v>
      </c>
      <c r="K381" s="37">
        <v>0.13</v>
      </c>
      <c r="L381" s="37">
        <v>4</v>
      </c>
      <c r="M381" s="37">
        <v>9</v>
      </c>
      <c r="N381" s="37">
        <v>13</v>
      </c>
    </row>
    <row r="382" spans="1:14">
      <c r="A382" s="30">
        <v>381</v>
      </c>
      <c r="B382" s="31">
        <v>40560</v>
      </c>
      <c r="C382" s="30">
        <v>8</v>
      </c>
      <c r="D382" s="37" t="s">
        <v>28</v>
      </c>
      <c r="E382" s="37" t="b">
        <v>1</v>
      </c>
      <c r="F382" s="37" t="s">
        <v>20</v>
      </c>
      <c r="G382" s="37" t="s">
        <v>9</v>
      </c>
      <c r="H382" s="37">
        <v>0.15</v>
      </c>
      <c r="I382" s="30">
        <v>0.16</v>
      </c>
      <c r="J382" s="37">
        <v>0.47</v>
      </c>
      <c r="K382" s="37">
        <v>0.22</v>
      </c>
      <c r="L382" s="37">
        <v>3</v>
      </c>
      <c r="M382" s="37">
        <v>30</v>
      </c>
      <c r="N382" s="37">
        <v>33</v>
      </c>
    </row>
    <row r="383" spans="1:14">
      <c r="A383" s="30">
        <v>382</v>
      </c>
      <c r="B383" s="31">
        <v>40560</v>
      </c>
      <c r="C383" s="30">
        <v>9</v>
      </c>
      <c r="D383" s="37" t="s">
        <v>28</v>
      </c>
      <c r="E383" s="37" t="b">
        <v>1</v>
      </c>
      <c r="F383" s="37" t="s">
        <v>20</v>
      </c>
      <c r="G383" s="37" t="s">
        <v>9</v>
      </c>
      <c r="H383" s="37">
        <v>0.15</v>
      </c>
      <c r="I383" s="30">
        <v>0.16</v>
      </c>
      <c r="J383" s="37">
        <v>0.47</v>
      </c>
      <c r="K383" s="37">
        <v>0.22</v>
      </c>
      <c r="L383" s="37">
        <v>8</v>
      </c>
      <c r="M383" s="37">
        <v>39</v>
      </c>
      <c r="N383" s="37">
        <v>47</v>
      </c>
    </row>
    <row r="384" spans="1:14">
      <c r="A384" s="30">
        <v>383</v>
      </c>
      <c r="B384" s="31">
        <v>40560</v>
      </c>
      <c r="C384" s="30">
        <v>10</v>
      </c>
      <c r="D384" s="37" t="s">
        <v>28</v>
      </c>
      <c r="E384" s="37" t="b">
        <v>1</v>
      </c>
      <c r="F384" s="37" t="s">
        <v>20</v>
      </c>
      <c r="G384" s="37" t="s">
        <v>9</v>
      </c>
      <c r="H384" s="37">
        <v>0.15</v>
      </c>
      <c r="I384" s="30">
        <v>0.16</v>
      </c>
      <c r="J384" s="37">
        <v>0.5</v>
      </c>
      <c r="K384" s="37">
        <v>0.25</v>
      </c>
      <c r="L384" s="37">
        <v>7</v>
      </c>
      <c r="M384" s="37">
        <v>50</v>
      </c>
      <c r="N384" s="37">
        <v>57</v>
      </c>
    </row>
    <row r="385" spans="1:14">
      <c r="A385" s="30">
        <v>384</v>
      </c>
      <c r="B385" s="31">
        <v>40560</v>
      </c>
      <c r="C385" s="30">
        <v>11</v>
      </c>
      <c r="D385" s="37" t="s">
        <v>28</v>
      </c>
      <c r="E385" s="37" t="b">
        <v>1</v>
      </c>
      <c r="F385" s="37" t="s">
        <v>20</v>
      </c>
      <c r="G385" s="37" t="s">
        <v>9</v>
      </c>
      <c r="H385" s="37">
        <v>0.15</v>
      </c>
      <c r="I385" s="30">
        <v>0.16</v>
      </c>
      <c r="J385" s="37">
        <v>0.55000000000000004</v>
      </c>
      <c r="K385" s="37">
        <v>0.19</v>
      </c>
      <c r="L385" s="37">
        <v>9</v>
      </c>
      <c r="M385" s="37">
        <v>55</v>
      </c>
      <c r="N385" s="37">
        <v>64</v>
      </c>
    </row>
    <row r="386" spans="1:14">
      <c r="A386" s="30">
        <v>385</v>
      </c>
      <c r="B386" s="31">
        <v>40560</v>
      </c>
      <c r="C386" s="30">
        <v>12</v>
      </c>
      <c r="D386" s="37" t="s">
        <v>29</v>
      </c>
      <c r="E386" s="37" t="b">
        <v>1</v>
      </c>
      <c r="F386" s="37" t="s">
        <v>20</v>
      </c>
      <c r="G386" s="37" t="s">
        <v>9</v>
      </c>
      <c r="H386" s="37">
        <v>0.2</v>
      </c>
      <c r="I386" s="30">
        <v>0.18</v>
      </c>
      <c r="J386" s="37">
        <v>0.47</v>
      </c>
      <c r="K386" s="37">
        <v>0.13</v>
      </c>
      <c r="L386" s="37">
        <v>10</v>
      </c>
      <c r="M386" s="37">
        <v>70</v>
      </c>
      <c r="N386" s="37">
        <v>80</v>
      </c>
    </row>
    <row r="387" spans="1:14">
      <c r="A387" s="30">
        <v>386</v>
      </c>
      <c r="B387" s="31">
        <v>40560</v>
      </c>
      <c r="C387" s="30">
        <v>13</v>
      </c>
      <c r="D387" s="37" t="s">
        <v>29</v>
      </c>
      <c r="E387" s="37" t="b">
        <v>1</v>
      </c>
      <c r="F387" s="37" t="s">
        <v>20</v>
      </c>
      <c r="G387" s="37" t="s">
        <v>9</v>
      </c>
      <c r="H387" s="37">
        <v>0.2</v>
      </c>
      <c r="I387" s="30">
        <v>0.18</v>
      </c>
      <c r="J387" s="37">
        <v>0.47</v>
      </c>
      <c r="K387" s="37">
        <v>0.13</v>
      </c>
      <c r="L387" s="37">
        <v>13</v>
      </c>
      <c r="M387" s="37">
        <v>80</v>
      </c>
      <c r="N387" s="37">
        <v>93</v>
      </c>
    </row>
    <row r="388" spans="1:14">
      <c r="A388" s="30">
        <v>387</v>
      </c>
      <c r="B388" s="31">
        <v>40560</v>
      </c>
      <c r="C388" s="30">
        <v>14</v>
      </c>
      <c r="D388" s="37" t="s">
        <v>29</v>
      </c>
      <c r="E388" s="37" t="b">
        <v>1</v>
      </c>
      <c r="F388" s="37" t="s">
        <v>20</v>
      </c>
      <c r="G388" s="37" t="s">
        <v>9</v>
      </c>
      <c r="H388" s="37">
        <v>0.21</v>
      </c>
      <c r="I388" s="30">
        <v>0.18</v>
      </c>
      <c r="J388" s="37">
        <v>0.43</v>
      </c>
      <c r="K388" s="37">
        <v>0.1</v>
      </c>
      <c r="L388" s="37">
        <v>12</v>
      </c>
      <c r="M388" s="37">
        <v>74</v>
      </c>
      <c r="N388" s="37">
        <v>86</v>
      </c>
    </row>
    <row r="389" spans="1:14">
      <c r="A389" s="30">
        <v>388</v>
      </c>
      <c r="B389" s="31">
        <v>40560</v>
      </c>
      <c r="C389" s="30">
        <v>15</v>
      </c>
      <c r="D389" s="37" t="s">
        <v>29</v>
      </c>
      <c r="E389" s="37" t="b">
        <v>1</v>
      </c>
      <c r="F389" s="37" t="s">
        <v>20</v>
      </c>
      <c r="G389" s="37" t="s">
        <v>9</v>
      </c>
      <c r="H389" s="37">
        <v>0.21</v>
      </c>
      <c r="I389" s="30">
        <v>0.2</v>
      </c>
      <c r="J389" s="37">
        <v>0.47</v>
      </c>
      <c r="K389" s="37">
        <v>0.16</v>
      </c>
      <c r="L389" s="37">
        <v>21</v>
      </c>
      <c r="M389" s="37">
        <v>72</v>
      </c>
      <c r="N389" s="37">
        <v>93</v>
      </c>
    </row>
    <row r="390" spans="1:14">
      <c r="A390" s="30">
        <v>389</v>
      </c>
      <c r="B390" s="31">
        <v>40560</v>
      </c>
      <c r="C390" s="30">
        <v>16</v>
      </c>
      <c r="D390" s="37" t="s">
        <v>29</v>
      </c>
      <c r="E390" s="37" t="b">
        <v>1</v>
      </c>
      <c r="F390" s="37" t="s">
        <v>20</v>
      </c>
      <c r="G390" s="37" t="s">
        <v>9</v>
      </c>
      <c r="H390" s="37">
        <v>0.21</v>
      </c>
      <c r="I390" s="30">
        <v>0.2</v>
      </c>
      <c r="J390" s="37">
        <v>0.47</v>
      </c>
      <c r="K390" s="37">
        <v>0.16</v>
      </c>
      <c r="L390" s="37">
        <v>6</v>
      </c>
      <c r="M390" s="37">
        <v>76</v>
      </c>
      <c r="N390" s="37">
        <v>82</v>
      </c>
    </row>
    <row r="391" spans="1:14">
      <c r="A391" s="30">
        <v>390</v>
      </c>
      <c r="B391" s="31">
        <v>40560</v>
      </c>
      <c r="C391" s="30">
        <v>17</v>
      </c>
      <c r="D391" s="37" t="s">
        <v>29</v>
      </c>
      <c r="E391" s="37" t="b">
        <v>1</v>
      </c>
      <c r="F391" s="37" t="s">
        <v>20</v>
      </c>
      <c r="G391" s="37" t="s">
        <v>8</v>
      </c>
      <c r="H391" s="37">
        <v>0.2</v>
      </c>
      <c r="I391" s="30">
        <v>0.2</v>
      </c>
      <c r="J391" s="37">
        <v>0.51</v>
      </c>
      <c r="K391" s="37">
        <v>0.19</v>
      </c>
      <c r="L391" s="37">
        <v>4</v>
      </c>
      <c r="M391" s="37">
        <v>67</v>
      </c>
      <c r="N391" s="37">
        <v>71</v>
      </c>
    </row>
    <row r="392" spans="1:14">
      <c r="A392" s="30">
        <v>391</v>
      </c>
      <c r="B392" s="31">
        <v>40560</v>
      </c>
      <c r="C392" s="30">
        <v>18</v>
      </c>
      <c r="D392" s="37" t="s">
        <v>30</v>
      </c>
      <c r="E392" s="37" t="b">
        <v>1</v>
      </c>
      <c r="F392" s="37" t="s">
        <v>20</v>
      </c>
      <c r="G392" s="37" t="s">
        <v>9</v>
      </c>
      <c r="H392" s="37">
        <v>0.17</v>
      </c>
      <c r="I392" s="30">
        <v>0.18</v>
      </c>
      <c r="J392" s="37">
        <v>0.55000000000000004</v>
      </c>
      <c r="K392" s="37">
        <v>0.25</v>
      </c>
      <c r="L392" s="37">
        <v>7</v>
      </c>
      <c r="M392" s="37">
        <v>85</v>
      </c>
      <c r="N392" s="37">
        <v>92</v>
      </c>
    </row>
    <row r="393" spans="1:14">
      <c r="A393" s="30">
        <v>392</v>
      </c>
      <c r="B393" s="31">
        <v>40560</v>
      </c>
      <c r="C393" s="30">
        <v>19</v>
      </c>
      <c r="D393" s="37" t="s">
        <v>30</v>
      </c>
      <c r="E393" s="37" t="b">
        <v>1</v>
      </c>
      <c r="F393" s="37" t="s">
        <v>20</v>
      </c>
      <c r="G393" s="37" t="s">
        <v>10</v>
      </c>
      <c r="H393" s="37">
        <v>0.18</v>
      </c>
      <c r="I393" s="30">
        <v>0.18</v>
      </c>
      <c r="J393" s="37">
        <v>0.59</v>
      </c>
      <c r="K393" s="37">
        <v>0.19</v>
      </c>
      <c r="L393" s="37">
        <v>2</v>
      </c>
      <c r="M393" s="37">
        <v>58</v>
      </c>
      <c r="N393" s="37">
        <v>60</v>
      </c>
    </row>
    <row r="394" spans="1:14">
      <c r="A394" s="30">
        <v>393</v>
      </c>
      <c r="B394" s="31">
        <v>40560</v>
      </c>
      <c r="C394" s="30">
        <v>20</v>
      </c>
      <c r="D394" s="37" t="s">
        <v>30</v>
      </c>
      <c r="E394" s="37" t="b">
        <v>1</v>
      </c>
      <c r="F394" s="37" t="s">
        <v>20</v>
      </c>
      <c r="G394" s="37" t="s">
        <v>10</v>
      </c>
      <c r="H394" s="37">
        <v>0.15</v>
      </c>
      <c r="I394" s="30">
        <v>0.16</v>
      </c>
      <c r="J394" s="37">
        <v>0.8</v>
      </c>
      <c r="K394" s="37">
        <v>0.19</v>
      </c>
      <c r="L394" s="37">
        <v>4</v>
      </c>
      <c r="M394" s="37">
        <v>29</v>
      </c>
      <c r="N394" s="37">
        <v>33</v>
      </c>
    </row>
    <row r="395" spans="1:14">
      <c r="A395" s="30">
        <v>394</v>
      </c>
      <c r="B395" s="31">
        <v>40560</v>
      </c>
      <c r="C395" s="30">
        <v>21</v>
      </c>
      <c r="D395" s="37" t="s">
        <v>30</v>
      </c>
      <c r="E395" s="37" t="b">
        <v>1</v>
      </c>
      <c r="F395" s="37" t="s">
        <v>20</v>
      </c>
      <c r="G395" s="37" t="s">
        <v>10</v>
      </c>
      <c r="H395" s="37">
        <v>0.15</v>
      </c>
      <c r="I395" s="30">
        <v>0.16</v>
      </c>
      <c r="J395" s="37">
        <v>0.8</v>
      </c>
      <c r="K395" s="37">
        <v>0.19</v>
      </c>
      <c r="L395" s="37">
        <v>3</v>
      </c>
      <c r="M395" s="37">
        <v>24</v>
      </c>
      <c r="N395" s="37">
        <v>27</v>
      </c>
    </row>
    <row r="396" spans="1:14">
      <c r="A396" s="30">
        <v>395</v>
      </c>
      <c r="B396" s="31">
        <v>40560</v>
      </c>
      <c r="C396" s="30">
        <v>22</v>
      </c>
      <c r="D396" s="37" t="s">
        <v>30</v>
      </c>
      <c r="E396" s="37" t="b">
        <v>1</v>
      </c>
      <c r="F396" s="37" t="s">
        <v>20</v>
      </c>
      <c r="G396" s="37" t="s">
        <v>10</v>
      </c>
      <c r="H396" s="37">
        <v>0.12</v>
      </c>
      <c r="I396" s="30">
        <v>0.14000000000000001</v>
      </c>
      <c r="J396" s="37">
        <v>0.93</v>
      </c>
      <c r="K396" s="37">
        <v>0.25</v>
      </c>
      <c r="L396" s="37">
        <v>0</v>
      </c>
      <c r="M396" s="37">
        <v>13</v>
      </c>
      <c r="N396" s="37">
        <v>13</v>
      </c>
    </row>
    <row r="397" spans="1:14">
      <c r="A397" s="30">
        <v>396</v>
      </c>
      <c r="B397" s="31">
        <v>40560</v>
      </c>
      <c r="C397" s="30">
        <v>23</v>
      </c>
      <c r="D397" s="37" t="s">
        <v>30</v>
      </c>
      <c r="E397" s="37" t="b">
        <v>1</v>
      </c>
      <c r="F397" s="37" t="s">
        <v>20</v>
      </c>
      <c r="G397" s="37" t="s">
        <v>10</v>
      </c>
      <c r="H397" s="37">
        <v>0.14000000000000001</v>
      </c>
      <c r="I397" s="30">
        <v>0.16</v>
      </c>
      <c r="J397" s="37">
        <v>0.86</v>
      </c>
      <c r="K397" s="37">
        <v>0.28000000000000003</v>
      </c>
      <c r="L397" s="37">
        <v>1</v>
      </c>
      <c r="M397" s="37">
        <v>3</v>
      </c>
      <c r="N397" s="37">
        <v>4</v>
      </c>
    </row>
    <row r="398" spans="1:14">
      <c r="A398" s="30">
        <v>397</v>
      </c>
      <c r="B398" s="31">
        <v>40561</v>
      </c>
      <c r="C398" s="30">
        <v>12</v>
      </c>
      <c r="D398" s="37" t="s">
        <v>29</v>
      </c>
      <c r="E398" s="37" t="b">
        <v>0</v>
      </c>
      <c r="F398" s="37" t="s">
        <v>21</v>
      </c>
      <c r="G398" s="37" t="s">
        <v>9</v>
      </c>
      <c r="H398" s="37">
        <v>0.18</v>
      </c>
      <c r="I398" s="30">
        <v>0.2</v>
      </c>
      <c r="J398" s="37">
        <v>0.86</v>
      </c>
      <c r="K398" s="37">
        <v>0.33</v>
      </c>
      <c r="L398" s="37">
        <v>0</v>
      </c>
      <c r="M398" s="37">
        <v>3</v>
      </c>
      <c r="N398" s="37">
        <v>3</v>
      </c>
    </row>
    <row r="399" spans="1:14">
      <c r="A399" s="30">
        <v>398</v>
      </c>
      <c r="B399" s="31">
        <v>40561</v>
      </c>
      <c r="C399" s="30">
        <v>13</v>
      </c>
      <c r="D399" s="37" t="s">
        <v>29</v>
      </c>
      <c r="E399" s="37" t="b">
        <v>0</v>
      </c>
      <c r="F399" s="37" t="s">
        <v>21</v>
      </c>
      <c r="G399" s="37" t="s">
        <v>9</v>
      </c>
      <c r="H399" s="37">
        <v>0.2</v>
      </c>
      <c r="I399" s="30">
        <v>0.2</v>
      </c>
      <c r="J399" s="37">
        <v>0.86</v>
      </c>
      <c r="K399" s="37">
        <v>0.22</v>
      </c>
      <c r="L399" s="37">
        <v>0</v>
      </c>
      <c r="M399" s="37">
        <v>22</v>
      </c>
      <c r="N399" s="37">
        <v>22</v>
      </c>
    </row>
    <row r="400" spans="1:14">
      <c r="A400" s="30">
        <v>399</v>
      </c>
      <c r="B400" s="31">
        <v>40561</v>
      </c>
      <c r="C400" s="30">
        <v>14</v>
      </c>
      <c r="D400" s="37" t="s">
        <v>29</v>
      </c>
      <c r="E400" s="37" t="b">
        <v>0</v>
      </c>
      <c r="F400" s="37" t="s">
        <v>21</v>
      </c>
      <c r="G400" s="37" t="s">
        <v>9</v>
      </c>
      <c r="H400" s="37">
        <v>0.23</v>
      </c>
      <c r="I400" s="30">
        <v>0.22</v>
      </c>
      <c r="J400" s="37">
        <v>0.8</v>
      </c>
      <c r="K400" s="37">
        <v>0.16</v>
      </c>
      <c r="L400" s="37">
        <v>2</v>
      </c>
      <c r="M400" s="37">
        <v>26</v>
      </c>
      <c r="N400" s="37">
        <v>28</v>
      </c>
    </row>
    <row r="401" spans="1:14">
      <c r="A401" s="30">
        <v>400</v>
      </c>
      <c r="B401" s="31">
        <v>40561</v>
      </c>
      <c r="C401" s="30">
        <v>15</v>
      </c>
      <c r="D401" s="37" t="s">
        <v>29</v>
      </c>
      <c r="E401" s="37" t="b">
        <v>0</v>
      </c>
      <c r="F401" s="37" t="s">
        <v>21</v>
      </c>
      <c r="G401" s="37" t="s">
        <v>9</v>
      </c>
      <c r="H401" s="37">
        <v>0.23</v>
      </c>
      <c r="I401" s="30">
        <v>0.22</v>
      </c>
      <c r="J401" s="37">
        <v>0.87</v>
      </c>
      <c r="K401" s="37">
        <v>0.16</v>
      </c>
      <c r="L401" s="37">
        <v>3</v>
      </c>
      <c r="M401" s="37">
        <v>32</v>
      </c>
      <c r="N401" s="37">
        <v>35</v>
      </c>
    </row>
    <row r="402" spans="1:14">
      <c r="A402" s="30">
        <v>401</v>
      </c>
      <c r="B402" s="31">
        <v>40561</v>
      </c>
      <c r="C402" s="30">
        <v>16</v>
      </c>
      <c r="D402" s="37" t="s">
        <v>29</v>
      </c>
      <c r="E402" s="37" t="b">
        <v>0</v>
      </c>
      <c r="F402" s="37" t="s">
        <v>21</v>
      </c>
      <c r="G402" s="37" t="s">
        <v>9</v>
      </c>
      <c r="H402" s="37">
        <v>0.23</v>
      </c>
      <c r="I402" s="30">
        <v>0.22</v>
      </c>
      <c r="J402" s="37">
        <v>0.87</v>
      </c>
      <c r="K402" s="37">
        <v>0.19</v>
      </c>
      <c r="L402" s="37">
        <v>0</v>
      </c>
      <c r="M402" s="37">
        <v>61</v>
      </c>
      <c r="N402" s="37">
        <v>61</v>
      </c>
    </row>
    <row r="403" spans="1:14">
      <c r="A403" s="30">
        <v>402</v>
      </c>
      <c r="B403" s="31">
        <v>40561</v>
      </c>
      <c r="C403" s="30">
        <v>17</v>
      </c>
      <c r="D403" s="37" t="s">
        <v>29</v>
      </c>
      <c r="E403" s="37" t="b">
        <v>0</v>
      </c>
      <c r="F403" s="37" t="s">
        <v>21</v>
      </c>
      <c r="G403" s="37" t="s">
        <v>9</v>
      </c>
      <c r="H403" s="37">
        <v>0.23</v>
      </c>
      <c r="I403" s="30">
        <v>0.22</v>
      </c>
      <c r="J403" s="37">
        <v>0.82</v>
      </c>
      <c r="K403" s="37">
        <v>0.19</v>
      </c>
      <c r="L403" s="37">
        <v>1</v>
      </c>
      <c r="M403" s="37">
        <v>124</v>
      </c>
      <c r="N403" s="37">
        <v>125</v>
      </c>
    </row>
    <row r="404" spans="1:14">
      <c r="A404" s="30">
        <v>403</v>
      </c>
      <c r="B404" s="31">
        <v>40561</v>
      </c>
      <c r="C404" s="30">
        <v>18</v>
      </c>
      <c r="D404" s="37" t="s">
        <v>30</v>
      </c>
      <c r="E404" s="37" t="b">
        <v>0</v>
      </c>
      <c r="F404" s="37" t="s">
        <v>21</v>
      </c>
      <c r="G404" s="37" t="s">
        <v>9</v>
      </c>
      <c r="H404" s="37">
        <v>0.23</v>
      </c>
      <c r="I404" s="30">
        <v>0.22</v>
      </c>
      <c r="J404" s="37">
        <v>0.8</v>
      </c>
      <c r="K404" s="37">
        <v>0.16</v>
      </c>
      <c r="L404" s="37">
        <v>1</v>
      </c>
      <c r="M404" s="37">
        <v>132</v>
      </c>
      <c r="N404" s="37">
        <v>133</v>
      </c>
    </row>
    <row r="405" spans="1:14">
      <c r="A405" s="30">
        <v>404</v>
      </c>
      <c r="B405" s="31">
        <v>40561</v>
      </c>
      <c r="C405" s="30">
        <v>19</v>
      </c>
      <c r="D405" s="37" t="s">
        <v>30</v>
      </c>
      <c r="E405" s="37" t="b">
        <v>0</v>
      </c>
      <c r="F405" s="37" t="s">
        <v>21</v>
      </c>
      <c r="G405" s="37" t="s">
        <v>9</v>
      </c>
      <c r="H405" s="37">
        <v>0.23</v>
      </c>
      <c r="I405" s="30">
        <v>0.22</v>
      </c>
      <c r="J405" s="37">
        <v>0.8</v>
      </c>
      <c r="K405" s="37">
        <v>0.13</v>
      </c>
      <c r="L405" s="37">
        <v>1</v>
      </c>
      <c r="M405" s="37">
        <v>98</v>
      </c>
      <c r="N405" s="37">
        <v>99</v>
      </c>
    </row>
    <row r="406" spans="1:14">
      <c r="A406" s="30">
        <v>405</v>
      </c>
      <c r="B406" s="31">
        <v>40561</v>
      </c>
      <c r="C406" s="30">
        <v>20</v>
      </c>
      <c r="D406" s="37" t="s">
        <v>30</v>
      </c>
      <c r="E406" s="37" t="b">
        <v>0</v>
      </c>
      <c r="F406" s="37" t="s">
        <v>21</v>
      </c>
      <c r="G406" s="37" t="s">
        <v>9</v>
      </c>
      <c r="H406" s="37">
        <v>0.27</v>
      </c>
      <c r="I406" s="30">
        <v>0.22</v>
      </c>
      <c r="J406" s="37">
        <v>0.87</v>
      </c>
      <c r="K406" s="37">
        <v>0</v>
      </c>
      <c r="L406" s="37">
        <v>0</v>
      </c>
      <c r="M406" s="37">
        <v>83</v>
      </c>
      <c r="N406" s="37">
        <v>83</v>
      </c>
    </row>
    <row r="407" spans="1:14">
      <c r="A407" s="30">
        <v>406</v>
      </c>
      <c r="B407" s="31">
        <v>40561</v>
      </c>
      <c r="C407" s="30">
        <v>21</v>
      </c>
      <c r="D407" s="37" t="s">
        <v>30</v>
      </c>
      <c r="E407" s="37" t="b">
        <v>0</v>
      </c>
      <c r="F407" s="37" t="s">
        <v>21</v>
      </c>
      <c r="G407" s="37" t="s">
        <v>9</v>
      </c>
      <c r="H407" s="37">
        <v>0.24</v>
      </c>
      <c r="I407" s="30">
        <v>0.22</v>
      </c>
      <c r="J407" s="37">
        <v>0.93</v>
      </c>
      <c r="K407" s="37">
        <v>0.1</v>
      </c>
      <c r="L407" s="37">
        <v>0</v>
      </c>
      <c r="M407" s="37">
        <v>41</v>
      </c>
      <c r="N407" s="37">
        <v>41</v>
      </c>
    </row>
    <row r="408" spans="1:14">
      <c r="A408" s="30">
        <v>407</v>
      </c>
      <c r="B408" s="31">
        <v>40561</v>
      </c>
      <c r="C408" s="30">
        <v>22</v>
      </c>
      <c r="D408" s="37" t="s">
        <v>30</v>
      </c>
      <c r="E408" s="37" t="b">
        <v>0</v>
      </c>
      <c r="F408" s="37" t="s">
        <v>21</v>
      </c>
      <c r="G408" s="37" t="s">
        <v>9</v>
      </c>
      <c r="H408" s="37">
        <v>0.26</v>
      </c>
      <c r="I408" s="30">
        <v>0.22</v>
      </c>
      <c r="J408" s="37">
        <v>0.93</v>
      </c>
      <c r="K408" s="37">
        <v>0.09</v>
      </c>
      <c r="L408" s="37">
        <v>0</v>
      </c>
      <c r="M408" s="37">
        <v>33</v>
      </c>
      <c r="N408" s="37">
        <v>33</v>
      </c>
    </row>
    <row r="409" spans="1:14">
      <c r="A409" s="30">
        <v>408</v>
      </c>
      <c r="B409" s="31">
        <v>40561</v>
      </c>
      <c r="C409" s="30">
        <v>23</v>
      </c>
      <c r="D409" s="37" t="s">
        <v>30</v>
      </c>
      <c r="E409" s="37" t="b">
        <v>0</v>
      </c>
      <c r="F409" s="37" t="s">
        <v>21</v>
      </c>
      <c r="G409" s="37" t="s">
        <v>9</v>
      </c>
      <c r="H409" s="37">
        <v>0.27</v>
      </c>
      <c r="I409" s="30">
        <v>0.22</v>
      </c>
      <c r="J409" s="37">
        <v>0.93</v>
      </c>
      <c r="K409" s="37">
        <v>0</v>
      </c>
      <c r="L409" s="37">
        <v>1</v>
      </c>
      <c r="M409" s="37">
        <v>19</v>
      </c>
      <c r="N409" s="37">
        <v>20</v>
      </c>
    </row>
    <row r="410" spans="1:14">
      <c r="A410" s="30">
        <v>409</v>
      </c>
      <c r="B410" s="31">
        <v>40562</v>
      </c>
      <c r="C410" s="30">
        <v>0</v>
      </c>
      <c r="D410" s="37" t="s">
        <v>27</v>
      </c>
      <c r="E410" s="37" t="b">
        <v>0</v>
      </c>
      <c r="F410" s="37" t="s">
        <v>22</v>
      </c>
      <c r="G410" s="37" t="s">
        <v>9</v>
      </c>
      <c r="H410" s="37">
        <v>0.27</v>
      </c>
      <c r="I410" s="30">
        <v>0.22</v>
      </c>
      <c r="J410" s="37">
        <v>0.93</v>
      </c>
      <c r="K410" s="37">
        <v>0</v>
      </c>
      <c r="L410" s="37">
        <v>0</v>
      </c>
      <c r="M410" s="37">
        <v>3</v>
      </c>
      <c r="N410" s="37">
        <v>3</v>
      </c>
    </row>
    <row r="411" spans="1:14">
      <c r="A411" s="30">
        <v>410</v>
      </c>
      <c r="B411" s="31">
        <v>40562</v>
      </c>
      <c r="C411" s="30">
        <v>1</v>
      </c>
      <c r="D411" s="37" t="s">
        <v>27</v>
      </c>
      <c r="E411" s="37" t="b">
        <v>0</v>
      </c>
      <c r="F411" s="37" t="s">
        <v>22</v>
      </c>
      <c r="G411" s="37" t="s">
        <v>10</v>
      </c>
      <c r="H411" s="37">
        <v>0.23</v>
      </c>
      <c r="I411" s="30">
        <v>0.22</v>
      </c>
      <c r="J411" s="37">
        <v>0.93</v>
      </c>
      <c r="K411" s="37">
        <v>0.13</v>
      </c>
      <c r="L411" s="37">
        <v>1</v>
      </c>
      <c r="M411" s="37">
        <v>6</v>
      </c>
      <c r="N411" s="37">
        <v>7</v>
      </c>
    </row>
    <row r="412" spans="1:14">
      <c r="A412" s="30">
        <v>411</v>
      </c>
      <c r="B412" s="31">
        <v>40562</v>
      </c>
      <c r="C412" s="30">
        <v>2</v>
      </c>
      <c r="D412" s="37" t="s">
        <v>27</v>
      </c>
      <c r="E412" s="37" t="b">
        <v>0</v>
      </c>
      <c r="F412" s="37" t="s">
        <v>22</v>
      </c>
      <c r="G412" s="37" t="s">
        <v>10</v>
      </c>
      <c r="H412" s="37">
        <v>0.23</v>
      </c>
      <c r="I412" s="30">
        <v>0.22</v>
      </c>
      <c r="J412" s="37">
        <v>0.93</v>
      </c>
      <c r="K412" s="37">
        <v>0.13</v>
      </c>
      <c r="L412" s="37">
        <v>0</v>
      </c>
      <c r="M412" s="37">
        <v>3</v>
      </c>
      <c r="N412" s="37">
        <v>3</v>
      </c>
    </row>
    <row r="413" spans="1:14">
      <c r="A413" s="30">
        <v>412</v>
      </c>
      <c r="B413" s="31">
        <v>40562</v>
      </c>
      <c r="C413" s="30">
        <v>4</v>
      </c>
      <c r="D413" s="37" t="s">
        <v>27</v>
      </c>
      <c r="E413" s="37" t="b">
        <v>0</v>
      </c>
      <c r="F413" s="37" t="s">
        <v>22</v>
      </c>
      <c r="G413" s="37" t="s">
        <v>10</v>
      </c>
      <c r="H413" s="37">
        <v>0.23</v>
      </c>
      <c r="I413" s="30">
        <v>0.22</v>
      </c>
      <c r="J413" s="37">
        <v>0.93</v>
      </c>
      <c r="K413" s="37">
        <v>0.13</v>
      </c>
      <c r="L413" s="37">
        <v>1</v>
      </c>
      <c r="M413" s="37">
        <v>1</v>
      </c>
      <c r="N413" s="37">
        <v>2</v>
      </c>
    </row>
    <row r="414" spans="1:14">
      <c r="A414" s="30">
        <v>413</v>
      </c>
      <c r="B414" s="31">
        <v>40562</v>
      </c>
      <c r="C414" s="30">
        <v>5</v>
      </c>
      <c r="D414" s="37" t="s">
        <v>27</v>
      </c>
      <c r="E414" s="37" t="b">
        <v>0</v>
      </c>
      <c r="F414" s="37" t="s">
        <v>22</v>
      </c>
      <c r="G414" s="37" t="s">
        <v>9</v>
      </c>
      <c r="H414" s="37">
        <v>0.26</v>
      </c>
      <c r="I414" s="30">
        <v>0.22</v>
      </c>
      <c r="J414" s="37">
        <v>0.93</v>
      </c>
      <c r="K414" s="37">
        <v>0.09</v>
      </c>
      <c r="L414" s="37">
        <v>0</v>
      </c>
      <c r="M414" s="37">
        <v>7</v>
      </c>
      <c r="N414" s="37">
        <v>7</v>
      </c>
    </row>
    <row r="415" spans="1:14">
      <c r="A415" s="30">
        <v>414</v>
      </c>
      <c r="B415" s="31">
        <v>40562</v>
      </c>
      <c r="C415" s="30">
        <v>6</v>
      </c>
      <c r="D415" s="37" t="s">
        <v>28</v>
      </c>
      <c r="E415" s="37" t="b">
        <v>0</v>
      </c>
      <c r="F415" s="37" t="s">
        <v>22</v>
      </c>
      <c r="G415" s="37" t="s">
        <v>9</v>
      </c>
      <c r="H415" s="37">
        <v>0.26</v>
      </c>
      <c r="I415" s="30">
        <v>0.22</v>
      </c>
      <c r="J415" s="37">
        <v>0.93</v>
      </c>
      <c r="K415" s="37">
        <v>0.09</v>
      </c>
      <c r="L415" s="37">
        <v>0</v>
      </c>
      <c r="M415" s="37">
        <v>32</v>
      </c>
      <c r="N415" s="37">
        <v>32</v>
      </c>
    </row>
    <row r="416" spans="1:14">
      <c r="A416" s="30">
        <v>415</v>
      </c>
      <c r="B416" s="31">
        <v>40562</v>
      </c>
      <c r="C416" s="30">
        <v>7</v>
      </c>
      <c r="D416" s="37" t="s">
        <v>28</v>
      </c>
      <c r="E416" s="37" t="b">
        <v>0</v>
      </c>
      <c r="F416" s="37" t="s">
        <v>22</v>
      </c>
      <c r="G416" s="37" t="s">
        <v>9</v>
      </c>
      <c r="H416" s="37">
        <v>0.26</v>
      </c>
      <c r="I416" s="30">
        <v>0.24</v>
      </c>
      <c r="J416" s="37">
        <v>0.92</v>
      </c>
      <c r="K416" s="37">
        <v>0.1</v>
      </c>
      <c r="L416" s="37">
        <v>1</v>
      </c>
      <c r="M416" s="37">
        <v>89</v>
      </c>
      <c r="N416" s="37">
        <v>90</v>
      </c>
    </row>
    <row r="417" spans="1:14">
      <c r="A417" s="30">
        <v>416</v>
      </c>
      <c r="B417" s="31">
        <v>40562</v>
      </c>
      <c r="C417" s="30">
        <v>8</v>
      </c>
      <c r="D417" s="37" t="s">
        <v>28</v>
      </c>
      <c r="E417" s="37" t="b">
        <v>0</v>
      </c>
      <c r="F417" s="37" t="s">
        <v>22</v>
      </c>
      <c r="G417" s="37" t="s">
        <v>9</v>
      </c>
      <c r="H417" s="37">
        <v>0.26</v>
      </c>
      <c r="I417" s="30">
        <v>0.24</v>
      </c>
      <c r="J417" s="37">
        <v>0.93</v>
      </c>
      <c r="K417" s="37">
        <v>0.1</v>
      </c>
      <c r="L417" s="37">
        <v>1</v>
      </c>
      <c r="M417" s="37">
        <v>196</v>
      </c>
      <c r="N417" s="37">
        <v>197</v>
      </c>
    </row>
    <row r="418" spans="1:14">
      <c r="A418" s="30">
        <v>417</v>
      </c>
      <c r="B418" s="31">
        <v>40562</v>
      </c>
      <c r="C418" s="30">
        <v>9</v>
      </c>
      <c r="D418" s="37" t="s">
        <v>28</v>
      </c>
      <c r="E418" s="37" t="b">
        <v>0</v>
      </c>
      <c r="F418" s="37" t="s">
        <v>22</v>
      </c>
      <c r="G418" s="37" t="s">
        <v>9</v>
      </c>
      <c r="H418" s="37">
        <v>0.26</v>
      </c>
      <c r="I418" s="30">
        <v>0.24</v>
      </c>
      <c r="J418" s="37">
        <v>0.93</v>
      </c>
      <c r="K418" s="37">
        <v>0.1</v>
      </c>
      <c r="L418" s="37">
        <v>2</v>
      </c>
      <c r="M418" s="37">
        <v>107</v>
      </c>
      <c r="N418" s="37">
        <v>109</v>
      </c>
    </row>
    <row r="419" spans="1:14">
      <c r="A419" s="30">
        <v>418</v>
      </c>
      <c r="B419" s="31">
        <v>40562</v>
      </c>
      <c r="C419" s="30">
        <v>10</v>
      </c>
      <c r="D419" s="37" t="s">
        <v>28</v>
      </c>
      <c r="E419" s="37" t="b">
        <v>0</v>
      </c>
      <c r="F419" s="37" t="s">
        <v>22</v>
      </c>
      <c r="G419" s="37" t="s">
        <v>9</v>
      </c>
      <c r="H419" s="37">
        <v>0.27</v>
      </c>
      <c r="I419" s="30">
        <v>0.26</v>
      </c>
      <c r="J419" s="37">
        <v>0.93</v>
      </c>
      <c r="K419" s="37">
        <v>0.13</v>
      </c>
      <c r="L419" s="37">
        <v>1</v>
      </c>
      <c r="M419" s="37">
        <v>46</v>
      </c>
      <c r="N419" s="37">
        <v>47</v>
      </c>
    </row>
    <row r="420" spans="1:14">
      <c r="A420" s="30">
        <v>419</v>
      </c>
      <c r="B420" s="31">
        <v>40562</v>
      </c>
      <c r="C420" s="30">
        <v>11</v>
      </c>
      <c r="D420" s="37" t="s">
        <v>28</v>
      </c>
      <c r="E420" s="37" t="b">
        <v>0</v>
      </c>
      <c r="F420" s="37" t="s">
        <v>22</v>
      </c>
      <c r="G420" s="37" t="s">
        <v>9</v>
      </c>
      <c r="H420" s="37">
        <v>0.3</v>
      </c>
      <c r="I420" s="30">
        <v>0.28000000000000003</v>
      </c>
      <c r="J420" s="37">
        <v>0.87</v>
      </c>
      <c r="K420" s="37">
        <v>0.09</v>
      </c>
      <c r="L420" s="37">
        <v>5</v>
      </c>
      <c r="M420" s="37">
        <v>47</v>
      </c>
      <c r="N420" s="37">
        <v>52</v>
      </c>
    </row>
    <row r="421" spans="1:14">
      <c r="A421" s="30">
        <v>420</v>
      </c>
      <c r="B421" s="31">
        <v>40562</v>
      </c>
      <c r="C421" s="30">
        <v>12</v>
      </c>
      <c r="D421" s="37" t="s">
        <v>29</v>
      </c>
      <c r="E421" s="37" t="b">
        <v>0</v>
      </c>
      <c r="F421" s="37" t="s">
        <v>22</v>
      </c>
      <c r="G421" s="37" t="s">
        <v>9</v>
      </c>
      <c r="H421" s="37">
        <v>0.32</v>
      </c>
      <c r="I421" s="30">
        <v>0.3</v>
      </c>
      <c r="J421" s="37">
        <v>0.81</v>
      </c>
      <c r="K421" s="37">
        <v>0.09</v>
      </c>
      <c r="L421" s="37">
        <v>5</v>
      </c>
      <c r="M421" s="37">
        <v>65</v>
      </c>
      <c r="N421" s="37">
        <v>70</v>
      </c>
    </row>
    <row r="422" spans="1:14">
      <c r="A422" s="30">
        <v>421</v>
      </c>
      <c r="B422" s="31">
        <v>40562</v>
      </c>
      <c r="C422" s="30">
        <v>13</v>
      </c>
      <c r="D422" s="37" t="s">
        <v>29</v>
      </c>
      <c r="E422" s="37" t="b">
        <v>0</v>
      </c>
      <c r="F422" s="37" t="s">
        <v>22</v>
      </c>
      <c r="G422" s="37" t="s">
        <v>8</v>
      </c>
      <c r="H422" s="37">
        <v>0.41</v>
      </c>
      <c r="I422" s="30">
        <v>0.4</v>
      </c>
      <c r="J422" s="37">
        <v>0.62</v>
      </c>
      <c r="K422" s="37">
        <v>0.28000000000000003</v>
      </c>
      <c r="L422" s="37">
        <v>11</v>
      </c>
      <c r="M422" s="37">
        <v>67</v>
      </c>
      <c r="N422" s="37">
        <v>78</v>
      </c>
    </row>
    <row r="423" spans="1:14">
      <c r="A423" s="30">
        <v>422</v>
      </c>
      <c r="B423" s="31">
        <v>40562</v>
      </c>
      <c r="C423" s="30">
        <v>14</v>
      </c>
      <c r="D423" s="37" t="s">
        <v>29</v>
      </c>
      <c r="E423" s="37" t="b">
        <v>0</v>
      </c>
      <c r="F423" s="37" t="s">
        <v>22</v>
      </c>
      <c r="G423" s="37" t="s">
        <v>8</v>
      </c>
      <c r="H423" s="37">
        <v>0.41</v>
      </c>
      <c r="I423" s="30">
        <v>0.4</v>
      </c>
      <c r="J423" s="37">
        <v>0.57999999999999996</v>
      </c>
      <c r="K423" s="37">
        <v>0.25</v>
      </c>
      <c r="L423" s="37">
        <v>7</v>
      </c>
      <c r="M423" s="37">
        <v>68</v>
      </c>
      <c r="N423" s="37">
        <v>75</v>
      </c>
    </row>
    <row r="424" spans="1:14">
      <c r="A424" s="30">
        <v>423</v>
      </c>
      <c r="B424" s="31">
        <v>40562</v>
      </c>
      <c r="C424" s="30">
        <v>15</v>
      </c>
      <c r="D424" s="37" t="s">
        <v>29</v>
      </c>
      <c r="E424" s="37" t="b">
        <v>0</v>
      </c>
      <c r="F424" s="37" t="s">
        <v>22</v>
      </c>
      <c r="G424" s="37" t="s">
        <v>8</v>
      </c>
      <c r="H424" s="37">
        <v>0.41</v>
      </c>
      <c r="I424" s="30">
        <v>0.4</v>
      </c>
      <c r="J424" s="37">
        <v>0.54</v>
      </c>
      <c r="K424" s="37">
        <v>0.28000000000000003</v>
      </c>
      <c r="L424" s="37">
        <v>4</v>
      </c>
      <c r="M424" s="37">
        <v>78</v>
      </c>
      <c r="N424" s="37">
        <v>82</v>
      </c>
    </row>
    <row r="425" spans="1:14">
      <c r="A425" s="30">
        <v>424</v>
      </c>
      <c r="B425" s="31">
        <v>40562</v>
      </c>
      <c r="C425" s="30">
        <v>16</v>
      </c>
      <c r="D425" s="37" t="s">
        <v>29</v>
      </c>
      <c r="E425" s="37" t="b">
        <v>0</v>
      </c>
      <c r="F425" s="37" t="s">
        <v>22</v>
      </c>
      <c r="G425" s="37" t="s">
        <v>8</v>
      </c>
      <c r="H425" s="37">
        <v>0.39</v>
      </c>
      <c r="I425" s="30">
        <v>0.38</v>
      </c>
      <c r="J425" s="37">
        <v>0.57999999999999996</v>
      </c>
      <c r="K425" s="37">
        <v>0.39</v>
      </c>
      <c r="L425" s="37">
        <v>10</v>
      </c>
      <c r="M425" s="37">
        <v>94</v>
      </c>
      <c r="N425" s="37">
        <v>104</v>
      </c>
    </row>
    <row r="426" spans="1:14">
      <c r="A426" s="30">
        <v>425</v>
      </c>
      <c r="B426" s="31">
        <v>40562</v>
      </c>
      <c r="C426" s="30">
        <v>17</v>
      </c>
      <c r="D426" s="37" t="s">
        <v>29</v>
      </c>
      <c r="E426" s="37" t="b">
        <v>0</v>
      </c>
      <c r="F426" s="37" t="s">
        <v>22</v>
      </c>
      <c r="G426" s="37" t="s">
        <v>8</v>
      </c>
      <c r="H426" s="37">
        <v>0.33</v>
      </c>
      <c r="I426" s="30">
        <v>0.36</v>
      </c>
      <c r="J426" s="37">
        <v>0.56999999999999995</v>
      </c>
      <c r="K426" s="37">
        <v>0.33</v>
      </c>
      <c r="L426" s="37">
        <v>7</v>
      </c>
      <c r="M426" s="37">
        <v>190</v>
      </c>
      <c r="N426" s="37">
        <v>197</v>
      </c>
    </row>
    <row r="427" spans="1:14">
      <c r="A427" s="30">
        <v>426</v>
      </c>
      <c r="B427" s="31">
        <v>40562</v>
      </c>
      <c r="C427" s="30">
        <v>18</v>
      </c>
      <c r="D427" s="37" t="s">
        <v>30</v>
      </c>
      <c r="E427" s="37" t="b">
        <v>0</v>
      </c>
      <c r="F427" s="37" t="s">
        <v>22</v>
      </c>
      <c r="G427" s="37" t="s">
        <v>8</v>
      </c>
      <c r="H427" s="37">
        <v>0.32</v>
      </c>
      <c r="I427" s="30">
        <v>0.34</v>
      </c>
      <c r="J427" s="37">
        <v>0.61</v>
      </c>
      <c r="K427" s="37">
        <v>0.28000000000000003</v>
      </c>
      <c r="L427" s="37">
        <v>5</v>
      </c>
      <c r="M427" s="37">
        <v>156</v>
      </c>
      <c r="N427" s="37">
        <v>161</v>
      </c>
    </row>
    <row r="428" spans="1:14">
      <c r="A428" s="30">
        <v>427</v>
      </c>
      <c r="B428" s="31">
        <v>40562</v>
      </c>
      <c r="C428" s="30">
        <v>19</v>
      </c>
      <c r="D428" s="37" t="s">
        <v>30</v>
      </c>
      <c r="E428" s="37" t="b">
        <v>0</v>
      </c>
      <c r="F428" s="37" t="s">
        <v>22</v>
      </c>
      <c r="G428" s="37" t="s">
        <v>8</v>
      </c>
      <c r="H428" s="37">
        <v>0.28999999999999998</v>
      </c>
      <c r="I428" s="30">
        <v>0.32</v>
      </c>
      <c r="J428" s="37">
        <v>0.56999999999999995</v>
      </c>
      <c r="K428" s="37">
        <v>0.42</v>
      </c>
      <c r="L428" s="37">
        <v>4</v>
      </c>
      <c r="M428" s="37">
        <v>108</v>
      </c>
      <c r="N428" s="37">
        <v>112</v>
      </c>
    </row>
    <row r="429" spans="1:14">
      <c r="A429" s="30">
        <v>428</v>
      </c>
      <c r="B429" s="31">
        <v>40562</v>
      </c>
      <c r="C429" s="30">
        <v>20</v>
      </c>
      <c r="D429" s="37" t="s">
        <v>30</v>
      </c>
      <c r="E429" s="37" t="b">
        <v>0</v>
      </c>
      <c r="F429" s="37" t="s">
        <v>22</v>
      </c>
      <c r="G429" s="37" t="s">
        <v>8</v>
      </c>
      <c r="H429" s="37">
        <v>0.3</v>
      </c>
      <c r="I429" s="30">
        <v>0.32</v>
      </c>
      <c r="J429" s="37">
        <v>0.49</v>
      </c>
      <c r="K429" s="37">
        <v>0.3</v>
      </c>
      <c r="L429" s="37">
        <v>2</v>
      </c>
      <c r="M429" s="37">
        <v>74</v>
      </c>
      <c r="N429" s="37">
        <v>76</v>
      </c>
    </row>
    <row r="430" spans="1:14">
      <c r="A430" s="30">
        <v>429</v>
      </c>
      <c r="B430" s="31">
        <v>40562</v>
      </c>
      <c r="C430" s="30">
        <v>21</v>
      </c>
      <c r="D430" s="37" t="s">
        <v>30</v>
      </c>
      <c r="E430" s="37" t="b">
        <v>0</v>
      </c>
      <c r="F430" s="37" t="s">
        <v>22</v>
      </c>
      <c r="G430" s="37" t="s">
        <v>8</v>
      </c>
      <c r="H430" s="37">
        <v>0.28999999999999998</v>
      </c>
      <c r="I430" s="30">
        <v>0.32</v>
      </c>
      <c r="J430" s="37">
        <v>0.49</v>
      </c>
      <c r="K430" s="37">
        <v>0.42</v>
      </c>
      <c r="L430" s="37">
        <v>4</v>
      </c>
      <c r="M430" s="37">
        <v>55</v>
      </c>
      <c r="N430" s="37">
        <v>59</v>
      </c>
    </row>
    <row r="431" spans="1:14">
      <c r="A431" s="30">
        <v>430</v>
      </c>
      <c r="B431" s="31">
        <v>40562</v>
      </c>
      <c r="C431" s="30">
        <v>22</v>
      </c>
      <c r="D431" s="37" t="s">
        <v>30</v>
      </c>
      <c r="E431" s="37" t="b">
        <v>0</v>
      </c>
      <c r="F431" s="37" t="s">
        <v>22</v>
      </c>
      <c r="G431" s="37" t="s">
        <v>8</v>
      </c>
      <c r="H431" s="37">
        <v>0.3</v>
      </c>
      <c r="I431" s="30">
        <v>0.3</v>
      </c>
      <c r="J431" s="37">
        <v>0.52</v>
      </c>
      <c r="K431" s="37">
        <v>0.16</v>
      </c>
      <c r="L431" s="37">
        <v>6</v>
      </c>
      <c r="M431" s="37">
        <v>53</v>
      </c>
      <c r="N431" s="37">
        <v>59</v>
      </c>
    </row>
    <row r="432" spans="1:14">
      <c r="A432" s="30">
        <v>431</v>
      </c>
      <c r="B432" s="31">
        <v>40562</v>
      </c>
      <c r="C432" s="30">
        <v>23</v>
      </c>
      <c r="D432" s="37" t="s">
        <v>30</v>
      </c>
      <c r="E432" s="37" t="b">
        <v>0</v>
      </c>
      <c r="F432" s="37" t="s">
        <v>22</v>
      </c>
      <c r="G432" s="37" t="s">
        <v>8</v>
      </c>
      <c r="H432" s="37">
        <v>0.27</v>
      </c>
      <c r="I432" s="30">
        <v>0.3</v>
      </c>
      <c r="J432" s="37">
        <v>0.52</v>
      </c>
      <c r="K432" s="37">
        <v>0.46</v>
      </c>
      <c r="L432" s="37">
        <v>1</v>
      </c>
      <c r="M432" s="37">
        <v>27</v>
      </c>
      <c r="N432" s="37">
        <v>28</v>
      </c>
    </row>
    <row r="433" spans="1:14">
      <c r="A433" s="30">
        <v>432</v>
      </c>
      <c r="B433" s="31">
        <v>40563</v>
      </c>
      <c r="C433" s="30">
        <v>0</v>
      </c>
      <c r="D433" s="37" t="s">
        <v>27</v>
      </c>
      <c r="E433" s="37" t="b">
        <v>0</v>
      </c>
      <c r="F433" s="37" t="s">
        <v>23</v>
      </c>
      <c r="G433" s="37" t="s">
        <v>8</v>
      </c>
      <c r="H433" s="37">
        <v>0.23</v>
      </c>
      <c r="I433" s="30">
        <v>0.26</v>
      </c>
      <c r="J433" s="37">
        <v>0.56000000000000005</v>
      </c>
      <c r="K433" s="37">
        <v>0.39</v>
      </c>
      <c r="L433" s="37">
        <v>5</v>
      </c>
      <c r="M433" s="37">
        <v>8</v>
      </c>
      <c r="N433" s="37">
        <v>13</v>
      </c>
    </row>
    <row r="434" spans="1:14">
      <c r="A434" s="30">
        <v>433</v>
      </c>
      <c r="B434" s="31">
        <v>40563</v>
      </c>
      <c r="C434" s="30">
        <v>1</v>
      </c>
      <c r="D434" s="37" t="s">
        <v>27</v>
      </c>
      <c r="E434" s="37" t="b">
        <v>0</v>
      </c>
      <c r="F434" s="37" t="s">
        <v>23</v>
      </c>
      <c r="G434" s="37" t="s">
        <v>8</v>
      </c>
      <c r="H434" s="37">
        <v>0.27</v>
      </c>
      <c r="I434" s="30">
        <v>0.26</v>
      </c>
      <c r="J434" s="37">
        <v>0.56000000000000005</v>
      </c>
      <c r="K434" s="37">
        <v>0</v>
      </c>
      <c r="L434" s="37">
        <v>2</v>
      </c>
      <c r="M434" s="37">
        <v>3</v>
      </c>
      <c r="N434" s="37">
        <v>5</v>
      </c>
    </row>
    <row r="435" spans="1:14">
      <c r="A435" s="30">
        <v>434</v>
      </c>
      <c r="B435" s="31">
        <v>40563</v>
      </c>
      <c r="C435" s="30">
        <v>2</v>
      </c>
      <c r="D435" s="37" t="s">
        <v>27</v>
      </c>
      <c r="E435" s="37" t="b">
        <v>0</v>
      </c>
      <c r="F435" s="37" t="s">
        <v>23</v>
      </c>
      <c r="G435" s="37" t="s">
        <v>8</v>
      </c>
      <c r="H435" s="37">
        <v>0.27</v>
      </c>
      <c r="I435" s="30">
        <v>0.26</v>
      </c>
      <c r="J435" s="37">
        <v>0.56000000000000005</v>
      </c>
      <c r="K435" s="37">
        <v>0</v>
      </c>
      <c r="L435" s="37">
        <v>0</v>
      </c>
      <c r="M435" s="37">
        <v>2</v>
      </c>
      <c r="N435" s="37">
        <v>2</v>
      </c>
    </row>
    <row r="436" spans="1:14">
      <c r="A436" s="30">
        <v>435</v>
      </c>
      <c r="B436" s="31">
        <v>40563</v>
      </c>
      <c r="C436" s="30">
        <v>3</v>
      </c>
      <c r="D436" s="37" t="s">
        <v>27</v>
      </c>
      <c r="E436" s="37" t="b">
        <v>0</v>
      </c>
      <c r="F436" s="37" t="s">
        <v>23</v>
      </c>
      <c r="G436" s="37" t="s">
        <v>8</v>
      </c>
      <c r="H436" s="37">
        <v>0.26</v>
      </c>
      <c r="I436" s="30">
        <v>0.26</v>
      </c>
      <c r="J436" s="37">
        <v>0.56000000000000005</v>
      </c>
      <c r="K436" s="37">
        <v>0.16</v>
      </c>
      <c r="L436" s="37">
        <v>0</v>
      </c>
      <c r="M436" s="37">
        <v>1</v>
      </c>
      <c r="N436" s="37">
        <v>1</v>
      </c>
    </row>
    <row r="437" spans="1:14">
      <c r="A437" s="30">
        <v>436</v>
      </c>
      <c r="B437" s="31">
        <v>40563</v>
      </c>
      <c r="C437" s="30">
        <v>4</v>
      </c>
      <c r="D437" s="37" t="s">
        <v>27</v>
      </c>
      <c r="E437" s="37" t="b">
        <v>0</v>
      </c>
      <c r="F437" s="37" t="s">
        <v>23</v>
      </c>
      <c r="G437" s="37" t="s">
        <v>8</v>
      </c>
      <c r="H437" s="37">
        <v>0.26</v>
      </c>
      <c r="I437" s="30">
        <v>0.26</v>
      </c>
      <c r="J437" s="37">
        <v>0.56000000000000005</v>
      </c>
      <c r="K437" s="37">
        <v>0.16</v>
      </c>
      <c r="L437" s="37">
        <v>0</v>
      </c>
      <c r="M437" s="37">
        <v>1</v>
      </c>
      <c r="N437" s="37">
        <v>1</v>
      </c>
    </row>
    <row r="438" spans="1:14">
      <c r="A438" s="30">
        <v>437</v>
      </c>
      <c r="B438" s="31">
        <v>40563</v>
      </c>
      <c r="C438" s="30">
        <v>5</v>
      </c>
      <c r="D438" s="37" t="s">
        <v>27</v>
      </c>
      <c r="E438" s="37" t="b">
        <v>0</v>
      </c>
      <c r="F438" s="37" t="s">
        <v>23</v>
      </c>
      <c r="G438" s="37" t="s">
        <v>8</v>
      </c>
      <c r="H438" s="37">
        <v>0.23</v>
      </c>
      <c r="I438" s="30">
        <v>0.24</v>
      </c>
      <c r="J438" s="37">
        <v>0.6</v>
      </c>
      <c r="K438" s="37">
        <v>0.22</v>
      </c>
      <c r="L438" s="37">
        <v>0</v>
      </c>
      <c r="M438" s="37">
        <v>6</v>
      </c>
      <c r="N438" s="37">
        <v>6</v>
      </c>
    </row>
    <row r="439" spans="1:14">
      <c r="A439" s="30">
        <v>438</v>
      </c>
      <c r="B439" s="31">
        <v>40563</v>
      </c>
      <c r="C439" s="30">
        <v>6</v>
      </c>
      <c r="D439" s="37" t="s">
        <v>28</v>
      </c>
      <c r="E439" s="37" t="b">
        <v>0</v>
      </c>
      <c r="F439" s="37" t="s">
        <v>23</v>
      </c>
      <c r="G439" s="37" t="s">
        <v>8</v>
      </c>
      <c r="H439" s="37">
        <v>0.21</v>
      </c>
      <c r="I439" s="30">
        <v>0.22</v>
      </c>
      <c r="J439" s="37">
        <v>0.6</v>
      </c>
      <c r="K439" s="37">
        <v>0.22</v>
      </c>
      <c r="L439" s="37">
        <v>0</v>
      </c>
      <c r="M439" s="37">
        <v>35</v>
      </c>
      <c r="N439" s="37">
        <v>35</v>
      </c>
    </row>
    <row r="440" spans="1:14">
      <c r="A440" s="30">
        <v>439</v>
      </c>
      <c r="B440" s="31">
        <v>40563</v>
      </c>
      <c r="C440" s="30">
        <v>7</v>
      </c>
      <c r="D440" s="37" t="s">
        <v>28</v>
      </c>
      <c r="E440" s="37" t="b">
        <v>0</v>
      </c>
      <c r="F440" s="37" t="s">
        <v>23</v>
      </c>
      <c r="G440" s="37" t="s">
        <v>8</v>
      </c>
      <c r="H440" s="37">
        <v>0.21</v>
      </c>
      <c r="I440" s="30">
        <v>0.22</v>
      </c>
      <c r="J440" s="37">
        <v>0.55000000000000004</v>
      </c>
      <c r="K440" s="37">
        <v>0.22</v>
      </c>
      <c r="L440" s="37">
        <v>1</v>
      </c>
      <c r="M440" s="37">
        <v>100</v>
      </c>
      <c r="N440" s="37">
        <v>101</v>
      </c>
    </row>
    <row r="441" spans="1:14">
      <c r="A441" s="30">
        <v>440</v>
      </c>
      <c r="B441" s="31">
        <v>40563</v>
      </c>
      <c r="C441" s="30">
        <v>8</v>
      </c>
      <c r="D441" s="37" t="s">
        <v>28</v>
      </c>
      <c r="E441" s="37" t="b">
        <v>0</v>
      </c>
      <c r="F441" s="37" t="s">
        <v>23</v>
      </c>
      <c r="G441" s="37" t="s">
        <v>8</v>
      </c>
      <c r="H441" s="37">
        <v>0.21</v>
      </c>
      <c r="I441" s="30">
        <v>0.22</v>
      </c>
      <c r="J441" s="37">
        <v>0.55000000000000004</v>
      </c>
      <c r="K441" s="37">
        <v>0.28000000000000003</v>
      </c>
      <c r="L441" s="37">
        <v>2</v>
      </c>
      <c r="M441" s="37">
        <v>247</v>
      </c>
      <c r="N441" s="37">
        <v>249</v>
      </c>
    </row>
    <row r="442" spans="1:14">
      <c r="A442" s="30">
        <v>441</v>
      </c>
      <c r="B442" s="31">
        <v>40563</v>
      </c>
      <c r="C442" s="30">
        <v>9</v>
      </c>
      <c r="D442" s="37" t="s">
        <v>28</v>
      </c>
      <c r="E442" s="37" t="b">
        <v>0</v>
      </c>
      <c r="F442" s="37" t="s">
        <v>23</v>
      </c>
      <c r="G442" s="37" t="s">
        <v>9</v>
      </c>
      <c r="H442" s="37">
        <v>0.23</v>
      </c>
      <c r="I442" s="30">
        <v>0.24</v>
      </c>
      <c r="J442" s="37">
        <v>0.52</v>
      </c>
      <c r="K442" s="37">
        <v>0.22</v>
      </c>
      <c r="L442" s="37">
        <v>3</v>
      </c>
      <c r="M442" s="37">
        <v>140</v>
      </c>
      <c r="N442" s="37">
        <v>143</v>
      </c>
    </row>
    <row r="443" spans="1:14">
      <c r="A443" s="30">
        <v>442</v>
      </c>
      <c r="B443" s="31">
        <v>40563</v>
      </c>
      <c r="C443" s="30">
        <v>10</v>
      </c>
      <c r="D443" s="37" t="s">
        <v>28</v>
      </c>
      <c r="E443" s="37" t="b">
        <v>0</v>
      </c>
      <c r="F443" s="37" t="s">
        <v>23</v>
      </c>
      <c r="G443" s="37" t="s">
        <v>8</v>
      </c>
      <c r="H443" s="37">
        <v>0.23</v>
      </c>
      <c r="I443" s="30">
        <v>0.26</v>
      </c>
      <c r="J443" s="37">
        <v>0.48</v>
      </c>
      <c r="K443" s="37">
        <v>0.3</v>
      </c>
      <c r="L443" s="37">
        <v>1</v>
      </c>
      <c r="M443" s="37">
        <v>56</v>
      </c>
      <c r="N443" s="37">
        <v>57</v>
      </c>
    </row>
    <row r="444" spans="1:14">
      <c r="A444" s="30">
        <v>443</v>
      </c>
      <c r="B444" s="31">
        <v>40563</v>
      </c>
      <c r="C444" s="30">
        <v>11</v>
      </c>
      <c r="D444" s="37" t="s">
        <v>28</v>
      </c>
      <c r="E444" s="37" t="b">
        <v>0</v>
      </c>
      <c r="F444" s="37" t="s">
        <v>23</v>
      </c>
      <c r="G444" s="37" t="s">
        <v>9</v>
      </c>
      <c r="H444" s="37">
        <v>0.27</v>
      </c>
      <c r="I444" s="30">
        <v>0.28000000000000003</v>
      </c>
      <c r="J444" s="37">
        <v>0.45</v>
      </c>
      <c r="K444" s="37">
        <v>0.16</v>
      </c>
      <c r="L444" s="37">
        <v>5</v>
      </c>
      <c r="M444" s="37">
        <v>63</v>
      </c>
      <c r="N444" s="37">
        <v>68</v>
      </c>
    </row>
    <row r="445" spans="1:14">
      <c r="A445" s="30">
        <v>444</v>
      </c>
      <c r="B445" s="31">
        <v>40563</v>
      </c>
      <c r="C445" s="30">
        <v>12</v>
      </c>
      <c r="D445" s="37" t="s">
        <v>29</v>
      </c>
      <c r="E445" s="37" t="b">
        <v>0</v>
      </c>
      <c r="F445" s="37" t="s">
        <v>23</v>
      </c>
      <c r="G445" s="37" t="s">
        <v>9</v>
      </c>
      <c r="H445" s="37">
        <v>0.33</v>
      </c>
      <c r="I445" s="30">
        <v>0.3</v>
      </c>
      <c r="J445" s="37">
        <v>0.42</v>
      </c>
      <c r="K445" s="37">
        <v>0</v>
      </c>
      <c r="L445" s="37">
        <v>7</v>
      </c>
      <c r="M445" s="37">
        <v>77</v>
      </c>
      <c r="N445" s="37">
        <v>84</v>
      </c>
    </row>
    <row r="446" spans="1:14">
      <c r="A446" s="30">
        <v>445</v>
      </c>
      <c r="B446" s="31">
        <v>40563</v>
      </c>
      <c r="C446" s="30">
        <v>13</v>
      </c>
      <c r="D446" s="37" t="s">
        <v>29</v>
      </c>
      <c r="E446" s="37" t="b">
        <v>0</v>
      </c>
      <c r="F446" s="37" t="s">
        <v>23</v>
      </c>
      <c r="G446" s="37" t="s">
        <v>9</v>
      </c>
      <c r="H446" s="37">
        <v>0.28999999999999998</v>
      </c>
      <c r="I446" s="30">
        <v>0.28000000000000003</v>
      </c>
      <c r="J446" s="37">
        <v>0.45</v>
      </c>
      <c r="K446" s="37">
        <v>0.1</v>
      </c>
      <c r="L446" s="37">
        <v>12</v>
      </c>
      <c r="M446" s="37">
        <v>86</v>
      </c>
      <c r="N446" s="37">
        <v>98</v>
      </c>
    </row>
    <row r="447" spans="1:14">
      <c r="A447" s="30">
        <v>446</v>
      </c>
      <c r="B447" s="31">
        <v>40563</v>
      </c>
      <c r="C447" s="30">
        <v>14</v>
      </c>
      <c r="D447" s="37" t="s">
        <v>29</v>
      </c>
      <c r="E447" s="37" t="b">
        <v>0</v>
      </c>
      <c r="F447" s="37" t="s">
        <v>23</v>
      </c>
      <c r="G447" s="37" t="s">
        <v>9</v>
      </c>
      <c r="H447" s="37">
        <v>0.3</v>
      </c>
      <c r="I447" s="30">
        <v>0.3</v>
      </c>
      <c r="J447" s="37">
        <v>0.45</v>
      </c>
      <c r="K447" s="37">
        <v>0.13</v>
      </c>
      <c r="L447" s="37">
        <v>6</v>
      </c>
      <c r="M447" s="37">
        <v>75</v>
      </c>
      <c r="N447" s="37">
        <v>81</v>
      </c>
    </row>
    <row r="448" spans="1:14">
      <c r="A448" s="30">
        <v>447</v>
      </c>
      <c r="B448" s="31">
        <v>40563</v>
      </c>
      <c r="C448" s="30">
        <v>15</v>
      </c>
      <c r="D448" s="37" t="s">
        <v>29</v>
      </c>
      <c r="E448" s="37" t="b">
        <v>0</v>
      </c>
      <c r="F448" s="37" t="s">
        <v>23</v>
      </c>
      <c r="G448" s="37" t="s">
        <v>9</v>
      </c>
      <c r="H448" s="37">
        <v>0.32</v>
      </c>
      <c r="I448" s="30">
        <v>0.32</v>
      </c>
      <c r="J448" s="37">
        <v>0.45</v>
      </c>
      <c r="K448" s="37">
        <v>0.19</v>
      </c>
      <c r="L448" s="37">
        <v>8</v>
      </c>
      <c r="M448" s="37">
        <v>62</v>
      </c>
      <c r="N448" s="37">
        <v>70</v>
      </c>
    </row>
    <row r="449" spans="1:14">
      <c r="A449" s="30">
        <v>448</v>
      </c>
      <c r="B449" s="31">
        <v>40563</v>
      </c>
      <c r="C449" s="30">
        <v>16</v>
      </c>
      <c r="D449" s="37" t="s">
        <v>29</v>
      </c>
      <c r="E449" s="37" t="b">
        <v>0</v>
      </c>
      <c r="F449" s="37" t="s">
        <v>23</v>
      </c>
      <c r="G449" s="37" t="s">
        <v>9</v>
      </c>
      <c r="H449" s="37">
        <v>0.3</v>
      </c>
      <c r="I449" s="30">
        <v>0.3</v>
      </c>
      <c r="J449" s="37">
        <v>0.49</v>
      </c>
      <c r="K449" s="37">
        <v>0.13</v>
      </c>
      <c r="L449" s="37">
        <v>8</v>
      </c>
      <c r="M449" s="37">
        <v>83</v>
      </c>
      <c r="N449" s="37">
        <v>91</v>
      </c>
    </row>
    <row r="450" spans="1:14">
      <c r="A450" s="30">
        <v>449</v>
      </c>
      <c r="B450" s="31">
        <v>40563</v>
      </c>
      <c r="C450" s="30">
        <v>17</v>
      </c>
      <c r="D450" s="37" t="s">
        <v>29</v>
      </c>
      <c r="E450" s="37" t="b">
        <v>0</v>
      </c>
      <c r="F450" s="37" t="s">
        <v>23</v>
      </c>
      <c r="G450" s="37" t="s">
        <v>9</v>
      </c>
      <c r="H450" s="37">
        <v>0.32</v>
      </c>
      <c r="I450" s="30">
        <v>0.3</v>
      </c>
      <c r="J450" s="37">
        <v>0.49</v>
      </c>
      <c r="K450" s="37">
        <v>0.1</v>
      </c>
      <c r="L450" s="37">
        <v>8</v>
      </c>
      <c r="M450" s="37">
        <v>207</v>
      </c>
      <c r="N450" s="37">
        <v>215</v>
      </c>
    </row>
    <row r="451" spans="1:14">
      <c r="A451" s="30">
        <v>450</v>
      </c>
      <c r="B451" s="31">
        <v>40563</v>
      </c>
      <c r="C451" s="30">
        <v>18</v>
      </c>
      <c r="D451" s="37" t="s">
        <v>30</v>
      </c>
      <c r="E451" s="37" t="b">
        <v>0</v>
      </c>
      <c r="F451" s="37" t="s">
        <v>23</v>
      </c>
      <c r="G451" s="37" t="s">
        <v>9</v>
      </c>
      <c r="H451" s="37">
        <v>0.26</v>
      </c>
      <c r="I451" s="30">
        <v>0.26</v>
      </c>
      <c r="J451" s="37">
        <v>0.56000000000000005</v>
      </c>
      <c r="K451" s="37">
        <v>0.19</v>
      </c>
      <c r="L451" s="37">
        <v>1</v>
      </c>
      <c r="M451" s="37">
        <v>184</v>
      </c>
      <c r="N451" s="37">
        <v>185</v>
      </c>
    </row>
    <row r="452" spans="1:14">
      <c r="A452" s="30">
        <v>451</v>
      </c>
      <c r="B452" s="31">
        <v>40563</v>
      </c>
      <c r="C452" s="30">
        <v>19</v>
      </c>
      <c r="D452" s="37" t="s">
        <v>30</v>
      </c>
      <c r="E452" s="37" t="b">
        <v>0</v>
      </c>
      <c r="F452" s="37" t="s">
        <v>23</v>
      </c>
      <c r="G452" s="37" t="s">
        <v>8</v>
      </c>
      <c r="H452" s="37">
        <v>0.23</v>
      </c>
      <c r="I452" s="30">
        <v>0.26</v>
      </c>
      <c r="J452" s="37">
        <v>0.56000000000000005</v>
      </c>
      <c r="K452" s="37">
        <v>0.33</v>
      </c>
      <c r="L452" s="37">
        <v>6</v>
      </c>
      <c r="M452" s="37">
        <v>146</v>
      </c>
      <c r="N452" s="37">
        <v>152</v>
      </c>
    </row>
    <row r="453" spans="1:14">
      <c r="A453" s="30">
        <v>452</v>
      </c>
      <c r="B453" s="31">
        <v>40563</v>
      </c>
      <c r="C453" s="30">
        <v>20</v>
      </c>
      <c r="D453" s="37" t="s">
        <v>30</v>
      </c>
      <c r="E453" s="37" t="b">
        <v>0</v>
      </c>
      <c r="F453" s="37" t="s">
        <v>23</v>
      </c>
      <c r="G453" s="37" t="s">
        <v>9</v>
      </c>
      <c r="H453" s="37">
        <v>0.24</v>
      </c>
      <c r="I453" s="30">
        <v>0.26</v>
      </c>
      <c r="J453" s="37">
        <v>0.6</v>
      </c>
      <c r="K453" s="37">
        <v>0.28000000000000003</v>
      </c>
      <c r="L453" s="37">
        <v>2</v>
      </c>
      <c r="M453" s="37">
        <v>124</v>
      </c>
      <c r="N453" s="37">
        <v>126</v>
      </c>
    </row>
    <row r="454" spans="1:14">
      <c r="A454" s="30">
        <v>453</v>
      </c>
      <c r="B454" s="31">
        <v>40563</v>
      </c>
      <c r="C454" s="30">
        <v>21</v>
      </c>
      <c r="D454" s="37" t="s">
        <v>30</v>
      </c>
      <c r="E454" s="37" t="b">
        <v>0</v>
      </c>
      <c r="F454" s="37" t="s">
        <v>23</v>
      </c>
      <c r="G454" s="37" t="s">
        <v>9</v>
      </c>
      <c r="H454" s="37">
        <v>0.23</v>
      </c>
      <c r="I454" s="30">
        <v>0.24</v>
      </c>
      <c r="J454" s="37">
        <v>0.6</v>
      </c>
      <c r="K454" s="37">
        <v>0.25</v>
      </c>
      <c r="L454" s="37">
        <v>3</v>
      </c>
      <c r="M454" s="37">
        <v>54</v>
      </c>
      <c r="N454" s="37">
        <v>57</v>
      </c>
    </row>
    <row r="455" spans="1:14">
      <c r="A455" s="30">
        <v>454</v>
      </c>
      <c r="B455" s="31">
        <v>40563</v>
      </c>
      <c r="C455" s="30">
        <v>22</v>
      </c>
      <c r="D455" s="37" t="s">
        <v>30</v>
      </c>
      <c r="E455" s="37" t="b">
        <v>0</v>
      </c>
      <c r="F455" s="37" t="s">
        <v>23</v>
      </c>
      <c r="G455" s="37" t="s">
        <v>9</v>
      </c>
      <c r="H455" s="37">
        <v>0.21</v>
      </c>
      <c r="I455" s="30">
        <v>0.24</v>
      </c>
      <c r="J455" s="37">
        <v>0.65</v>
      </c>
      <c r="K455" s="37">
        <v>0.28000000000000003</v>
      </c>
      <c r="L455" s="37">
        <v>0</v>
      </c>
      <c r="M455" s="37">
        <v>56</v>
      </c>
      <c r="N455" s="37">
        <v>56</v>
      </c>
    </row>
    <row r="456" spans="1:14">
      <c r="A456" s="30">
        <v>455</v>
      </c>
      <c r="B456" s="31">
        <v>40563</v>
      </c>
      <c r="C456" s="30">
        <v>23</v>
      </c>
      <c r="D456" s="37" t="s">
        <v>30</v>
      </c>
      <c r="E456" s="37" t="b">
        <v>0</v>
      </c>
      <c r="F456" s="37" t="s">
        <v>23</v>
      </c>
      <c r="G456" s="37" t="s">
        <v>9</v>
      </c>
      <c r="H456" s="37">
        <v>0.21</v>
      </c>
      <c r="I456" s="30">
        <v>0.24</v>
      </c>
      <c r="J456" s="37">
        <v>0.65</v>
      </c>
      <c r="K456" s="37">
        <v>0.33</v>
      </c>
      <c r="L456" s="37">
        <v>3</v>
      </c>
      <c r="M456" s="37">
        <v>28</v>
      </c>
      <c r="N456" s="37">
        <v>31</v>
      </c>
    </row>
    <row r="457" spans="1:14">
      <c r="A457" s="30">
        <v>456</v>
      </c>
      <c r="B457" s="31">
        <v>40564</v>
      </c>
      <c r="C457" s="30">
        <v>0</v>
      </c>
      <c r="D457" s="37" t="s">
        <v>27</v>
      </c>
      <c r="E457" s="37" t="b">
        <v>0</v>
      </c>
      <c r="F457" s="37" t="s">
        <v>24</v>
      </c>
      <c r="G457" s="37" t="s">
        <v>9</v>
      </c>
      <c r="H457" s="37">
        <v>0.23</v>
      </c>
      <c r="I457" s="30">
        <v>0.24</v>
      </c>
      <c r="J457" s="37">
        <v>0.7</v>
      </c>
      <c r="K457" s="37">
        <v>0.25</v>
      </c>
      <c r="L457" s="37">
        <v>1</v>
      </c>
      <c r="M457" s="37">
        <v>20</v>
      </c>
      <c r="N457" s="37">
        <v>21</v>
      </c>
    </row>
    <row r="458" spans="1:14">
      <c r="A458" s="30">
        <v>457</v>
      </c>
      <c r="B458" s="31">
        <v>40564</v>
      </c>
      <c r="C458" s="30">
        <v>1</v>
      </c>
      <c r="D458" s="37" t="s">
        <v>27</v>
      </c>
      <c r="E458" s="37" t="b">
        <v>0</v>
      </c>
      <c r="F458" s="37" t="s">
        <v>24</v>
      </c>
      <c r="G458" s="37" t="s">
        <v>9</v>
      </c>
      <c r="H458" s="37">
        <v>0.23</v>
      </c>
      <c r="I458" s="30">
        <v>0.24</v>
      </c>
      <c r="J458" s="37">
        <v>0.7</v>
      </c>
      <c r="K458" s="37">
        <v>0.25</v>
      </c>
      <c r="L458" s="37">
        <v>0</v>
      </c>
      <c r="M458" s="37">
        <v>6</v>
      </c>
      <c r="N458" s="37">
        <v>6</v>
      </c>
    </row>
    <row r="459" spans="1:14">
      <c r="A459" s="30">
        <v>458</v>
      </c>
      <c r="B459" s="31">
        <v>40564</v>
      </c>
      <c r="C459" s="30">
        <v>2</v>
      </c>
      <c r="D459" s="37" t="s">
        <v>27</v>
      </c>
      <c r="E459" s="37" t="b">
        <v>0</v>
      </c>
      <c r="F459" s="37" t="s">
        <v>24</v>
      </c>
      <c r="G459" s="37" t="s">
        <v>10</v>
      </c>
      <c r="H459" s="37">
        <v>0.24</v>
      </c>
      <c r="I459" s="30">
        <v>0.24</v>
      </c>
      <c r="J459" s="37">
        <v>0.75</v>
      </c>
      <c r="K459" s="37">
        <v>0.16</v>
      </c>
      <c r="L459" s="37">
        <v>0</v>
      </c>
      <c r="M459" s="37">
        <v>2</v>
      </c>
      <c r="N459" s="37">
        <v>2</v>
      </c>
    </row>
    <row r="460" spans="1:14">
      <c r="A460" s="30">
        <v>459</v>
      </c>
      <c r="B460" s="31">
        <v>40564</v>
      </c>
      <c r="C460" s="30">
        <v>3</v>
      </c>
      <c r="D460" s="37" t="s">
        <v>27</v>
      </c>
      <c r="E460" s="37" t="b">
        <v>0</v>
      </c>
      <c r="F460" s="37" t="s">
        <v>24</v>
      </c>
      <c r="G460" s="37" t="s">
        <v>10</v>
      </c>
      <c r="H460" s="37">
        <v>0.21</v>
      </c>
      <c r="I460" s="30">
        <v>0.22</v>
      </c>
      <c r="J460" s="37">
        <v>0.8</v>
      </c>
      <c r="K460" s="37">
        <v>0.3</v>
      </c>
      <c r="L460" s="37">
        <v>0</v>
      </c>
      <c r="M460" s="37">
        <v>1</v>
      </c>
      <c r="N460" s="37">
        <v>1</v>
      </c>
    </row>
    <row r="461" spans="1:14">
      <c r="A461" s="30">
        <v>460</v>
      </c>
      <c r="B461" s="31">
        <v>40564</v>
      </c>
      <c r="C461" s="30">
        <v>4</v>
      </c>
      <c r="D461" s="37" t="s">
        <v>27</v>
      </c>
      <c r="E461" s="37" t="b">
        <v>0</v>
      </c>
      <c r="F461" s="37" t="s">
        <v>24</v>
      </c>
      <c r="G461" s="37" t="s">
        <v>9</v>
      </c>
      <c r="H461" s="37">
        <v>0.26</v>
      </c>
      <c r="I461" s="30">
        <v>0.22</v>
      </c>
      <c r="J461" s="37">
        <v>0.87</v>
      </c>
      <c r="K461" s="37">
        <v>0.09</v>
      </c>
      <c r="L461" s="37">
        <v>0</v>
      </c>
      <c r="M461" s="37">
        <v>1</v>
      </c>
      <c r="N461" s="37">
        <v>1</v>
      </c>
    </row>
    <row r="462" spans="1:14">
      <c r="A462" s="30">
        <v>461</v>
      </c>
      <c r="B462" s="31">
        <v>40564</v>
      </c>
      <c r="C462" s="30">
        <v>5</v>
      </c>
      <c r="D462" s="37" t="s">
        <v>27</v>
      </c>
      <c r="E462" s="37" t="b">
        <v>0</v>
      </c>
      <c r="F462" s="37" t="s">
        <v>24</v>
      </c>
      <c r="G462" s="37" t="s">
        <v>8</v>
      </c>
      <c r="H462" s="37">
        <v>0.2</v>
      </c>
      <c r="I462" s="30">
        <v>0.24</v>
      </c>
      <c r="J462" s="37">
        <v>0.6</v>
      </c>
      <c r="K462" s="37">
        <v>0.42</v>
      </c>
      <c r="L462" s="37">
        <v>1</v>
      </c>
      <c r="M462" s="37">
        <v>4</v>
      </c>
      <c r="N462" s="37">
        <v>5</v>
      </c>
    </row>
    <row r="463" spans="1:14">
      <c r="A463" s="30">
        <v>462</v>
      </c>
      <c r="B463" s="31">
        <v>40564</v>
      </c>
      <c r="C463" s="30">
        <v>6</v>
      </c>
      <c r="D463" s="37" t="s">
        <v>28</v>
      </c>
      <c r="E463" s="37" t="b">
        <v>0</v>
      </c>
      <c r="F463" s="37" t="s">
        <v>24</v>
      </c>
      <c r="G463" s="37" t="s">
        <v>8</v>
      </c>
      <c r="H463" s="37">
        <v>0.21</v>
      </c>
      <c r="I463" s="30">
        <v>0.22</v>
      </c>
      <c r="J463" s="37">
        <v>0.55000000000000004</v>
      </c>
      <c r="K463" s="37">
        <v>0.25</v>
      </c>
      <c r="L463" s="37">
        <v>0</v>
      </c>
      <c r="M463" s="37">
        <v>27</v>
      </c>
      <c r="N463" s="37">
        <v>27</v>
      </c>
    </row>
    <row r="464" spans="1:14">
      <c r="A464" s="30">
        <v>463</v>
      </c>
      <c r="B464" s="31">
        <v>40564</v>
      </c>
      <c r="C464" s="30">
        <v>7</v>
      </c>
      <c r="D464" s="37" t="s">
        <v>28</v>
      </c>
      <c r="E464" s="37" t="b">
        <v>0</v>
      </c>
      <c r="F464" s="37" t="s">
        <v>24</v>
      </c>
      <c r="G464" s="37" t="s">
        <v>8</v>
      </c>
      <c r="H464" s="37">
        <v>0.18</v>
      </c>
      <c r="I464" s="30">
        <v>0.2</v>
      </c>
      <c r="J464" s="37">
        <v>0.51</v>
      </c>
      <c r="K464" s="37">
        <v>0.28000000000000003</v>
      </c>
      <c r="L464" s="37">
        <v>2</v>
      </c>
      <c r="M464" s="37">
        <v>66</v>
      </c>
      <c r="N464" s="37">
        <v>68</v>
      </c>
    </row>
    <row r="465" spans="1:14">
      <c r="A465" s="30">
        <v>464</v>
      </c>
      <c r="B465" s="31">
        <v>40564</v>
      </c>
      <c r="C465" s="30">
        <v>8</v>
      </c>
      <c r="D465" s="37" t="s">
        <v>28</v>
      </c>
      <c r="E465" s="37" t="b">
        <v>0</v>
      </c>
      <c r="F465" s="37" t="s">
        <v>24</v>
      </c>
      <c r="G465" s="37" t="s">
        <v>8</v>
      </c>
      <c r="H465" s="37">
        <v>0.18</v>
      </c>
      <c r="I465" s="30">
        <v>0.2</v>
      </c>
      <c r="J465" s="37">
        <v>0.47</v>
      </c>
      <c r="K465" s="37">
        <v>0.33</v>
      </c>
      <c r="L465" s="37">
        <v>7</v>
      </c>
      <c r="M465" s="37">
        <v>210</v>
      </c>
      <c r="N465" s="37">
        <v>217</v>
      </c>
    </row>
    <row r="466" spans="1:14">
      <c r="A466" s="30">
        <v>465</v>
      </c>
      <c r="B466" s="31">
        <v>40564</v>
      </c>
      <c r="C466" s="30">
        <v>9</v>
      </c>
      <c r="D466" s="37" t="s">
        <v>28</v>
      </c>
      <c r="E466" s="37" t="b">
        <v>0</v>
      </c>
      <c r="F466" s="37" t="s">
        <v>24</v>
      </c>
      <c r="G466" s="37" t="s">
        <v>8</v>
      </c>
      <c r="H466" s="37">
        <v>0.18</v>
      </c>
      <c r="I466" s="30">
        <v>0.2</v>
      </c>
      <c r="J466" s="37">
        <v>0.51</v>
      </c>
      <c r="K466" s="37">
        <v>0.36</v>
      </c>
      <c r="L466" s="37">
        <v>7</v>
      </c>
      <c r="M466" s="37">
        <v>159</v>
      </c>
      <c r="N466" s="37">
        <v>166</v>
      </c>
    </row>
    <row r="467" spans="1:14">
      <c r="A467" s="30">
        <v>466</v>
      </c>
      <c r="B467" s="31">
        <v>40564</v>
      </c>
      <c r="C467" s="30">
        <v>10</v>
      </c>
      <c r="D467" s="37" t="s">
        <v>28</v>
      </c>
      <c r="E467" s="37" t="b">
        <v>0</v>
      </c>
      <c r="F467" s="37" t="s">
        <v>24</v>
      </c>
      <c r="G467" s="37" t="s">
        <v>8</v>
      </c>
      <c r="H467" s="37">
        <v>0.17</v>
      </c>
      <c r="I467" s="30">
        <v>0.2</v>
      </c>
      <c r="J467" s="37">
        <v>0.47</v>
      </c>
      <c r="K467" s="37">
        <v>0.46</v>
      </c>
      <c r="L467" s="37">
        <v>6</v>
      </c>
      <c r="M467" s="37">
        <v>57</v>
      </c>
      <c r="N467" s="37">
        <v>63</v>
      </c>
    </row>
    <row r="468" spans="1:14">
      <c r="A468" s="30">
        <v>467</v>
      </c>
      <c r="B468" s="31">
        <v>40564</v>
      </c>
      <c r="C468" s="30">
        <v>11</v>
      </c>
      <c r="D468" s="37" t="s">
        <v>28</v>
      </c>
      <c r="E468" s="37" t="b">
        <v>0</v>
      </c>
      <c r="F468" s="37" t="s">
        <v>24</v>
      </c>
      <c r="G468" s="37" t="s">
        <v>8</v>
      </c>
      <c r="H468" s="37">
        <v>0.18</v>
      </c>
      <c r="I468" s="30">
        <v>0.22</v>
      </c>
      <c r="J468" s="37">
        <v>0.41</v>
      </c>
      <c r="K468" s="37">
        <v>0.46</v>
      </c>
      <c r="L468" s="37">
        <v>6</v>
      </c>
      <c r="M468" s="37">
        <v>53</v>
      </c>
      <c r="N468" s="37">
        <v>59</v>
      </c>
    </row>
    <row r="469" spans="1:14">
      <c r="A469" s="30">
        <v>468</v>
      </c>
      <c r="B469" s="31">
        <v>40564</v>
      </c>
      <c r="C469" s="30">
        <v>12</v>
      </c>
      <c r="D469" s="37" t="s">
        <v>29</v>
      </c>
      <c r="E469" s="37" t="b">
        <v>0</v>
      </c>
      <c r="F469" s="37" t="s">
        <v>24</v>
      </c>
      <c r="G469" s="37" t="s">
        <v>8</v>
      </c>
      <c r="H469" s="37">
        <v>0.18</v>
      </c>
      <c r="I469" s="30">
        <v>0.22</v>
      </c>
      <c r="J469" s="37">
        <v>0.27</v>
      </c>
      <c r="K469" s="37">
        <v>0.57999999999999996</v>
      </c>
      <c r="L469" s="37">
        <v>11</v>
      </c>
      <c r="M469" s="37">
        <v>67</v>
      </c>
      <c r="N469" s="37">
        <v>78</v>
      </c>
    </row>
    <row r="470" spans="1:14">
      <c r="A470" s="30">
        <v>469</v>
      </c>
      <c r="B470" s="31">
        <v>40564</v>
      </c>
      <c r="C470" s="30">
        <v>13</v>
      </c>
      <c r="D470" s="37" t="s">
        <v>29</v>
      </c>
      <c r="E470" s="37" t="b">
        <v>0</v>
      </c>
      <c r="F470" s="37" t="s">
        <v>24</v>
      </c>
      <c r="G470" s="37" t="s">
        <v>8</v>
      </c>
      <c r="H470" s="37">
        <v>0.15</v>
      </c>
      <c r="I470" s="30">
        <v>0.2</v>
      </c>
      <c r="J470" s="37">
        <v>0.21</v>
      </c>
      <c r="K470" s="37">
        <v>0.57999999999999996</v>
      </c>
      <c r="L470" s="37">
        <v>8</v>
      </c>
      <c r="M470" s="37">
        <v>65</v>
      </c>
      <c r="N470" s="37">
        <v>73</v>
      </c>
    </row>
    <row r="471" spans="1:14">
      <c r="A471" s="30">
        <v>470</v>
      </c>
      <c r="B471" s="31">
        <v>40564</v>
      </c>
      <c r="C471" s="30">
        <v>14</v>
      </c>
      <c r="D471" s="37" t="s">
        <v>29</v>
      </c>
      <c r="E471" s="37" t="b">
        <v>0</v>
      </c>
      <c r="F471" s="37" t="s">
        <v>24</v>
      </c>
      <c r="G471" s="37" t="s">
        <v>8</v>
      </c>
      <c r="H471" s="37">
        <v>0.15</v>
      </c>
      <c r="I471" s="30">
        <v>0.2</v>
      </c>
      <c r="J471" s="37">
        <v>0.25</v>
      </c>
      <c r="K471" s="37">
        <v>0.52</v>
      </c>
      <c r="L471" s="37">
        <v>6</v>
      </c>
      <c r="M471" s="37">
        <v>56</v>
      </c>
      <c r="N471" s="37">
        <v>62</v>
      </c>
    </row>
    <row r="472" spans="1:14">
      <c r="A472" s="30">
        <v>471</v>
      </c>
      <c r="B472" s="31">
        <v>40564</v>
      </c>
      <c r="C472" s="30">
        <v>15</v>
      </c>
      <c r="D472" s="37" t="s">
        <v>29</v>
      </c>
      <c r="E472" s="37" t="b">
        <v>0</v>
      </c>
      <c r="F472" s="37" t="s">
        <v>24</v>
      </c>
      <c r="G472" s="37" t="s">
        <v>8</v>
      </c>
      <c r="H472" s="37">
        <v>0.12</v>
      </c>
      <c r="I472" s="30">
        <v>0.16</v>
      </c>
      <c r="J472" s="37">
        <v>0.26</v>
      </c>
      <c r="K472" s="37">
        <v>0.45</v>
      </c>
      <c r="L472" s="37">
        <v>4</v>
      </c>
      <c r="M472" s="37">
        <v>61</v>
      </c>
      <c r="N472" s="37">
        <v>65</v>
      </c>
    </row>
    <row r="473" spans="1:14">
      <c r="A473" s="30">
        <v>472</v>
      </c>
      <c r="B473" s="31">
        <v>40564</v>
      </c>
      <c r="C473" s="30">
        <v>16</v>
      </c>
      <c r="D473" s="37" t="s">
        <v>29</v>
      </c>
      <c r="E473" s="37" t="b">
        <v>0</v>
      </c>
      <c r="F473" s="37" t="s">
        <v>24</v>
      </c>
      <c r="G473" s="37" t="s">
        <v>8</v>
      </c>
      <c r="H473" s="37">
        <v>0.14000000000000001</v>
      </c>
      <c r="I473" s="30">
        <v>0.16</v>
      </c>
      <c r="J473" s="37">
        <v>0.26</v>
      </c>
      <c r="K473" s="37">
        <v>0.36</v>
      </c>
      <c r="L473" s="37">
        <v>0</v>
      </c>
      <c r="M473" s="37">
        <v>97</v>
      </c>
      <c r="N473" s="37">
        <v>97</v>
      </c>
    </row>
    <row r="474" spans="1:14">
      <c r="A474" s="30">
        <v>473</v>
      </c>
      <c r="B474" s="31">
        <v>40564</v>
      </c>
      <c r="C474" s="30">
        <v>17</v>
      </c>
      <c r="D474" s="37" t="s">
        <v>29</v>
      </c>
      <c r="E474" s="37" t="b">
        <v>0</v>
      </c>
      <c r="F474" s="37" t="s">
        <v>24</v>
      </c>
      <c r="G474" s="37" t="s">
        <v>8</v>
      </c>
      <c r="H474" s="37">
        <v>0.12</v>
      </c>
      <c r="I474" s="30">
        <v>0.14000000000000001</v>
      </c>
      <c r="J474" s="37">
        <v>0.28000000000000003</v>
      </c>
      <c r="K474" s="37">
        <v>0.36</v>
      </c>
      <c r="L474" s="37">
        <v>10</v>
      </c>
      <c r="M474" s="37">
        <v>151</v>
      </c>
      <c r="N474" s="37">
        <v>161</v>
      </c>
    </row>
    <row r="475" spans="1:14">
      <c r="A475" s="30">
        <v>474</v>
      </c>
      <c r="B475" s="31">
        <v>40564</v>
      </c>
      <c r="C475" s="30">
        <v>18</v>
      </c>
      <c r="D475" s="37" t="s">
        <v>30</v>
      </c>
      <c r="E475" s="37" t="b">
        <v>0</v>
      </c>
      <c r="F475" s="37" t="s">
        <v>24</v>
      </c>
      <c r="G475" s="37" t="s">
        <v>8</v>
      </c>
      <c r="H475" s="37">
        <v>0.12</v>
      </c>
      <c r="I475" s="30">
        <v>0.12</v>
      </c>
      <c r="J475" s="37">
        <v>0.3</v>
      </c>
      <c r="K475" s="37">
        <v>0.25</v>
      </c>
      <c r="L475" s="37">
        <v>1</v>
      </c>
      <c r="M475" s="37">
        <v>119</v>
      </c>
      <c r="N475" s="37">
        <v>120</v>
      </c>
    </row>
    <row r="476" spans="1:14">
      <c r="A476" s="30">
        <v>475</v>
      </c>
      <c r="B476" s="31">
        <v>40564</v>
      </c>
      <c r="C476" s="30">
        <v>19</v>
      </c>
      <c r="D476" s="37" t="s">
        <v>30</v>
      </c>
      <c r="E476" s="37" t="b">
        <v>0</v>
      </c>
      <c r="F476" s="37" t="s">
        <v>24</v>
      </c>
      <c r="G476" s="37" t="s">
        <v>8</v>
      </c>
      <c r="H476" s="37">
        <v>0.11</v>
      </c>
      <c r="I476" s="30">
        <v>0.12</v>
      </c>
      <c r="J476" s="37">
        <v>0.3</v>
      </c>
      <c r="K476" s="37">
        <v>0.33</v>
      </c>
      <c r="L476" s="37">
        <v>3</v>
      </c>
      <c r="M476" s="37">
        <v>93</v>
      </c>
      <c r="N476" s="37">
        <v>96</v>
      </c>
    </row>
    <row r="477" spans="1:14">
      <c r="A477" s="30">
        <v>476</v>
      </c>
      <c r="B477" s="31">
        <v>40564</v>
      </c>
      <c r="C477" s="30">
        <v>20</v>
      </c>
      <c r="D477" s="37" t="s">
        <v>30</v>
      </c>
      <c r="E477" s="37" t="b">
        <v>0</v>
      </c>
      <c r="F477" s="37" t="s">
        <v>24</v>
      </c>
      <c r="G477" s="37" t="s">
        <v>8</v>
      </c>
      <c r="H477" s="37">
        <v>0.08</v>
      </c>
      <c r="I477" s="30">
        <v>0.1</v>
      </c>
      <c r="J477" s="37">
        <v>0.33</v>
      </c>
      <c r="K477" s="37">
        <v>0.42</v>
      </c>
      <c r="L477" s="37">
        <v>1</v>
      </c>
      <c r="M477" s="37">
        <v>52</v>
      </c>
      <c r="N477" s="37">
        <v>53</v>
      </c>
    </row>
    <row r="478" spans="1:14">
      <c r="A478" s="30">
        <v>477</v>
      </c>
      <c r="B478" s="31">
        <v>40564</v>
      </c>
      <c r="C478" s="30">
        <v>21</v>
      </c>
      <c r="D478" s="37" t="s">
        <v>30</v>
      </c>
      <c r="E478" s="37" t="b">
        <v>0</v>
      </c>
      <c r="F478" s="37" t="s">
        <v>24</v>
      </c>
      <c r="G478" s="37" t="s">
        <v>8</v>
      </c>
      <c r="H478" s="37">
        <v>0.08</v>
      </c>
      <c r="I478" s="30">
        <v>0.08</v>
      </c>
      <c r="J478" s="37">
        <v>0.38</v>
      </c>
      <c r="K478" s="37">
        <v>0.28000000000000003</v>
      </c>
      <c r="L478" s="37">
        <v>0</v>
      </c>
      <c r="M478" s="37">
        <v>41</v>
      </c>
      <c r="N478" s="37">
        <v>41</v>
      </c>
    </row>
    <row r="479" spans="1:14">
      <c r="A479" s="30">
        <v>478</v>
      </c>
      <c r="B479" s="31">
        <v>40564</v>
      </c>
      <c r="C479" s="30">
        <v>22</v>
      </c>
      <c r="D479" s="37" t="s">
        <v>30</v>
      </c>
      <c r="E479" s="37" t="b">
        <v>0</v>
      </c>
      <c r="F479" s="37" t="s">
        <v>24</v>
      </c>
      <c r="G479" s="37" t="s">
        <v>8</v>
      </c>
      <c r="H479" s="37">
        <v>0.03</v>
      </c>
      <c r="I479" s="30">
        <v>0.06</v>
      </c>
      <c r="J479" s="37">
        <v>0.41</v>
      </c>
      <c r="K479" s="37">
        <v>0.39</v>
      </c>
      <c r="L479" s="37">
        <v>1</v>
      </c>
      <c r="M479" s="37">
        <v>33</v>
      </c>
      <c r="N479" s="37">
        <v>34</v>
      </c>
    </row>
    <row r="480" spans="1:14">
      <c r="A480" s="30">
        <v>479</v>
      </c>
      <c r="B480" s="31">
        <v>40564</v>
      </c>
      <c r="C480" s="30">
        <v>23</v>
      </c>
      <c r="D480" s="37" t="s">
        <v>30</v>
      </c>
      <c r="E480" s="37" t="b">
        <v>0</v>
      </c>
      <c r="F480" s="37" t="s">
        <v>24</v>
      </c>
      <c r="G480" s="37" t="s">
        <v>8</v>
      </c>
      <c r="H480" s="37">
        <v>0.05</v>
      </c>
      <c r="I480" s="30">
        <v>0.06</v>
      </c>
      <c r="J480" s="37">
        <v>0.38</v>
      </c>
      <c r="K480" s="37">
        <v>0.33</v>
      </c>
      <c r="L480" s="37">
        <v>0</v>
      </c>
      <c r="M480" s="37">
        <v>27</v>
      </c>
      <c r="N480" s="37">
        <v>27</v>
      </c>
    </row>
    <row r="481" spans="1:14">
      <c r="A481" s="30">
        <v>480</v>
      </c>
      <c r="B481" s="31">
        <v>40565</v>
      </c>
      <c r="C481" s="30">
        <v>0</v>
      </c>
      <c r="D481" s="37" t="s">
        <v>27</v>
      </c>
      <c r="E481" s="37" t="b">
        <v>0</v>
      </c>
      <c r="F481" s="37" t="s">
        <v>25</v>
      </c>
      <c r="G481" s="37" t="s">
        <v>8</v>
      </c>
      <c r="H481" s="37">
        <v>0.03</v>
      </c>
      <c r="I481" s="30">
        <v>0.04</v>
      </c>
      <c r="J481" s="37">
        <v>0.45</v>
      </c>
      <c r="K481" s="37">
        <v>0.25</v>
      </c>
      <c r="L481" s="37">
        <v>0</v>
      </c>
      <c r="M481" s="37">
        <v>13</v>
      </c>
      <c r="N481" s="37">
        <v>13</v>
      </c>
    </row>
    <row r="482" spans="1:14">
      <c r="A482" s="30">
        <v>481</v>
      </c>
      <c r="B482" s="31">
        <v>40565</v>
      </c>
      <c r="C482" s="30">
        <v>1</v>
      </c>
      <c r="D482" s="37" t="s">
        <v>27</v>
      </c>
      <c r="E482" s="37" t="b">
        <v>0</v>
      </c>
      <c r="F482" s="37" t="s">
        <v>25</v>
      </c>
      <c r="G482" s="37" t="s">
        <v>9</v>
      </c>
      <c r="H482" s="37">
        <v>0</v>
      </c>
      <c r="I482" s="30">
        <v>0.04</v>
      </c>
      <c r="J482" s="37">
        <v>0.41</v>
      </c>
      <c r="K482" s="37">
        <v>0.39</v>
      </c>
      <c r="L482" s="37">
        <v>3</v>
      </c>
      <c r="M482" s="37">
        <v>9</v>
      </c>
      <c r="N482" s="37">
        <v>12</v>
      </c>
    </row>
    <row r="483" spans="1:14">
      <c r="A483" s="30">
        <v>482</v>
      </c>
      <c r="B483" s="31">
        <v>40565</v>
      </c>
      <c r="C483" s="30">
        <v>2</v>
      </c>
      <c r="D483" s="37" t="s">
        <v>27</v>
      </c>
      <c r="E483" s="37" t="b">
        <v>0</v>
      </c>
      <c r="F483" s="37" t="s">
        <v>25</v>
      </c>
      <c r="G483" s="37" t="s">
        <v>9</v>
      </c>
      <c r="H483" s="37">
        <v>0.03</v>
      </c>
      <c r="I483" s="30">
        <v>0.04</v>
      </c>
      <c r="J483" s="37">
        <v>0.41</v>
      </c>
      <c r="K483" s="37">
        <v>0.25</v>
      </c>
      <c r="L483" s="37">
        <v>0</v>
      </c>
      <c r="M483" s="37">
        <v>11</v>
      </c>
      <c r="N483" s="37">
        <v>11</v>
      </c>
    </row>
    <row r="484" spans="1:14">
      <c r="A484" s="30">
        <v>483</v>
      </c>
      <c r="B484" s="31">
        <v>40565</v>
      </c>
      <c r="C484" s="30">
        <v>3</v>
      </c>
      <c r="D484" s="37" t="s">
        <v>27</v>
      </c>
      <c r="E484" s="37" t="b">
        <v>0</v>
      </c>
      <c r="F484" s="37" t="s">
        <v>25</v>
      </c>
      <c r="G484" s="37" t="s">
        <v>9</v>
      </c>
      <c r="H484" s="37">
        <v>0.03</v>
      </c>
      <c r="I484" s="30">
        <v>0.04</v>
      </c>
      <c r="J484" s="37">
        <v>0.41</v>
      </c>
      <c r="K484" s="37">
        <v>0.28000000000000003</v>
      </c>
      <c r="L484" s="37">
        <v>1</v>
      </c>
      <c r="M484" s="37">
        <v>6</v>
      </c>
      <c r="N484" s="37">
        <v>7</v>
      </c>
    </row>
    <row r="485" spans="1:14">
      <c r="A485" s="30">
        <v>484</v>
      </c>
      <c r="B485" s="31">
        <v>40565</v>
      </c>
      <c r="C485" s="30">
        <v>4</v>
      </c>
      <c r="D485" s="37" t="s">
        <v>27</v>
      </c>
      <c r="E485" s="37" t="b">
        <v>0</v>
      </c>
      <c r="F485" s="37" t="s">
        <v>25</v>
      </c>
      <c r="G485" s="37" t="s">
        <v>9</v>
      </c>
      <c r="H485" s="37">
        <v>0.02</v>
      </c>
      <c r="I485" s="30">
        <v>0.02</v>
      </c>
      <c r="J485" s="37">
        <v>0.48</v>
      </c>
      <c r="K485" s="37">
        <v>0.3</v>
      </c>
      <c r="L485" s="37">
        <v>0</v>
      </c>
      <c r="M485" s="37">
        <v>3</v>
      </c>
      <c r="N485" s="37">
        <v>3</v>
      </c>
    </row>
    <row r="486" spans="1:14">
      <c r="A486" s="30">
        <v>485</v>
      </c>
      <c r="B486" s="31">
        <v>40565</v>
      </c>
      <c r="C486" s="30">
        <v>6</v>
      </c>
      <c r="D486" s="37" t="s">
        <v>28</v>
      </c>
      <c r="E486" s="37" t="b">
        <v>0</v>
      </c>
      <c r="F486" s="37" t="s">
        <v>25</v>
      </c>
      <c r="G486" s="37" t="s">
        <v>9</v>
      </c>
      <c r="H486" s="37">
        <v>0.03</v>
      </c>
      <c r="I486" s="30">
        <v>0.02</v>
      </c>
      <c r="J486" s="37">
        <v>0.44</v>
      </c>
      <c r="K486" s="37">
        <v>0.22</v>
      </c>
      <c r="L486" s="37">
        <v>0</v>
      </c>
      <c r="M486" s="37">
        <v>2</v>
      </c>
      <c r="N486" s="37">
        <v>2</v>
      </c>
    </row>
    <row r="487" spans="1:14">
      <c r="A487" s="30">
        <v>486</v>
      </c>
      <c r="B487" s="31">
        <v>40565</v>
      </c>
      <c r="C487" s="30">
        <v>7</v>
      </c>
      <c r="D487" s="37" t="s">
        <v>28</v>
      </c>
      <c r="E487" s="37" t="b">
        <v>0</v>
      </c>
      <c r="F487" s="37" t="s">
        <v>25</v>
      </c>
      <c r="G487" s="37" t="s">
        <v>8</v>
      </c>
      <c r="H487" s="37">
        <v>0.02</v>
      </c>
      <c r="I487" s="30">
        <v>0.02</v>
      </c>
      <c r="J487" s="37">
        <v>0.44</v>
      </c>
      <c r="K487" s="37">
        <v>0.28000000000000003</v>
      </c>
      <c r="L487" s="37">
        <v>0</v>
      </c>
      <c r="M487" s="37">
        <v>8</v>
      </c>
      <c r="N487" s="37">
        <v>8</v>
      </c>
    </row>
    <row r="488" spans="1:14">
      <c r="A488" s="30">
        <v>487</v>
      </c>
      <c r="B488" s="31">
        <v>40565</v>
      </c>
      <c r="C488" s="30">
        <v>8</v>
      </c>
      <c r="D488" s="37" t="s">
        <v>28</v>
      </c>
      <c r="E488" s="37" t="b">
        <v>0</v>
      </c>
      <c r="F488" s="37" t="s">
        <v>25</v>
      </c>
      <c r="G488" s="37" t="s">
        <v>8</v>
      </c>
      <c r="H488" s="37">
        <v>0</v>
      </c>
      <c r="I488" s="30">
        <v>0.02</v>
      </c>
      <c r="J488" s="37">
        <v>0.44</v>
      </c>
      <c r="K488" s="37">
        <v>0.33</v>
      </c>
      <c r="L488" s="37">
        <v>1</v>
      </c>
      <c r="M488" s="37">
        <v>26</v>
      </c>
      <c r="N488" s="37">
        <v>27</v>
      </c>
    </row>
    <row r="489" spans="1:14">
      <c r="A489" s="30">
        <v>488</v>
      </c>
      <c r="B489" s="31">
        <v>40565</v>
      </c>
      <c r="C489" s="30">
        <v>9</v>
      </c>
      <c r="D489" s="37" t="s">
        <v>28</v>
      </c>
      <c r="E489" s="37" t="b">
        <v>0</v>
      </c>
      <c r="F489" s="37" t="s">
        <v>25</v>
      </c>
      <c r="G489" s="37" t="s">
        <v>8</v>
      </c>
      <c r="H489" s="37">
        <v>0.03</v>
      </c>
      <c r="I489" s="30">
        <v>0.04</v>
      </c>
      <c r="J489" s="37">
        <v>0.41</v>
      </c>
      <c r="K489" s="37">
        <v>0.25</v>
      </c>
      <c r="L489" s="37">
        <v>3</v>
      </c>
      <c r="M489" s="37">
        <v>37</v>
      </c>
      <c r="N489" s="37">
        <v>40</v>
      </c>
    </row>
    <row r="490" spans="1:14">
      <c r="A490" s="30">
        <v>489</v>
      </c>
      <c r="B490" s="31">
        <v>40565</v>
      </c>
      <c r="C490" s="30">
        <v>10</v>
      </c>
      <c r="D490" s="37" t="s">
        <v>28</v>
      </c>
      <c r="E490" s="37" t="b">
        <v>0</v>
      </c>
      <c r="F490" s="37" t="s">
        <v>25</v>
      </c>
      <c r="G490" s="37" t="s">
        <v>9</v>
      </c>
      <c r="H490" s="37">
        <v>0.06</v>
      </c>
      <c r="I490" s="30">
        <v>0.04</v>
      </c>
      <c r="J490" s="37">
        <v>0.41</v>
      </c>
      <c r="K490" s="37">
        <v>0.16</v>
      </c>
      <c r="L490" s="37">
        <v>3</v>
      </c>
      <c r="M490" s="37">
        <v>50</v>
      </c>
      <c r="N490" s="37">
        <v>53</v>
      </c>
    </row>
    <row r="491" spans="1:14">
      <c r="A491" s="30">
        <v>490</v>
      </c>
      <c r="B491" s="31">
        <v>40565</v>
      </c>
      <c r="C491" s="30">
        <v>11</v>
      </c>
      <c r="D491" s="37" t="s">
        <v>28</v>
      </c>
      <c r="E491" s="37" t="b">
        <v>0</v>
      </c>
      <c r="F491" s="37" t="s">
        <v>25</v>
      </c>
      <c r="G491" s="37" t="s">
        <v>9</v>
      </c>
      <c r="H491" s="37">
        <v>0.08</v>
      </c>
      <c r="I491" s="30">
        <v>0.06</v>
      </c>
      <c r="J491" s="37">
        <v>0.38</v>
      </c>
      <c r="K491" s="37">
        <v>0.13</v>
      </c>
      <c r="L491" s="37">
        <v>4</v>
      </c>
      <c r="M491" s="37">
        <v>59</v>
      </c>
      <c r="N491" s="37">
        <v>63</v>
      </c>
    </row>
    <row r="492" spans="1:14">
      <c r="A492" s="30">
        <v>491</v>
      </c>
      <c r="B492" s="31">
        <v>40565</v>
      </c>
      <c r="C492" s="30">
        <v>12</v>
      </c>
      <c r="D492" s="37" t="s">
        <v>29</v>
      </c>
      <c r="E492" s="37" t="b">
        <v>0</v>
      </c>
      <c r="F492" s="37" t="s">
        <v>25</v>
      </c>
      <c r="G492" s="37" t="s">
        <v>9</v>
      </c>
      <c r="H492" s="37">
        <v>0.11</v>
      </c>
      <c r="I492" s="30">
        <v>0.06</v>
      </c>
      <c r="J492" s="37">
        <v>0.38</v>
      </c>
      <c r="K492" s="37">
        <v>0.1</v>
      </c>
      <c r="L492" s="37">
        <v>10</v>
      </c>
      <c r="M492" s="37">
        <v>60</v>
      </c>
      <c r="N492" s="37">
        <v>70</v>
      </c>
    </row>
    <row r="493" spans="1:14">
      <c r="A493" s="30">
        <v>492</v>
      </c>
      <c r="B493" s="31">
        <v>40565</v>
      </c>
      <c r="C493" s="30">
        <v>13</v>
      </c>
      <c r="D493" s="37" t="s">
        <v>29</v>
      </c>
      <c r="E493" s="37" t="b">
        <v>0</v>
      </c>
      <c r="F493" s="37" t="s">
        <v>25</v>
      </c>
      <c r="G493" s="37" t="s">
        <v>8</v>
      </c>
      <c r="H493" s="37">
        <v>0.17</v>
      </c>
      <c r="I493" s="30">
        <v>0.08</v>
      </c>
      <c r="J493" s="37">
        <v>0.35</v>
      </c>
      <c r="K493" s="37">
        <v>0</v>
      </c>
      <c r="L493" s="37">
        <v>12</v>
      </c>
      <c r="M493" s="37">
        <v>72</v>
      </c>
      <c r="N493" s="37">
        <v>84</v>
      </c>
    </row>
    <row r="494" spans="1:14">
      <c r="A494" s="30">
        <v>493</v>
      </c>
      <c r="B494" s="31">
        <v>40565</v>
      </c>
      <c r="C494" s="30">
        <v>14</v>
      </c>
      <c r="D494" s="37" t="s">
        <v>29</v>
      </c>
      <c r="E494" s="37" t="b">
        <v>0</v>
      </c>
      <c r="F494" s="37" t="s">
        <v>25</v>
      </c>
      <c r="G494" s="37" t="s">
        <v>8</v>
      </c>
      <c r="H494" s="37">
        <v>0.14000000000000001</v>
      </c>
      <c r="I494" s="30">
        <v>0.1</v>
      </c>
      <c r="J494" s="37">
        <v>0.33</v>
      </c>
      <c r="K494" s="37">
        <v>0.1</v>
      </c>
      <c r="L494" s="37">
        <v>11</v>
      </c>
      <c r="M494" s="37">
        <v>64</v>
      </c>
      <c r="N494" s="37">
        <v>75</v>
      </c>
    </row>
    <row r="495" spans="1:14">
      <c r="A495" s="30">
        <v>494</v>
      </c>
      <c r="B495" s="31">
        <v>40565</v>
      </c>
      <c r="C495" s="30">
        <v>15</v>
      </c>
      <c r="D495" s="37" t="s">
        <v>29</v>
      </c>
      <c r="E495" s="37" t="b">
        <v>0</v>
      </c>
      <c r="F495" s="37" t="s">
        <v>25</v>
      </c>
      <c r="G495" s="37" t="s">
        <v>8</v>
      </c>
      <c r="H495" s="37">
        <v>0.15</v>
      </c>
      <c r="I495" s="30">
        <v>0.12</v>
      </c>
      <c r="J495" s="37">
        <v>0.28000000000000003</v>
      </c>
      <c r="K495" s="37">
        <v>0</v>
      </c>
      <c r="L495" s="37">
        <v>10</v>
      </c>
      <c r="M495" s="37">
        <v>93</v>
      </c>
      <c r="N495" s="37">
        <v>103</v>
      </c>
    </row>
    <row r="496" spans="1:14">
      <c r="A496" s="30">
        <v>495</v>
      </c>
      <c r="B496" s="31">
        <v>40565</v>
      </c>
      <c r="C496" s="30">
        <v>16</v>
      </c>
      <c r="D496" s="37" t="s">
        <v>29</v>
      </c>
      <c r="E496" s="37" t="b">
        <v>0</v>
      </c>
      <c r="F496" s="37" t="s">
        <v>25</v>
      </c>
      <c r="G496" s="37" t="s">
        <v>8</v>
      </c>
      <c r="H496" s="37">
        <v>0.14000000000000001</v>
      </c>
      <c r="I496" s="30">
        <v>0.12</v>
      </c>
      <c r="J496" s="37">
        <v>0.28000000000000003</v>
      </c>
      <c r="K496" s="37">
        <v>0.19</v>
      </c>
      <c r="L496" s="37">
        <v>11</v>
      </c>
      <c r="M496" s="37">
        <v>72</v>
      </c>
      <c r="N496" s="37">
        <v>83</v>
      </c>
    </row>
    <row r="497" spans="1:14">
      <c r="A497" s="30">
        <v>496</v>
      </c>
      <c r="B497" s="31">
        <v>40565</v>
      </c>
      <c r="C497" s="30">
        <v>17</v>
      </c>
      <c r="D497" s="37" t="s">
        <v>29</v>
      </c>
      <c r="E497" s="37" t="b">
        <v>0</v>
      </c>
      <c r="F497" s="37" t="s">
        <v>25</v>
      </c>
      <c r="G497" s="37" t="s">
        <v>8</v>
      </c>
      <c r="H497" s="37">
        <v>0.2</v>
      </c>
      <c r="I497" s="30">
        <v>0.12</v>
      </c>
      <c r="J497" s="37">
        <v>0.28000000000000003</v>
      </c>
      <c r="K497" s="37">
        <v>0</v>
      </c>
      <c r="L497" s="37">
        <v>8</v>
      </c>
      <c r="M497" s="37">
        <v>59</v>
      </c>
      <c r="N497" s="37">
        <v>67</v>
      </c>
    </row>
    <row r="498" spans="1:14">
      <c r="A498" s="30">
        <v>497</v>
      </c>
      <c r="B498" s="31">
        <v>40565</v>
      </c>
      <c r="C498" s="30">
        <v>18</v>
      </c>
      <c r="D498" s="37" t="s">
        <v>30</v>
      </c>
      <c r="E498" s="37" t="b">
        <v>0</v>
      </c>
      <c r="F498" s="37" t="s">
        <v>25</v>
      </c>
      <c r="G498" s="37" t="s">
        <v>8</v>
      </c>
      <c r="H498" s="37">
        <v>0.09</v>
      </c>
      <c r="I498" s="30">
        <v>0.08</v>
      </c>
      <c r="J498" s="37">
        <v>0.35</v>
      </c>
      <c r="K498" s="37">
        <v>0.19</v>
      </c>
      <c r="L498" s="37">
        <v>0</v>
      </c>
      <c r="M498" s="37">
        <v>54</v>
      </c>
      <c r="N498" s="37">
        <v>54</v>
      </c>
    </row>
    <row r="499" spans="1:14">
      <c r="A499" s="30">
        <v>498</v>
      </c>
      <c r="B499" s="31">
        <v>40565</v>
      </c>
      <c r="C499" s="30">
        <v>19</v>
      </c>
      <c r="D499" s="37" t="s">
        <v>30</v>
      </c>
      <c r="E499" s="37" t="b">
        <v>0</v>
      </c>
      <c r="F499" s="37" t="s">
        <v>25</v>
      </c>
      <c r="G499" s="37" t="s">
        <v>8</v>
      </c>
      <c r="H499" s="37">
        <v>0.11</v>
      </c>
      <c r="I499" s="30">
        <v>0.08</v>
      </c>
      <c r="J499" s="37">
        <v>0.35</v>
      </c>
      <c r="K499" s="37">
        <v>0.13</v>
      </c>
      <c r="L499" s="37">
        <v>6</v>
      </c>
      <c r="M499" s="37">
        <v>53</v>
      </c>
      <c r="N499" s="37">
        <v>59</v>
      </c>
    </row>
    <row r="500" spans="1:14">
      <c r="A500" s="30">
        <v>499</v>
      </c>
      <c r="B500" s="31">
        <v>40565</v>
      </c>
      <c r="C500" s="30">
        <v>20</v>
      </c>
      <c r="D500" s="37" t="s">
        <v>30</v>
      </c>
      <c r="E500" s="37" t="b">
        <v>0</v>
      </c>
      <c r="F500" s="37" t="s">
        <v>25</v>
      </c>
      <c r="G500" s="37" t="s">
        <v>8</v>
      </c>
      <c r="H500" s="37">
        <v>0.08</v>
      </c>
      <c r="I500" s="30">
        <v>0.06</v>
      </c>
      <c r="J500" s="37">
        <v>0.45</v>
      </c>
      <c r="K500" s="37">
        <v>0.16</v>
      </c>
      <c r="L500" s="37">
        <v>1</v>
      </c>
      <c r="M500" s="37">
        <v>44</v>
      </c>
      <c r="N500" s="37">
        <v>45</v>
      </c>
    </row>
    <row r="501" spans="1:14">
      <c r="A501" s="30">
        <v>500</v>
      </c>
      <c r="B501" s="31">
        <v>40565</v>
      </c>
      <c r="C501" s="30">
        <v>21</v>
      </c>
      <c r="D501" s="37" t="s">
        <v>30</v>
      </c>
      <c r="E501" s="37" t="b">
        <v>0</v>
      </c>
      <c r="F501" s="37" t="s">
        <v>25</v>
      </c>
      <c r="G501" s="37" t="s">
        <v>8</v>
      </c>
      <c r="H501" s="37">
        <v>0.11</v>
      </c>
      <c r="I501" s="30">
        <v>0.06</v>
      </c>
      <c r="J501" s="37">
        <v>0.41</v>
      </c>
      <c r="K501" s="37">
        <v>0.09</v>
      </c>
      <c r="L501" s="37">
        <v>0</v>
      </c>
      <c r="M501" s="37">
        <v>39</v>
      </c>
      <c r="N501" s="37">
        <v>39</v>
      </c>
    </row>
    <row r="502" spans="1:14">
      <c r="A502" s="30">
        <v>501</v>
      </c>
      <c r="B502" s="31">
        <v>40565</v>
      </c>
      <c r="C502" s="30">
        <v>22</v>
      </c>
      <c r="D502" s="37" t="s">
        <v>30</v>
      </c>
      <c r="E502" s="37" t="b">
        <v>0</v>
      </c>
      <c r="F502" s="37" t="s">
        <v>25</v>
      </c>
      <c r="G502" s="37" t="s">
        <v>8</v>
      </c>
      <c r="H502" s="37">
        <v>0.15</v>
      </c>
      <c r="I502" s="30">
        <v>0.06</v>
      </c>
      <c r="J502" s="37">
        <v>0.49</v>
      </c>
      <c r="K502" s="37">
        <v>0</v>
      </c>
      <c r="L502" s="37">
        <v>7</v>
      </c>
      <c r="M502" s="37">
        <v>23</v>
      </c>
      <c r="N502" s="37">
        <v>30</v>
      </c>
    </row>
    <row r="503" spans="1:14">
      <c r="A503" s="30">
        <v>502</v>
      </c>
      <c r="B503" s="31">
        <v>40565</v>
      </c>
      <c r="C503" s="30">
        <v>23</v>
      </c>
      <c r="D503" s="37" t="s">
        <v>30</v>
      </c>
      <c r="E503" s="37" t="b">
        <v>0</v>
      </c>
      <c r="F503" s="37" t="s">
        <v>25</v>
      </c>
      <c r="G503" s="37" t="s">
        <v>8</v>
      </c>
      <c r="H503" s="37">
        <v>0.08</v>
      </c>
      <c r="I503" s="30">
        <v>0.04</v>
      </c>
      <c r="J503" s="37">
        <v>0.56999999999999995</v>
      </c>
      <c r="K503" s="37">
        <v>0.1</v>
      </c>
      <c r="L503" s="37">
        <v>2</v>
      </c>
      <c r="M503" s="37">
        <v>31</v>
      </c>
      <c r="N503" s="37">
        <v>33</v>
      </c>
    </row>
    <row r="504" spans="1:14">
      <c r="A504" s="30">
        <v>503</v>
      </c>
      <c r="B504" s="31">
        <v>40566</v>
      </c>
      <c r="C504" s="30">
        <v>0</v>
      </c>
      <c r="D504" s="37" t="s">
        <v>27</v>
      </c>
      <c r="E504" s="37" t="b">
        <v>0</v>
      </c>
      <c r="F504" s="37" t="s">
        <v>19</v>
      </c>
      <c r="G504" s="37" t="s">
        <v>8</v>
      </c>
      <c r="H504" s="37">
        <v>0.08</v>
      </c>
      <c r="I504" s="30">
        <v>0.04</v>
      </c>
      <c r="J504" s="37">
        <v>0.56999999999999995</v>
      </c>
      <c r="K504" s="37">
        <v>0.1</v>
      </c>
      <c r="L504" s="37">
        <v>2</v>
      </c>
      <c r="M504" s="37">
        <v>20</v>
      </c>
      <c r="N504" s="37">
        <v>22</v>
      </c>
    </row>
    <row r="505" spans="1:14">
      <c r="A505" s="30">
        <v>504</v>
      </c>
      <c r="B505" s="31">
        <v>40566</v>
      </c>
      <c r="C505" s="30">
        <v>1</v>
      </c>
      <c r="D505" s="37" t="s">
        <v>27</v>
      </c>
      <c r="E505" s="37" t="b">
        <v>0</v>
      </c>
      <c r="F505" s="37" t="s">
        <v>19</v>
      </c>
      <c r="G505" s="37" t="s">
        <v>8</v>
      </c>
      <c r="H505" s="37">
        <v>0.08</v>
      </c>
      <c r="I505" s="30">
        <v>0.04</v>
      </c>
      <c r="J505" s="37">
        <v>0.56999999999999995</v>
      </c>
      <c r="K505" s="37">
        <v>0.1</v>
      </c>
      <c r="L505" s="37">
        <v>1</v>
      </c>
      <c r="M505" s="37">
        <v>12</v>
      </c>
      <c r="N505" s="37">
        <v>13</v>
      </c>
    </row>
    <row r="506" spans="1:14">
      <c r="A506" s="30">
        <v>505</v>
      </c>
      <c r="B506" s="31">
        <v>40566</v>
      </c>
      <c r="C506" s="30">
        <v>2</v>
      </c>
      <c r="D506" s="37" t="s">
        <v>27</v>
      </c>
      <c r="E506" s="37" t="b">
        <v>0</v>
      </c>
      <c r="F506" s="37" t="s">
        <v>19</v>
      </c>
      <c r="G506" s="37" t="s">
        <v>8</v>
      </c>
      <c r="H506" s="37">
        <v>0.06</v>
      </c>
      <c r="I506" s="30">
        <v>0.02</v>
      </c>
      <c r="J506" s="37">
        <v>0.62</v>
      </c>
      <c r="K506" s="37">
        <v>0.13</v>
      </c>
      <c r="L506" s="37">
        <v>3</v>
      </c>
      <c r="M506" s="37">
        <v>15</v>
      </c>
      <c r="N506" s="37">
        <v>18</v>
      </c>
    </row>
    <row r="507" spans="1:14">
      <c r="A507" s="30">
        <v>506</v>
      </c>
      <c r="B507" s="31">
        <v>40566</v>
      </c>
      <c r="C507" s="30">
        <v>3</v>
      </c>
      <c r="D507" s="37" t="s">
        <v>27</v>
      </c>
      <c r="E507" s="37" t="b">
        <v>0</v>
      </c>
      <c r="F507" s="37" t="s">
        <v>19</v>
      </c>
      <c r="G507" s="37" t="s">
        <v>8</v>
      </c>
      <c r="H507" s="37">
        <v>0.06</v>
      </c>
      <c r="I507" s="30">
        <v>0.02</v>
      </c>
      <c r="J507" s="37">
        <v>0.62</v>
      </c>
      <c r="K507" s="37">
        <v>0.13</v>
      </c>
      <c r="L507" s="37">
        <v>1</v>
      </c>
      <c r="M507" s="37">
        <v>4</v>
      </c>
      <c r="N507" s="37">
        <v>5</v>
      </c>
    </row>
    <row r="508" spans="1:14">
      <c r="A508" s="30">
        <v>507</v>
      </c>
      <c r="B508" s="31">
        <v>40566</v>
      </c>
      <c r="C508" s="30">
        <v>5</v>
      </c>
      <c r="D508" s="37" t="s">
        <v>27</v>
      </c>
      <c r="E508" s="37" t="b">
        <v>0</v>
      </c>
      <c r="F508" s="37" t="s">
        <v>19</v>
      </c>
      <c r="G508" s="37" t="s">
        <v>9</v>
      </c>
      <c r="H508" s="37">
        <v>0.08</v>
      </c>
      <c r="I508" s="30">
        <v>0.04</v>
      </c>
      <c r="J508" s="37">
        <v>0.56999999999999995</v>
      </c>
      <c r="K508" s="37">
        <v>0.1</v>
      </c>
      <c r="L508" s="37">
        <v>0</v>
      </c>
      <c r="M508" s="37">
        <v>3</v>
      </c>
      <c r="N508" s="37">
        <v>3</v>
      </c>
    </row>
    <row r="509" spans="1:14">
      <c r="A509" s="30">
        <v>508</v>
      </c>
      <c r="B509" s="31">
        <v>40566</v>
      </c>
      <c r="C509" s="30">
        <v>6</v>
      </c>
      <c r="D509" s="37" t="s">
        <v>28</v>
      </c>
      <c r="E509" s="37" t="b">
        <v>0</v>
      </c>
      <c r="F509" s="37" t="s">
        <v>19</v>
      </c>
      <c r="G509" s="37" t="s">
        <v>9</v>
      </c>
      <c r="H509" s="37">
        <v>0.08</v>
      </c>
      <c r="I509" s="30">
        <v>0.04</v>
      </c>
      <c r="J509" s="37">
        <v>0.56999999999999995</v>
      </c>
      <c r="K509" s="37">
        <v>0.1</v>
      </c>
      <c r="L509" s="37">
        <v>0</v>
      </c>
      <c r="M509" s="37">
        <v>1</v>
      </c>
      <c r="N509" s="37">
        <v>1</v>
      </c>
    </row>
    <row r="510" spans="1:14">
      <c r="A510" s="30">
        <v>509</v>
      </c>
      <c r="B510" s="31">
        <v>40566</v>
      </c>
      <c r="C510" s="30">
        <v>7</v>
      </c>
      <c r="D510" s="37" t="s">
        <v>28</v>
      </c>
      <c r="E510" s="37" t="b">
        <v>0</v>
      </c>
      <c r="F510" s="37" t="s">
        <v>19</v>
      </c>
      <c r="G510" s="37" t="s">
        <v>8</v>
      </c>
      <c r="H510" s="37">
        <v>0.11</v>
      </c>
      <c r="I510" s="30">
        <v>0.08</v>
      </c>
      <c r="J510" s="37">
        <v>0.57999999999999996</v>
      </c>
      <c r="K510" s="37">
        <v>0.16</v>
      </c>
      <c r="L510" s="37">
        <v>1</v>
      </c>
      <c r="M510" s="37">
        <v>1</v>
      </c>
      <c r="N510" s="37">
        <v>2</v>
      </c>
    </row>
    <row r="511" spans="1:14">
      <c r="A511" s="30">
        <v>510</v>
      </c>
      <c r="B511" s="31">
        <v>40566</v>
      </c>
      <c r="C511" s="30">
        <v>8</v>
      </c>
      <c r="D511" s="37" t="s">
        <v>28</v>
      </c>
      <c r="E511" s="37" t="b">
        <v>0</v>
      </c>
      <c r="F511" s="37" t="s">
        <v>19</v>
      </c>
      <c r="G511" s="37" t="s">
        <v>8</v>
      </c>
      <c r="H511" s="37">
        <v>0.08</v>
      </c>
      <c r="I511" s="30">
        <v>0.06</v>
      </c>
      <c r="J511" s="37">
        <v>0.62</v>
      </c>
      <c r="K511" s="37">
        <v>0.16</v>
      </c>
      <c r="L511" s="37">
        <v>2</v>
      </c>
      <c r="M511" s="37">
        <v>17</v>
      </c>
      <c r="N511" s="37">
        <v>19</v>
      </c>
    </row>
    <row r="512" spans="1:14">
      <c r="A512" s="30">
        <v>511</v>
      </c>
      <c r="B512" s="31">
        <v>40566</v>
      </c>
      <c r="C512" s="30">
        <v>9</v>
      </c>
      <c r="D512" s="37" t="s">
        <v>28</v>
      </c>
      <c r="E512" s="37" t="b">
        <v>0</v>
      </c>
      <c r="F512" s="37" t="s">
        <v>19</v>
      </c>
      <c r="G512" s="37" t="s">
        <v>8</v>
      </c>
      <c r="H512" s="37">
        <v>0.08</v>
      </c>
      <c r="I512" s="30">
        <v>0.1</v>
      </c>
      <c r="J512" s="37">
        <v>0.54</v>
      </c>
      <c r="K512" s="37">
        <v>0.36</v>
      </c>
      <c r="L512" s="37">
        <v>3</v>
      </c>
      <c r="M512" s="37">
        <v>25</v>
      </c>
      <c r="N512" s="37">
        <v>28</v>
      </c>
    </row>
    <row r="513" spans="1:14">
      <c r="A513" s="30">
        <v>512</v>
      </c>
      <c r="B513" s="31">
        <v>40566</v>
      </c>
      <c r="C513" s="30">
        <v>10</v>
      </c>
      <c r="D513" s="37" t="s">
        <v>28</v>
      </c>
      <c r="E513" s="37" t="b">
        <v>0</v>
      </c>
      <c r="F513" s="37" t="s">
        <v>19</v>
      </c>
      <c r="G513" s="37" t="s">
        <v>8</v>
      </c>
      <c r="H513" s="37">
        <v>0.11</v>
      </c>
      <c r="I513" s="30">
        <v>0.14000000000000001</v>
      </c>
      <c r="J513" s="37">
        <v>0.46</v>
      </c>
      <c r="K513" s="37">
        <v>0.39</v>
      </c>
      <c r="L513" s="37">
        <v>7</v>
      </c>
      <c r="M513" s="37">
        <v>51</v>
      </c>
      <c r="N513" s="37">
        <v>58</v>
      </c>
    </row>
    <row r="514" spans="1:14">
      <c r="A514" s="30">
        <v>513</v>
      </c>
      <c r="B514" s="31">
        <v>40566</v>
      </c>
      <c r="C514" s="30">
        <v>11</v>
      </c>
      <c r="D514" s="37" t="s">
        <v>28</v>
      </c>
      <c r="E514" s="37" t="b">
        <v>0</v>
      </c>
      <c r="F514" s="37" t="s">
        <v>19</v>
      </c>
      <c r="G514" s="37" t="s">
        <v>8</v>
      </c>
      <c r="H514" s="37">
        <v>0.14000000000000001</v>
      </c>
      <c r="I514" s="30">
        <v>0.14000000000000001</v>
      </c>
      <c r="J514" s="37">
        <v>0.43</v>
      </c>
      <c r="K514" s="37">
        <v>0.22</v>
      </c>
      <c r="L514" s="37">
        <v>22</v>
      </c>
      <c r="M514" s="37">
        <v>77</v>
      </c>
      <c r="N514" s="37">
        <v>99</v>
      </c>
    </row>
    <row r="515" spans="1:14">
      <c r="A515" s="30">
        <v>514</v>
      </c>
      <c r="B515" s="31">
        <v>40566</v>
      </c>
      <c r="C515" s="30">
        <v>12</v>
      </c>
      <c r="D515" s="37" t="s">
        <v>29</v>
      </c>
      <c r="E515" s="37" t="b">
        <v>0</v>
      </c>
      <c r="F515" s="37" t="s">
        <v>19</v>
      </c>
      <c r="G515" s="37" t="s">
        <v>8</v>
      </c>
      <c r="H515" s="37">
        <v>0.12</v>
      </c>
      <c r="I515" s="30">
        <v>0.16</v>
      </c>
      <c r="J515" s="37">
        <v>0.37</v>
      </c>
      <c r="K515" s="37">
        <v>0.46</v>
      </c>
      <c r="L515" s="37">
        <v>24</v>
      </c>
      <c r="M515" s="37">
        <v>92</v>
      </c>
      <c r="N515" s="37">
        <v>116</v>
      </c>
    </row>
    <row r="516" spans="1:14">
      <c r="A516" s="30">
        <v>515</v>
      </c>
      <c r="B516" s="31">
        <v>40566</v>
      </c>
      <c r="C516" s="30">
        <v>13</v>
      </c>
      <c r="D516" s="37" t="s">
        <v>29</v>
      </c>
      <c r="E516" s="37" t="b">
        <v>0</v>
      </c>
      <c r="F516" s="37" t="s">
        <v>19</v>
      </c>
      <c r="G516" s="37" t="s">
        <v>8</v>
      </c>
      <c r="H516" s="37">
        <v>0.11</v>
      </c>
      <c r="I516" s="30">
        <v>0.14000000000000001</v>
      </c>
      <c r="J516" s="37">
        <v>0.33</v>
      </c>
      <c r="K516" s="37">
        <v>0.39</v>
      </c>
      <c r="L516" s="37">
        <v>12</v>
      </c>
      <c r="M516" s="37">
        <v>75</v>
      </c>
      <c r="N516" s="37">
        <v>87</v>
      </c>
    </row>
    <row r="517" spans="1:14">
      <c r="A517" s="30">
        <v>516</v>
      </c>
      <c r="B517" s="31">
        <v>40566</v>
      </c>
      <c r="C517" s="30">
        <v>14</v>
      </c>
      <c r="D517" s="37" t="s">
        <v>29</v>
      </c>
      <c r="E517" s="37" t="b">
        <v>0</v>
      </c>
      <c r="F517" s="37" t="s">
        <v>19</v>
      </c>
      <c r="G517" s="37" t="s">
        <v>8</v>
      </c>
      <c r="H517" s="37">
        <v>0.14000000000000001</v>
      </c>
      <c r="I517" s="30">
        <v>0.16</v>
      </c>
      <c r="J517" s="37">
        <v>0.28000000000000003</v>
      </c>
      <c r="K517" s="37">
        <v>0.36</v>
      </c>
      <c r="L517" s="37">
        <v>17</v>
      </c>
      <c r="M517" s="37">
        <v>93</v>
      </c>
      <c r="N517" s="37">
        <v>110</v>
      </c>
    </row>
    <row r="518" spans="1:14">
      <c r="A518" s="30">
        <v>517</v>
      </c>
      <c r="B518" s="31">
        <v>40566</v>
      </c>
      <c r="C518" s="30">
        <v>15</v>
      </c>
      <c r="D518" s="37" t="s">
        <v>29</v>
      </c>
      <c r="E518" s="37" t="b">
        <v>0</v>
      </c>
      <c r="F518" s="37" t="s">
        <v>19</v>
      </c>
      <c r="G518" s="37" t="s">
        <v>8</v>
      </c>
      <c r="H518" s="37">
        <v>0.14000000000000001</v>
      </c>
      <c r="I518" s="30">
        <v>0.16</v>
      </c>
      <c r="J518" s="37">
        <v>0.28000000000000003</v>
      </c>
      <c r="K518" s="37">
        <v>0.36</v>
      </c>
      <c r="L518" s="37">
        <v>13</v>
      </c>
      <c r="M518" s="37">
        <v>64</v>
      </c>
      <c r="N518" s="37">
        <v>77</v>
      </c>
    </row>
    <row r="519" spans="1:14">
      <c r="A519" s="30">
        <v>518</v>
      </c>
      <c r="B519" s="31">
        <v>40566</v>
      </c>
      <c r="C519" s="30">
        <v>16</v>
      </c>
      <c r="D519" s="37" t="s">
        <v>29</v>
      </c>
      <c r="E519" s="37" t="b">
        <v>0</v>
      </c>
      <c r="F519" s="37" t="s">
        <v>19</v>
      </c>
      <c r="G519" s="37" t="s">
        <v>8</v>
      </c>
      <c r="H519" s="37">
        <v>0.14000000000000001</v>
      </c>
      <c r="I519" s="30">
        <v>0.16</v>
      </c>
      <c r="J519" s="37">
        <v>0.26</v>
      </c>
      <c r="K519" s="37">
        <v>0.33</v>
      </c>
      <c r="L519" s="37">
        <v>9</v>
      </c>
      <c r="M519" s="37">
        <v>56</v>
      </c>
      <c r="N519" s="37">
        <v>65</v>
      </c>
    </row>
    <row r="520" spans="1:14">
      <c r="A520" s="30">
        <v>519</v>
      </c>
      <c r="B520" s="31">
        <v>40566</v>
      </c>
      <c r="C520" s="30">
        <v>17</v>
      </c>
      <c r="D520" s="37" t="s">
        <v>29</v>
      </c>
      <c r="E520" s="37" t="b">
        <v>0</v>
      </c>
      <c r="F520" s="37" t="s">
        <v>19</v>
      </c>
      <c r="G520" s="37" t="s">
        <v>8</v>
      </c>
      <c r="H520" s="37">
        <v>0.11</v>
      </c>
      <c r="I520" s="30">
        <v>0.14000000000000001</v>
      </c>
      <c r="J520" s="37">
        <v>0.26</v>
      </c>
      <c r="K520" s="37">
        <v>0.39</v>
      </c>
      <c r="L520" s="37">
        <v>5</v>
      </c>
      <c r="M520" s="37">
        <v>50</v>
      </c>
      <c r="N520" s="37">
        <v>55</v>
      </c>
    </row>
    <row r="521" spans="1:14">
      <c r="A521" s="30">
        <v>520</v>
      </c>
      <c r="B521" s="31">
        <v>40566</v>
      </c>
      <c r="C521" s="30">
        <v>18</v>
      </c>
      <c r="D521" s="37" t="s">
        <v>30</v>
      </c>
      <c r="E521" s="37" t="b">
        <v>0</v>
      </c>
      <c r="F521" s="37" t="s">
        <v>19</v>
      </c>
      <c r="G521" s="37" t="s">
        <v>8</v>
      </c>
      <c r="H521" s="37">
        <v>0.12</v>
      </c>
      <c r="I521" s="30">
        <v>0.12</v>
      </c>
      <c r="J521" s="37">
        <v>0.3</v>
      </c>
      <c r="K521" s="37">
        <v>0.25</v>
      </c>
      <c r="L521" s="37">
        <v>5</v>
      </c>
      <c r="M521" s="37">
        <v>44</v>
      </c>
      <c r="N521" s="37">
        <v>49</v>
      </c>
    </row>
    <row r="522" spans="1:14">
      <c r="A522" s="30">
        <v>521</v>
      </c>
      <c r="B522" s="31">
        <v>40566</v>
      </c>
      <c r="C522" s="30">
        <v>19</v>
      </c>
      <c r="D522" s="37" t="s">
        <v>30</v>
      </c>
      <c r="E522" s="37" t="b">
        <v>0</v>
      </c>
      <c r="F522" s="37" t="s">
        <v>19</v>
      </c>
      <c r="G522" s="37" t="s">
        <v>8</v>
      </c>
      <c r="H522" s="37">
        <v>0.12</v>
      </c>
      <c r="I522" s="30">
        <v>0.12</v>
      </c>
      <c r="J522" s="37">
        <v>0.3</v>
      </c>
      <c r="K522" s="37">
        <v>0.28000000000000003</v>
      </c>
      <c r="L522" s="37">
        <v>5</v>
      </c>
      <c r="M522" s="37">
        <v>45</v>
      </c>
      <c r="N522" s="37">
        <v>50</v>
      </c>
    </row>
    <row r="523" spans="1:14">
      <c r="A523" s="30">
        <v>522</v>
      </c>
      <c r="B523" s="31">
        <v>40566</v>
      </c>
      <c r="C523" s="30">
        <v>20</v>
      </c>
      <c r="D523" s="37" t="s">
        <v>30</v>
      </c>
      <c r="E523" s="37" t="b">
        <v>0</v>
      </c>
      <c r="F523" s="37" t="s">
        <v>19</v>
      </c>
      <c r="G523" s="37" t="s">
        <v>8</v>
      </c>
      <c r="H523" s="37">
        <v>0.11</v>
      </c>
      <c r="I523" s="30">
        <v>0.1</v>
      </c>
      <c r="J523" s="37">
        <v>0.36</v>
      </c>
      <c r="K523" s="37">
        <v>0.25</v>
      </c>
      <c r="L523" s="37">
        <v>4</v>
      </c>
      <c r="M523" s="37">
        <v>31</v>
      </c>
      <c r="N523" s="37">
        <v>35</v>
      </c>
    </row>
    <row r="524" spans="1:14">
      <c r="A524" s="30">
        <v>523</v>
      </c>
      <c r="B524" s="31">
        <v>40566</v>
      </c>
      <c r="C524" s="30">
        <v>21</v>
      </c>
      <c r="D524" s="37" t="s">
        <v>30</v>
      </c>
      <c r="E524" s="37" t="b">
        <v>0</v>
      </c>
      <c r="F524" s="37" t="s">
        <v>19</v>
      </c>
      <c r="G524" s="37" t="s">
        <v>8</v>
      </c>
      <c r="H524" s="37">
        <v>0.11</v>
      </c>
      <c r="I524" s="30">
        <v>0.1</v>
      </c>
      <c r="J524" s="37">
        <v>0.36</v>
      </c>
      <c r="K524" s="37">
        <v>0.19</v>
      </c>
      <c r="L524" s="37">
        <v>5</v>
      </c>
      <c r="M524" s="37">
        <v>20</v>
      </c>
      <c r="N524" s="37">
        <v>25</v>
      </c>
    </row>
    <row r="525" spans="1:14">
      <c r="A525" s="30">
        <v>524</v>
      </c>
      <c r="B525" s="31">
        <v>40566</v>
      </c>
      <c r="C525" s="30">
        <v>22</v>
      </c>
      <c r="D525" s="37" t="s">
        <v>30</v>
      </c>
      <c r="E525" s="37" t="b">
        <v>0</v>
      </c>
      <c r="F525" s="37" t="s">
        <v>19</v>
      </c>
      <c r="G525" s="37" t="s">
        <v>8</v>
      </c>
      <c r="H525" s="37">
        <v>0.09</v>
      </c>
      <c r="I525" s="30">
        <v>0.08</v>
      </c>
      <c r="J525" s="37">
        <v>0.38</v>
      </c>
      <c r="K525" s="37">
        <v>0.19</v>
      </c>
      <c r="L525" s="37">
        <v>5</v>
      </c>
      <c r="M525" s="37">
        <v>23</v>
      </c>
      <c r="N525" s="37">
        <v>28</v>
      </c>
    </row>
    <row r="526" spans="1:14">
      <c r="A526" s="30">
        <v>525</v>
      </c>
      <c r="B526" s="31">
        <v>40566</v>
      </c>
      <c r="C526" s="30">
        <v>23</v>
      </c>
      <c r="D526" s="37" t="s">
        <v>30</v>
      </c>
      <c r="E526" s="37" t="b">
        <v>0</v>
      </c>
      <c r="F526" s="37" t="s">
        <v>19</v>
      </c>
      <c r="G526" s="37" t="s">
        <v>8</v>
      </c>
      <c r="H526" s="37">
        <v>0.06</v>
      </c>
      <c r="I526" s="30">
        <v>0.06</v>
      </c>
      <c r="J526" s="37">
        <v>0.41</v>
      </c>
      <c r="K526" s="37">
        <v>0.22</v>
      </c>
      <c r="L526" s="37">
        <v>4</v>
      </c>
      <c r="M526" s="37">
        <v>17</v>
      </c>
      <c r="N526" s="37">
        <v>21</v>
      </c>
    </row>
    <row r="527" spans="1:14">
      <c r="A527" s="30">
        <v>526</v>
      </c>
      <c r="B527" s="31">
        <v>40567</v>
      </c>
      <c r="C527" s="30">
        <v>0</v>
      </c>
      <c r="D527" s="37" t="s">
        <v>27</v>
      </c>
      <c r="E527" s="37" t="b">
        <v>0</v>
      </c>
      <c r="F527" s="37" t="s">
        <v>20</v>
      </c>
      <c r="G527" s="37" t="s">
        <v>8</v>
      </c>
      <c r="H527" s="37">
        <v>0.06</v>
      </c>
      <c r="I527" s="30">
        <v>0.06</v>
      </c>
      <c r="J527" s="37">
        <v>0.41</v>
      </c>
      <c r="K527" s="37">
        <v>0.19</v>
      </c>
      <c r="L527" s="37">
        <v>0</v>
      </c>
      <c r="M527" s="37">
        <v>7</v>
      </c>
      <c r="N527" s="37">
        <v>7</v>
      </c>
    </row>
    <row r="528" spans="1:14">
      <c r="A528" s="30">
        <v>527</v>
      </c>
      <c r="B528" s="31">
        <v>40567</v>
      </c>
      <c r="C528" s="30">
        <v>1</v>
      </c>
      <c r="D528" s="37" t="s">
        <v>27</v>
      </c>
      <c r="E528" s="37" t="b">
        <v>0</v>
      </c>
      <c r="F528" s="37" t="s">
        <v>20</v>
      </c>
      <c r="G528" s="37" t="s">
        <v>8</v>
      </c>
      <c r="H528" s="37">
        <v>0.05</v>
      </c>
      <c r="I528" s="30">
        <v>0.04</v>
      </c>
      <c r="J528" s="37">
        <v>0.45</v>
      </c>
      <c r="K528" s="37">
        <v>0.19</v>
      </c>
      <c r="L528" s="37">
        <v>0</v>
      </c>
      <c r="M528" s="37">
        <v>1</v>
      </c>
      <c r="N528" s="37">
        <v>1</v>
      </c>
    </row>
    <row r="529" spans="1:14">
      <c r="A529" s="30">
        <v>528</v>
      </c>
      <c r="B529" s="31">
        <v>40567</v>
      </c>
      <c r="C529" s="30">
        <v>3</v>
      </c>
      <c r="D529" s="37" t="s">
        <v>27</v>
      </c>
      <c r="E529" s="37" t="b">
        <v>0</v>
      </c>
      <c r="F529" s="37" t="s">
        <v>20</v>
      </c>
      <c r="G529" s="37" t="s">
        <v>8</v>
      </c>
      <c r="H529" s="37">
        <v>0.03</v>
      </c>
      <c r="I529" s="30">
        <v>0.04</v>
      </c>
      <c r="J529" s="37">
        <v>0.45</v>
      </c>
      <c r="K529" s="37">
        <v>0.25</v>
      </c>
      <c r="L529" s="37">
        <v>0</v>
      </c>
      <c r="M529" s="37">
        <v>1</v>
      </c>
      <c r="N529" s="37">
        <v>1</v>
      </c>
    </row>
    <row r="530" spans="1:14">
      <c r="A530" s="30">
        <v>529</v>
      </c>
      <c r="B530" s="31">
        <v>40567</v>
      </c>
      <c r="C530" s="30">
        <v>4</v>
      </c>
      <c r="D530" s="37" t="s">
        <v>27</v>
      </c>
      <c r="E530" s="37" t="b">
        <v>0</v>
      </c>
      <c r="F530" s="37" t="s">
        <v>20</v>
      </c>
      <c r="G530" s="37" t="s">
        <v>8</v>
      </c>
      <c r="H530" s="37">
        <v>0.06</v>
      </c>
      <c r="I530" s="30">
        <v>0.02</v>
      </c>
      <c r="J530" s="37">
        <v>0.48</v>
      </c>
      <c r="K530" s="37">
        <v>0.13</v>
      </c>
      <c r="L530" s="37">
        <v>0</v>
      </c>
      <c r="M530" s="37">
        <v>1</v>
      </c>
      <c r="N530" s="37">
        <v>1</v>
      </c>
    </row>
    <row r="531" spans="1:14">
      <c r="A531" s="30">
        <v>530</v>
      </c>
      <c r="B531" s="31">
        <v>40567</v>
      </c>
      <c r="C531" s="30">
        <v>5</v>
      </c>
      <c r="D531" s="37" t="s">
        <v>27</v>
      </c>
      <c r="E531" s="37" t="b">
        <v>0</v>
      </c>
      <c r="F531" s="37" t="s">
        <v>20</v>
      </c>
      <c r="G531" s="37" t="s">
        <v>8</v>
      </c>
      <c r="H531" s="37">
        <v>0.06</v>
      </c>
      <c r="I531" s="30">
        <v>0.02</v>
      </c>
      <c r="J531" s="37">
        <v>0.48</v>
      </c>
      <c r="K531" s="37">
        <v>0.13</v>
      </c>
      <c r="L531" s="37">
        <v>0</v>
      </c>
      <c r="M531" s="37">
        <v>5</v>
      </c>
      <c r="N531" s="37">
        <v>5</v>
      </c>
    </row>
    <row r="532" spans="1:14">
      <c r="A532" s="30">
        <v>531</v>
      </c>
      <c r="B532" s="31">
        <v>40567</v>
      </c>
      <c r="C532" s="30">
        <v>6</v>
      </c>
      <c r="D532" s="37" t="s">
        <v>28</v>
      </c>
      <c r="E532" s="37" t="b">
        <v>0</v>
      </c>
      <c r="F532" s="37" t="s">
        <v>20</v>
      </c>
      <c r="G532" s="37" t="s">
        <v>8</v>
      </c>
      <c r="H532" s="37">
        <v>0.08</v>
      </c>
      <c r="I532" s="30">
        <v>0.02</v>
      </c>
      <c r="J532" s="37">
        <v>0.48</v>
      </c>
      <c r="K532" s="37">
        <v>0.09</v>
      </c>
      <c r="L532" s="37">
        <v>0</v>
      </c>
      <c r="M532" s="37">
        <v>15</v>
      </c>
      <c r="N532" s="37">
        <v>15</v>
      </c>
    </row>
    <row r="533" spans="1:14">
      <c r="A533" s="30">
        <v>532</v>
      </c>
      <c r="B533" s="31">
        <v>40567</v>
      </c>
      <c r="C533" s="30">
        <v>7</v>
      </c>
      <c r="D533" s="37" t="s">
        <v>28</v>
      </c>
      <c r="E533" s="37" t="b">
        <v>0</v>
      </c>
      <c r="F533" s="37" t="s">
        <v>20</v>
      </c>
      <c r="G533" s="37" t="s">
        <v>8</v>
      </c>
      <c r="H533" s="37">
        <v>0.12</v>
      </c>
      <c r="I533" s="30">
        <v>0.02</v>
      </c>
      <c r="J533" s="37">
        <v>0.48</v>
      </c>
      <c r="K533" s="37">
        <v>0</v>
      </c>
      <c r="L533" s="37">
        <v>5</v>
      </c>
      <c r="M533" s="37">
        <v>79</v>
      </c>
      <c r="N533" s="37">
        <v>84</v>
      </c>
    </row>
    <row r="534" spans="1:14">
      <c r="A534" s="30">
        <v>533</v>
      </c>
      <c r="B534" s="31">
        <v>40567</v>
      </c>
      <c r="C534" s="30">
        <v>8</v>
      </c>
      <c r="D534" s="37" t="s">
        <v>28</v>
      </c>
      <c r="E534" s="37" t="b">
        <v>0</v>
      </c>
      <c r="F534" s="37" t="s">
        <v>20</v>
      </c>
      <c r="G534" s="37" t="s">
        <v>8</v>
      </c>
      <c r="H534" s="37">
        <v>0.14000000000000001</v>
      </c>
      <c r="I534" s="30">
        <v>0.04</v>
      </c>
      <c r="J534" s="37">
        <v>0.49</v>
      </c>
      <c r="K534" s="37">
        <v>0</v>
      </c>
      <c r="L534" s="37">
        <v>6</v>
      </c>
      <c r="M534" s="37">
        <v>171</v>
      </c>
      <c r="N534" s="37">
        <v>177</v>
      </c>
    </row>
    <row r="535" spans="1:14">
      <c r="A535" s="30">
        <v>534</v>
      </c>
      <c r="B535" s="31">
        <v>40567</v>
      </c>
      <c r="C535" s="30">
        <v>9</v>
      </c>
      <c r="D535" s="37" t="s">
        <v>28</v>
      </c>
      <c r="E535" s="37" t="b">
        <v>0</v>
      </c>
      <c r="F535" s="37" t="s">
        <v>20</v>
      </c>
      <c r="G535" s="37" t="s">
        <v>8</v>
      </c>
      <c r="H535" s="37">
        <v>0.15</v>
      </c>
      <c r="I535" s="30">
        <v>0.06</v>
      </c>
      <c r="J535" s="37">
        <v>0.41</v>
      </c>
      <c r="K535" s="37">
        <v>0</v>
      </c>
      <c r="L535" s="37">
        <v>4</v>
      </c>
      <c r="M535" s="37">
        <v>98</v>
      </c>
      <c r="N535" s="37">
        <v>102</v>
      </c>
    </row>
    <row r="536" spans="1:14">
      <c r="A536" s="30">
        <v>535</v>
      </c>
      <c r="B536" s="31">
        <v>40567</v>
      </c>
      <c r="C536" s="30">
        <v>10</v>
      </c>
      <c r="D536" s="37" t="s">
        <v>28</v>
      </c>
      <c r="E536" s="37" t="b">
        <v>0</v>
      </c>
      <c r="F536" s="37" t="s">
        <v>20</v>
      </c>
      <c r="G536" s="37" t="s">
        <v>8</v>
      </c>
      <c r="H536" s="37">
        <v>0.14000000000000001</v>
      </c>
      <c r="I536" s="30">
        <v>0.1</v>
      </c>
      <c r="J536" s="37">
        <v>0.42</v>
      </c>
      <c r="K536" s="37">
        <v>0</v>
      </c>
      <c r="L536" s="37">
        <v>6</v>
      </c>
      <c r="M536" s="37">
        <v>34</v>
      </c>
      <c r="N536" s="37">
        <v>40</v>
      </c>
    </row>
    <row r="537" spans="1:14">
      <c r="A537" s="30">
        <v>536</v>
      </c>
      <c r="B537" s="31">
        <v>40567</v>
      </c>
      <c r="C537" s="30">
        <v>11</v>
      </c>
      <c r="D537" s="37" t="s">
        <v>28</v>
      </c>
      <c r="E537" s="37" t="b">
        <v>0</v>
      </c>
      <c r="F537" s="37" t="s">
        <v>20</v>
      </c>
      <c r="G537" s="37" t="s">
        <v>8</v>
      </c>
      <c r="H537" s="37">
        <v>0.12</v>
      </c>
      <c r="I537" s="30">
        <v>0.1</v>
      </c>
      <c r="J537" s="37">
        <v>0.46</v>
      </c>
      <c r="K537" s="37">
        <v>0.13</v>
      </c>
      <c r="L537" s="37">
        <v>3</v>
      </c>
      <c r="M537" s="37">
        <v>43</v>
      </c>
      <c r="N537" s="37">
        <v>46</v>
      </c>
    </row>
    <row r="538" spans="1:14">
      <c r="A538" s="30">
        <v>537</v>
      </c>
      <c r="B538" s="31">
        <v>40567</v>
      </c>
      <c r="C538" s="30">
        <v>12</v>
      </c>
      <c r="D538" s="37" t="s">
        <v>29</v>
      </c>
      <c r="E538" s="37" t="b">
        <v>0</v>
      </c>
      <c r="F538" s="37" t="s">
        <v>20</v>
      </c>
      <c r="G538" s="37" t="s">
        <v>9</v>
      </c>
      <c r="H538" s="37">
        <v>0.14000000000000001</v>
      </c>
      <c r="I538" s="30">
        <v>0.12</v>
      </c>
      <c r="J538" s="37">
        <v>0.42</v>
      </c>
      <c r="K538" s="37">
        <v>0.19</v>
      </c>
      <c r="L538" s="37">
        <v>11</v>
      </c>
      <c r="M538" s="37">
        <v>52</v>
      </c>
      <c r="N538" s="37">
        <v>63</v>
      </c>
    </row>
    <row r="539" spans="1:14">
      <c r="A539" s="30">
        <v>538</v>
      </c>
      <c r="B539" s="31">
        <v>40567</v>
      </c>
      <c r="C539" s="30">
        <v>13</v>
      </c>
      <c r="D539" s="37" t="s">
        <v>29</v>
      </c>
      <c r="E539" s="37" t="b">
        <v>0</v>
      </c>
      <c r="F539" s="37" t="s">
        <v>20</v>
      </c>
      <c r="G539" s="37" t="s">
        <v>9</v>
      </c>
      <c r="H539" s="37">
        <v>0.14000000000000001</v>
      </c>
      <c r="I539" s="30">
        <v>0.14000000000000001</v>
      </c>
      <c r="J539" s="37">
        <v>0.43</v>
      </c>
      <c r="K539" s="37">
        <v>0.22</v>
      </c>
      <c r="L539" s="37">
        <v>6</v>
      </c>
      <c r="M539" s="37">
        <v>54</v>
      </c>
      <c r="N539" s="37">
        <v>60</v>
      </c>
    </row>
    <row r="540" spans="1:14">
      <c r="A540" s="30">
        <v>539</v>
      </c>
      <c r="B540" s="31">
        <v>40567</v>
      </c>
      <c r="C540" s="30">
        <v>14</v>
      </c>
      <c r="D540" s="37" t="s">
        <v>29</v>
      </c>
      <c r="E540" s="37" t="b">
        <v>0</v>
      </c>
      <c r="F540" s="37" t="s">
        <v>20</v>
      </c>
      <c r="G540" s="37" t="s">
        <v>9</v>
      </c>
      <c r="H540" s="37">
        <v>0.14000000000000001</v>
      </c>
      <c r="I540" s="30">
        <v>0.14000000000000001</v>
      </c>
      <c r="J540" s="37">
        <v>0.46</v>
      </c>
      <c r="K540" s="37">
        <v>0.22</v>
      </c>
      <c r="L540" s="37">
        <v>2</v>
      </c>
      <c r="M540" s="37">
        <v>43</v>
      </c>
      <c r="N540" s="37">
        <v>45</v>
      </c>
    </row>
    <row r="541" spans="1:14">
      <c r="A541" s="30">
        <v>540</v>
      </c>
      <c r="B541" s="31">
        <v>40567</v>
      </c>
      <c r="C541" s="30">
        <v>15</v>
      </c>
      <c r="D541" s="37" t="s">
        <v>29</v>
      </c>
      <c r="E541" s="37" t="b">
        <v>0</v>
      </c>
      <c r="F541" s="37" t="s">
        <v>20</v>
      </c>
      <c r="G541" s="37" t="s">
        <v>8</v>
      </c>
      <c r="H541" s="37">
        <v>0.17</v>
      </c>
      <c r="I541" s="30">
        <v>0.16</v>
      </c>
      <c r="J541" s="37">
        <v>0.4</v>
      </c>
      <c r="K541" s="37">
        <v>0.16</v>
      </c>
      <c r="L541" s="37">
        <v>7</v>
      </c>
      <c r="M541" s="37">
        <v>50</v>
      </c>
      <c r="N541" s="37">
        <v>57</v>
      </c>
    </row>
    <row r="542" spans="1:14">
      <c r="A542" s="30">
        <v>541</v>
      </c>
      <c r="B542" s="31">
        <v>40567</v>
      </c>
      <c r="C542" s="30">
        <v>16</v>
      </c>
      <c r="D542" s="37" t="s">
        <v>29</v>
      </c>
      <c r="E542" s="37" t="b">
        <v>0</v>
      </c>
      <c r="F542" s="37" t="s">
        <v>20</v>
      </c>
      <c r="G542" s="37" t="s">
        <v>8</v>
      </c>
      <c r="H542" s="37">
        <v>0.15</v>
      </c>
      <c r="I542" s="30">
        <v>0.16</v>
      </c>
      <c r="J542" s="37">
        <v>0.47</v>
      </c>
      <c r="K542" s="37">
        <v>0.25</v>
      </c>
      <c r="L542" s="37">
        <v>4</v>
      </c>
      <c r="M542" s="37">
        <v>66</v>
      </c>
      <c r="N542" s="37">
        <v>70</v>
      </c>
    </row>
    <row r="543" spans="1:14">
      <c r="A543" s="30">
        <v>542</v>
      </c>
      <c r="B543" s="31">
        <v>40567</v>
      </c>
      <c r="C543" s="30">
        <v>17</v>
      </c>
      <c r="D543" s="37" t="s">
        <v>29</v>
      </c>
      <c r="E543" s="37" t="b">
        <v>0</v>
      </c>
      <c r="F543" s="37" t="s">
        <v>20</v>
      </c>
      <c r="G543" s="37" t="s">
        <v>8</v>
      </c>
      <c r="H543" s="37">
        <v>0.12</v>
      </c>
      <c r="I543" s="30">
        <v>0.14000000000000001</v>
      </c>
      <c r="J543" s="37">
        <v>0.5</v>
      </c>
      <c r="K543" s="37">
        <v>0.25</v>
      </c>
      <c r="L543" s="37">
        <v>6</v>
      </c>
      <c r="M543" s="37">
        <v>178</v>
      </c>
      <c r="N543" s="37">
        <v>184</v>
      </c>
    </row>
    <row r="544" spans="1:14">
      <c r="A544" s="30">
        <v>543</v>
      </c>
      <c r="B544" s="31">
        <v>40567</v>
      </c>
      <c r="C544" s="30">
        <v>18</v>
      </c>
      <c r="D544" s="37" t="s">
        <v>30</v>
      </c>
      <c r="E544" s="37" t="b">
        <v>0</v>
      </c>
      <c r="F544" s="37" t="s">
        <v>20</v>
      </c>
      <c r="G544" s="37" t="s">
        <v>8</v>
      </c>
      <c r="H544" s="37">
        <v>0.14000000000000001</v>
      </c>
      <c r="I544" s="30">
        <v>0.14000000000000001</v>
      </c>
      <c r="J544" s="37">
        <v>0.59</v>
      </c>
      <c r="K544" s="37">
        <v>0.19</v>
      </c>
      <c r="L544" s="37">
        <v>8</v>
      </c>
      <c r="M544" s="37">
        <v>145</v>
      </c>
      <c r="N544" s="37">
        <v>153</v>
      </c>
    </row>
    <row r="545" spans="1:14">
      <c r="A545" s="30">
        <v>544</v>
      </c>
      <c r="B545" s="31">
        <v>40567</v>
      </c>
      <c r="C545" s="30">
        <v>19</v>
      </c>
      <c r="D545" s="37" t="s">
        <v>30</v>
      </c>
      <c r="E545" s="37" t="b">
        <v>0</v>
      </c>
      <c r="F545" s="37" t="s">
        <v>20</v>
      </c>
      <c r="G545" s="37" t="s">
        <v>8</v>
      </c>
      <c r="H545" s="37">
        <v>0.15</v>
      </c>
      <c r="I545" s="30">
        <v>0.14000000000000001</v>
      </c>
      <c r="J545" s="37">
        <v>0.54</v>
      </c>
      <c r="K545" s="37">
        <v>0.16</v>
      </c>
      <c r="L545" s="37">
        <v>5</v>
      </c>
      <c r="M545" s="37">
        <v>101</v>
      </c>
      <c r="N545" s="37">
        <v>106</v>
      </c>
    </row>
    <row r="546" spans="1:14">
      <c r="A546" s="30">
        <v>545</v>
      </c>
      <c r="B546" s="31">
        <v>40567</v>
      </c>
      <c r="C546" s="30">
        <v>20</v>
      </c>
      <c r="D546" s="37" t="s">
        <v>30</v>
      </c>
      <c r="E546" s="37" t="b">
        <v>0</v>
      </c>
      <c r="F546" s="37" t="s">
        <v>20</v>
      </c>
      <c r="G546" s="37" t="s">
        <v>8</v>
      </c>
      <c r="H546" s="37">
        <v>0.14000000000000001</v>
      </c>
      <c r="I546" s="30">
        <v>0.14000000000000001</v>
      </c>
      <c r="J546" s="37">
        <v>0.59</v>
      </c>
      <c r="K546" s="37">
        <v>0.19</v>
      </c>
      <c r="L546" s="37">
        <v>1</v>
      </c>
      <c r="M546" s="37">
        <v>80</v>
      </c>
      <c r="N546" s="37">
        <v>81</v>
      </c>
    </row>
    <row r="547" spans="1:14">
      <c r="A547" s="30">
        <v>546</v>
      </c>
      <c r="B547" s="31">
        <v>40567</v>
      </c>
      <c r="C547" s="30">
        <v>21</v>
      </c>
      <c r="D547" s="37" t="s">
        <v>30</v>
      </c>
      <c r="E547" s="37" t="b">
        <v>0</v>
      </c>
      <c r="F547" s="37" t="s">
        <v>20</v>
      </c>
      <c r="G547" s="37" t="s">
        <v>8</v>
      </c>
      <c r="H547" s="37">
        <v>0.15</v>
      </c>
      <c r="I547" s="30">
        <v>0.14000000000000001</v>
      </c>
      <c r="J547" s="37">
        <v>0.63</v>
      </c>
      <c r="K547" s="37">
        <v>0.16</v>
      </c>
      <c r="L547" s="37">
        <v>6</v>
      </c>
      <c r="M547" s="37">
        <v>53</v>
      </c>
      <c r="N547" s="37">
        <v>59</v>
      </c>
    </row>
    <row r="548" spans="1:14">
      <c r="A548" s="30">
        <v>547</v>
      </c>
      <c r="B548" s="31">
        <v>40567</v>
      </c>
      <c r="C548" s="30">
        <v>22</v>
      </c>
      <c r="D548" s="37" t="s">
        <v>30</v>
      </c>
      <c r="E548" s="37" t="b">
        <v>0</v>
      </c>
      <c r="F548" s="37" t="s">
        <v>20</v>
      </c>
      <c r="G548" s="37" t="s">
        <v>9</v>
      </c>
      <c r="H548" s="37">
        <v>0.14000000000000001</v>
      </c>
      <c r="I548" s="30">
        <v>0.14000000000000001</v>
      </c>
      <c r="J548" s="37">
        <v>0.63</v>
      </c>
      <c r="K548" s="37">
        <v>0.22</v>
      </c>
      <c r="L548" s="37">
        <v>3</v>
      </c>
      <c r="M548" s="37">
        <v>32</v>
      </c>
      <c r="N548" s="37">
        <v>35</v>
      </c>
    </row>
    <row r="549" spans="1:14">
      <c r="A549" s="30">
        <v>548</v>
      </c>
      <c r="B549" s="31">
        <v>40567</v>
      </c>
      <c r="C549" s="30">
        <v>23</v>
      </c>
      <c r="D549" s="37" t="s">
        <v>30</v>
      </c>
      <c r="E549" s="37" t="b">
        <v>0</v>
      </c>
      <c r="F549" s="37" t="s">
        <v>20</v>
      </c>
      <c r="G549" s="37" t="s">
        <v>9</v>
      </c>
      <c r="H549" s="37">
        <v>0.15</v>
      </c>
      <c r="I549" s="30">
        <v>0.16</v>
      </c>
      <c r="J549" s="37">
        <v>0.64</v>
      </c>
      <c r="K549" s="37">
        <v>0.25</v>
      </c>
      <c r="L549" s="37">
        <v>3</v>
      </c>
      <c r="M549" s="37">
        <v>21</v>
      </c>
      <c r="N549" s="37">
        <v>24</v>
      </c>
    </row>
    <row r="550" spans="1:14">
      <c r="A550" s="30">
        <v>549</v>
      </c>
      <c r="B550" s="31">
        <v>40568</v>
      </c>
      <c r="C550" s="30">
        <v>0</v>
      </c>
      <c r="D550" s="37" t="s">
        <v>27</v>
      </c>
      <c r="E550" s="37" t="b">
        <v>0</v>
      </c>
      <c r="F550" s="37" t="s">
        <v>21</v>
      </c>
      <c r="G550" s="37" t="s">
        <v>9</v>
      </c>
      <c r="H550" s="37">
        <v>0.14000000000000001</v>
      </c>
      <c r="I550" s="30">
        <v>0.16</v>
      </c>
      <c r="J550" s="37">
        <v>0.69</v>
      </c>
      <c r="K550" s="37">
        <v>0.28000000000000003</v>
      </c>
      <c r="L550" s="37">
        <v>3</v>
      </c>
      <c r="M550" s="37">
        <v>6</v>
      </c>
      <c r="N550" s="37">
        <v>9</v>
      </c>
    </row>
    <row r="551" spans="1:14">
      <c r="A551" s="30">
        <v>550</v>
      </c>
      <c r="B551" s="31">
        <v>40568</v>
      </c>
      <c r="C551" s="30">
        <v>1</v>
      </c>
      <c r="D551" s="37" t="s">
        <v>27</v>
      </c>
      <c r="E551" s="37" t="b">
        <v>0</v>
      </c>
      <c r="F551" s="37" t="s">
        <v>21</v>
      </c>
      <c r="G551" s="37" t="s">
        <v>9</v>
      </c>
      <c r="H551" s="37">
        <v>0.17</v>
      </c>
      <c r="I551" s="30">
        <v>0.16</v>
      </c>
      <c r="J551" s="37">
        <v>0.69</v>
      </c>
      <c r="K551" s="37">
        <v>0.16</v>
      </c>
      <c r="L551" s="37">
        <v>0</v>
      </c>
      <c r="M551" s="37">
        <v>5</v>
      </c>
      <c r="N551" s="37">
        <v>5</v>
      </c>
    </row>
    <row r="552" spans="1:14">
      <c r="A552" s="30">
        <v>551</v>
      </c>
      <c r="B552" s="31">
        <v>40568</v>
      </c>
      <c r="C552" s="30">
        <v>2</v>
      </c>
      <c r="D552" s="37" t="s">
        <v>27</v>
      </c>
      <c r="E552" s="37" t="b">
        <v>0</v>
      </c>
      <c r="F552" s="37" t="s">
        <v>21</v>
      </c>
      <c r="G552" s="37" t="s">
        <v>8</v>
      </c>
      <c r="H552" s="37">
        <v>0.15</v>
      </c>
      <c r="I552" s="30">
        <v>0.16</v>
      </c>
      <c r="J552" s="37">
        <v>0.69</v>
      </c>
      <c r="K552" s="37">
        <v>0.22</v>
      </c>
      <c r="L552" s="37">
        <v>0</v>
      </c>
      <c r="M552" s="37">
        <v>2</v>
      </c>
      <c r="N552" s="37">
        <v>2</v>
      </c>
    </row>
    <row r="553" spans="1:14">
      <c r="A553" s="30">
        <v>552</v>
      </c>
      <c r="B553" s="31">
        <v>40568</v>
      </c>
      <c r="C553" s="30">
        <v>4</v>
      </c>
      <c r="D553" s="37" t="s">
        <v>27</v>
      </c>
      <c r="E553" s="37" t="b">
        <v>0</v>
      </c>
      <c r="F553" s="37" t="s">
        <v>21</v>
      </c>
      <c r="G553" s="37" t="s">
        <v>8</v>
      </c>
      <c r="H553" s="37">
        <v>0.17</v>
      </c>
      <c r="I553" s="30">
        <v>0.14000000000000001</v>
      </c>
      <c r="J553" s="37">
        <v>0.74</v>
      </c>
      <c r="K553" s="37">
        <v>0.1</v>
      </c>
      <c r="L553" s="37">
        <v>0</v>
      </c>
      <c r="M553" s="37">
        <v>1</v>
      </c>
      <c r="N553" s="37">
        <v>1</v>
      </c>
    </row>
    <row r="554" spans="1:14">
      <c r="A554" s="30">
        <v>553</v>
      </c>
      <c r="B554" s="31">
        <v>40568</v>
      </c>
      <c r="C554" s="30">
        <v>5</v>
      </c>
      <c r="D554" s="37" t="s">
        <v>27</v>
      </c>
      <c r="E554" s="37" t="b">
        <v>0</v>
      </c>
      <c r="F554" s="37" t="s">
        <v>21</v>
      </c>
      <c r="G554" s="37" t="s">
        <v>8</v>
      </c>
      <c r="H554" s="37">
        <v>0.14000000000000001</v>
      </c>
      <c r="I554" s="30">
        <v>0.14000000000000001</v>
      </c>
      <c r="J554" s="37">
        <v>0.74</v>
      </c>
      <c r="K554" s="37">
        <v>0.22</v>
      </c>
      <c r="L554" s="37">
        <v>0</v>
      </c>
      <c r="M554" s="37">
        <v>9</v>
      </c>
      <c r="N554" s="37">
        <v>9</v>
      </c>
    </row>
    <row r="555" spans="1:14">
      <c r="A555" s="30">
        <v>554</v>
      </c>
      <c r="B555" s="31">
        <v>40568</v>
      </c>
      <c r="C555" s="30">
        <v>6</v>
      </c>
      <c r="D555" s="37" t="s">
        <v>28</v>
      </c>
      <c r="E555" s="37" t="b">
        <v>0</v>
      </c>
      <c r="F555" s="37" t="s">
        <v>21</v>
      </c>
      <c r="G555" s="37" t="s">
        <v>8</v>
      </c>
      <c r="H555" s="37">
        <v>0.18</v>
      </c>
      <c r="I555" s="30">
        <v>0.16</v>
      </c>
      <c r="J555" s="37">
        <v>0.74</v>
      </c>
      <c r="K555" s="37">
        <v>0.1</v>
      </c>
      <c r="L555" s="37">
        <v>1</v>
      </c>
      <c r="M555" s="37">
        <v>35</v>
      </c>
      <c r="N555" s="37">
        <v>36</v>
      </c>
    </row>
    <row r="556" spans="1:14">
      <c r="A556" s="30">
        <v>555</v>
      </c>
      <c r="B556" s="31">
        <v>40568</v>
      </c>
      <c r="C556" s="30">
        <v>7</v>
      </c>
      <c r="D556" s="37" t="s">
        <v>28</v>
      </c>
      <c r="E556" s="37" t="b">
        <v>0</v>
      </c>
      <c r="F556" s="37" t="s">
        <v>21</v>
      </c>
      <c r="G556" s="37" t="s">
        <v>8</v>
      </c>
      <c r="H556" s="37">
        <v>0.15</v>
      </c>
      <c r="I556" s="30">
        <v>0.16</v>
      </c>
      <c r="J556" s="37">
        <v>0.74</v>
      </c>
      <c r="K556" s="37">
        <v>0.22</v>
      </c>
      <c r="L556" s="37">
        <v>5</v>
      </c>
      <c r="M556" s="37">
        <v>103</v>
      </c>
      <c r="N556" s="37">
        <v>108</v>
      </c>
    </row>
    <row r="557" spans="1:14">
      <c r="A557" s="30">
        <v>556</v>
      </c>
      <c r="B557" s="31">
        <v>40568</v>
      </c>
      <c r="C557" s="30">
        <v>8</v>
      </c>
      <c r="D557" s="37" t="s">
        <v>28</v>
      </c>
      <c r="E557" s="37" t="b">
        <v>0</v>
      </c>
      <c r="F557" s="37" t="s">
        <v>21</v>
      </c>
      <c r="G557" s="37" t="s">
        <v>9</v>
      </c>
      <c r="H557" s="37">
        <v>0.18</v>
      </c>
      <c r="I557" s="30">
        <v>0.16</v>
      </c>
      <c r="J557" s="37">
        <v>0.74</v>
      </c>
      <c r="K557" s="37">
        <v>0.13</v>
      </c>
      <c r="L557" s="37">
        <v>5</v>
      </c>
      <c r="M557" s="37">
        <v>233</v>
      </c>
      <c r="N557" s="37">
        <v>238</v>
      </c>
    </row>
    <row r="558" spans="1:14">
      <c r="A558" s="30">
        <v>557</v>
      </c>
      <c r="B558" s="31">
        <v>40568</v>
      </c>
      <c r="C558" s="30">
        <v>9</v>
      </c>
      <c r="D558" s="37" t="s">
        <v>28</v>
      </c>
      <c r="E558" s="37" t="b">
        <v>0</v>
      </c>
      <c r="F558" s="37" t="s">
        <v>21</v>
      </c>
      <c r="G558" s="37" t="s">
        <v>9</v>
      </c>
      <c r="H558" s="37">
        <v>0.23</v>
      </c>
      <c r="I558" s="30">
        <v>0.2</v>
      </c>
      <c r="J558" s="37">
        <v>0.64</v>
      </c>
      <c r="K558" s="37">
        <v>0.09</v>
      </c>
      <c r="L558" s="37">
        <v>10</v>
      </c>
      <c r="M558" s="37">
        <v>134</v>
      </c>
      <c r="N558" s="37">
        <v>144</v>
      </c>
    </row>
    <row r="559" spans="1:14">
      <c r="A559" s="30">
        <v>558</v>
      </c>
      <c r="B559" s="31">
        <v>40568</v>
      </c>
      <c r="C559" s="30">
        <v>10</v>
      </c>
      <c r="D559" s="37" t="s">
        <v>28</v>
      </c>
      <c r="E559" s="37" t="b">
        <v>0</v>
      </c>
      <c r="F559" s="37" t="s">
        <v>21</v>
      </c>
      <c r="G559" s="37" t="s">
        <v>9</v>
      </c>
      <c r="H559" s="37">
        <v>0.24</v>
      </c>
      <c r="I559" s="30">
        <v>0.22</v>
      </c>
      <c r="J559" s="37">
        <v>0.6</v>
      </c>
      <c r="K559" s="37">
        <v>0.1</v>
      </c>
      <c r="L559" s="37">
        <v>6</v>
      </c>
      <c r="M559" s="37">
        <v>49</v>
      </c>
      <c r="N559" s="37">
        <v>55</v>
      </c>
    </row>
    <row r="560" spans="1:14">
      <c r="A560" s="30">
        <v>559</v>
      </c>
      <c r="B560" s="31">
        <v>40568</v>
      </c>
      <c r="C560" s="30">
        <v>11</v>
      </c>
      <c r="D560" s="37" t="s">
        <v>28</v>
      </c>
      <c r="E560" s="37" t="b">
        <v>0</v>
      </c>
      <c r="F560" s="37" t="s">
        <v>21</v>
      </c>
      <c r="G560" s="37" t="s">
        <v>9</v>
      </c>
      <c r="H560" s="37">
        <v>0.24</v>
      </c>
      <c r="I560" s="30">
        <v>0.24</v>
      </c>
      <c r="J560" s="37">
        <v>0.6</v>
      </c>
      <c r="K560" s="37">
        <v>0.13</v>
      </c>
      <c r="L560" s="37">
        <v>6</v>
      </c>
      <c r="M560" s="37">
        <v>55</v>
      </c>
      <c r="N560" s="37">
        <v>61</v>
      </c>
    </row>
    <row r="561" spans="1:14">
      <c r="A561" s="30">
        <v>560</v>
      </c>
      <c r="B561" s="31">
        <v>40568</v>
      </c>
      <c r="C561" s="30">
        <v>12</v>
      </c>
      <c r="D561" s="37" t="s">
        <v>29</v>
      </c>
      <c r="E561" s="37" t="b">
        <v>0</v>
      </c>
      <c r="F561" s="37" t="s">
        <v>21</v>
      </c>
      <c r="G561" s="37" t="s">
        <v>9</v>
      </c>
      <c r="H561" s="37">
        <v>0.28999999999999998</v>
      </c>
      <c r="I561" s="30">
        <v>0.26</v>
      </c>
      <c r="J561" s="37">
        <v>0.56000000000000005</v>
      </c>
      <c r="K561" s="37">
        <v>0.09</v>
      </c>
      <c r="L561" s="37">
        <v>21</v>
      </c>
      <c r="M561" s="37">
        <v>85</v>
      </c>
      <c r="N561" s="37">
        <v>106</v>
      </c>
    </row>
    <row r="562" spans="1:14">
      <c r="A562" s="30">
        <v>561</v>
      </c>
      <c r="B562" s="31">
        <v>40568</v>
      </c>
      <c r="C562" s="30">
        <v>13</v>
      </c>
      <c r="D562" s="37" t="s">
        <v>29</v>
      </c>
      <c r="E562" s="37" t="b">
        <v>0</v>
      </c>
      <c r="F562" s="37" t="s">
        <v>21</v>
      </c>
      <c r="G562" s="37" t="s">
        <v>9</v>
      </c>
      <c r="H562" s="37">
        <v>0.27</v>
      </c>
      <c r="I562" s="30">
        <v>0.26</v>
      </c>
      <c r="J562" s="37">
        <v>0.56000000000000005</v>
      </c>
      <c r="K562" s="37">
        <v>0.13</v>
      </c>
      <c r="L562" s="37">
        <v>21</v>
      </c>
      <c r="M562" s="37">
        <v>72</v>
      </c>
      <c r="N562" s="37">
        <v>93</v>
      </c>
    </row>
    <row r="563" spans="1:14">
      <c r="A563" s="30">
        <v>562</v>
      </c>
      <c r="B563" s="31">
        <v>40568</v>
      </c>
      <c r="C563" s="30">
        <v>14</v>
      </c>
      <c r="D563" s="37" t="s">
        <v>29</v>
      </c>
      <c r="E563" s="37" t="b">
        <v>0</v>
      </c>
      <c r="F563" s="37" t="s">
        <v>21</v>
      </c>
      <c r="G563" s="37" t="s">
        <v>9</v>
      </c>
      <c r="H563" s="37">
        <v>0.33</v>
      </c>
      <c r="I563" s="30">
        <v>0.3</v>
      </c>
      <c r="J563" s="37">
        <v>0.45</v>
      </c>
      <c r="K563" s="37">
        <v>0</v>
      </c>
      <c r="L563" s="37">
        <v>11</v>
      </c>
      <c r="M563" s="37">
        <v>57</v>
      </c>
      <c r="N563" s="37">
        <v>68</v>
      </c>
    </row>
    <row r="564" spans="1:14">
      <c r="A564" s="30">
        <v>563</v>
      </c>
      <c r="B564" s="31">
        <v>40568</v>
      </c>
      <c r="C564" s="30">
        <v>15</v>
      </c>
      <c r="D564" s="37" t="s">
        <v>29</v>
      </c>
      <c r="E564" s="37" t="b">
        <v>0</v>
      </c>
      <c r="F564" s="37" t="s">
        <v>21</v>
      </c>
      <c r="G564" s="37" t="s">
        <v>9</v>
      </c>
      <c r="H564" s="37">
        <v>0.35</v>
      </c>
      <c r="I564" s="30">
        <v>0.32</v>
      </c>
      <c r="J564" s="37">
        <v>0.42</v>
      </c>
      <c r="K564" s="37">
        <v>0</v>
      </c>
      <c r="L564" s="37">
        <v>21</v>
      </c>
      <c r="M564" s="37">
        <v>63</v>
      </c>
      <c r="N564" s="37">
        <v>84</v>
      </c>
    </row>
    <row r="565" spans="1:14">
      <c r="A565" s="30">
        <v>564</v>
      </c>
      <c r="B565" s="31">
        <v>40568</v>
      </c>
      <c r="C565" s="30">
        <v>16</v>
      </c>
      <c r="D565" s="37" t="s">
        <v>29</v>
      </c>
      <c r="E565" s="37" t="b">
        <v>0</v>
      </c>
      <c r="F565" s="37" t="s">
        <v>21</v>
      </c>
      <c r="G565" s="37" t="s">
        <v>9</v>
      </c>
      <c r="H565" s="37">
        <v>0.35</v>
      </c>
      <c r="I565" s="30">
        <v>0.32</v>
      </c>
      <c r="J565" s="37">
        <v>0.42</v>
      </c>
      <c r="K565" s="37">
        <v>0</v>
      </c>
      <c r="L565" s="37">
        <v>14</v>
      </c>
      <c r="M565" s="37">
        <v>102</v>
      </c>
      <c r="N565" s="37">
        <v>116</v>
      </c>
    </row>
    <row r="566" spans="1:14">
      <c r="A566" s="30">
        <v>565</v>
      </c>
      <c r="B566" s="31">
        <v>40568</v>
      </c>
      <c r="C566" s="30">
        <v>17</v>
      </c>
      <c r="D566" s="37" t="s">
        <v>29</v>
      </c>
      <c r="E566" s="37" t="b">
        <v>0</v>
      </c>
      <c r="F566" s="37" t="s">
        <v>21</v>
      </c>
      <c r="G566" s="37" t="s">
        <v>8</v>
      </c>
      <c r="H566" s="37">
        <v>0.33</v>
      </c>
      <c r="I566" s="30">
        <v>0.3</v>
      </c>
      <c r="J566" s="37">
        <v>0.45</v>
      </c>
      <c r="K566" s="37">
        <v>0</v>
      </c>
      <c r="L566" s="37">
        <v>14</v>
      </c>
      <c r="M566" s="37">
        <v>208</v>
      </c>
      <c r="N566" s="37">
        <v>222</v>
      </c>
    </row>
    <row r="567" spans="1:14">
      <c r="A567" s="30">
        <v>566</v>
      </c>
      <c r="B567" s="31">
        <v>40568</v>
      </c>
      <c r="C567" s="30">
        <v>18</v>
      </c>
      <c r="D567" s="37" t="s">
        <v>30</v>
      </c>
      <c r="E567" s="37" t="b">
        <v>0</v>
      </c>
      <c r="F567" s="37" t="s">
        <v>21</v>
      </c>
      <c r="G567" s="37" t="s">
        <v>9</v>
      </c>
      <c r="H567" s="37">
        <v>0.32</v>
      </c>
      <c r="I567" s="30">
        <v>0.3</v>
      </c>
      <c r="J567" s="37">
        <v>0.49</v>
      </c>
      <c r="K567" s="37">
        <v>0.09</v>
      </c>
      <c r="L567" s="37">
        <v>7</v>
      </c>
      <c r="M567" s="37">
        <v>218</v>
      </c>
      <c r="N567" s="37">
        <v>225</v>
      </c>
    </row>
    <row r="568" spans="1:14">
      <c r="A568" s="30">
        <v>567</v>
      </c>
      <c r="B568" s="31">
        <v>40568</v>
      </c>
      <c r="C568" s="30">
        <v>19</v>
      </c>
      <c r="D568" s="37" t="s">
        <v>30</v>
      </c>
      <c r="E568" s="37" t="b">
        <v>0</v>
      </c>
      <c r="F568" s="37" t="s">
        <v>21</v>
      </c>
      <c r="G568" s="37" t="s">
        <v>9</v>
      </c>
      <c r="H568" s="37">
        <v>0.26</v>
      </c>
      <c r="I568" s="30">
        <v>0.26</v>
      </c>
      <c r="J568" s="37">
        <v>0.65</v>
      </c>
      <c r="K568" s="37">
        <v>0.16</v>
      </c>
      <c r="L568" s="37">
        <v>13</v>
      </c>
      <c r="M568" s="37">
        <v>133</v>
      </c>
      <c r="N568" s="37">
        <v>146</v>
      </c>
    </row>
    <row r="569" spans="1:14">
      <c r="A569" s="30">
        <v>568</v>
      </c>
      <c r="B569" s="31">
        <v>40568</v>
      </c>
      <c r="C569" s="30">
        <v>20</v>
      </c>
      <c r="D569" s="37" t="s">
        <v>30</v>
      </c>
      <c r="E569" s="37" t="b">
        <v>0</v>
      </c>
      <c r="F569" s="37" t="s">
        <v>21</v>
      </c>
      <c r="G569" s="37" t="s">
        <v>8</v>
      </c>
      <c r="H569" s="37">
        <v>0.23</v>
      </c>
      <c r="I569" s="30">
        <v>0.24</v>
      </c>
      <c r="J569" s="37">
        <v>0.65</v>
      </c>
      <c r="K569" s="37">
        <v>0.19</v>
      </c>
      <c r="L569" s="37">
        <v>16</v>
      </c>
      <c r="M569" s="37">
        <v>103</v>
      </c>
      <c r="N569" s="37">
        <v>119</v>
      </c>
    </row>
    <row r="570" spans="1:14">
      <c r="A570" s="30">
        <v>569</v>
      </c>
      <c r="B570" s="31">
        <v>40568</v>
      </c>
      <c r="C570" s="30">
        <v>21</v>
      </c>
      <c r="D570" s="37" t="s">
        <v>30</v>
      </c>
      <c r="E570" s="37" t="b">
        <v>0</v>
      </c>
      <c r="F570" s="37" t="s">
        <v>21</v>
      </c>
      <c r="G570" s="37" t="s">
        <v>8</v>
      </c>
      <c r="H570" s="37">
        <v>0.23</v>
      </c>
      <c r="I570" s="30">
        <v>0.24</v>
      </c>
      <c r="J570" s="37">
        <v>0.65</v>
      </c>
      <c r="K570" s="37">
        <v>0.19</v>
      </c>
      <c r="L570" s="37">
        <v>5</v>
      </c>
      <c r="M570" s="37">
        <v>40</v>
      </c>
      <c r="N570" s="37">
        <v>45</v>
      </c>
    </row>
    <row r="571" spans="1:14">
      <c r="A571" s="30">
        <v>570</v>
      </c>
      <c r="B571" s="31">
        <v>40568</v>
      </c>
      <c r="C571" s="30">
        <v>22</v>
      </c>
      <c r="D571" s="37" t="s">
        <v>30</v>
      </c>
      <c r="E571" s="37" t="b">
        <v>0</v>
      </c>
      <c r="F571" s="37" t="s">
        <v>21</v>
      </c>
      <c r="G571" s="37" t="s">
        <v>8</v>
      </c>
      <c r="H571" s="37">
        <v>0.23</v>
      </c>
      <c r="I571" s="30">
        <v>0.22</v>
      </c>
      <c r="J571" s="37">
        <v>0.64</v>
      </c>
      <c r="K571" s="37">
        <v>0.16</v>
      </c>
      <c r="L571" s="37">
        <v>4</v>
      </c>
      <c r="M571" s="37">
        <v>49</v>
      </c>
      <c r="N571" s="37">
        <v>53</v>
      </c>
    </row>
    <row r="572" spans="1:14">
      <c r="A572" s="30">
        <v>571</v>
      </c>
      <c r="B572" s="31">
        <v>40568</v>
      </c>
      <c r="C572" s="30">
        <v>23</v>
      </c>
      <c r="D572" s="37" t="s">
        <v>30</v>
      </c>
      <c r="E572" s="37" t="b">
        <v>0</v>
      </c>
      <c r="F572" s="37" t="s">
        <v>21</v>
      </c>
      <c r="G572" s="37" t="s">
        <v>9</v>
      </c>
      <c r="H572" s="37">
        <v>0.23</v>
      </c>
      <c r="I572" s="30">
        <v>0.22</v>
      </c>
      <c r="J572" s="37">
        <v>0.64</v>
      </c>
      <c r="K572" s="37">
        <v>0.16</v>
      </c>
      <c r="L572" s="37">
        <v>3</v>
      </c>
      <c r="M572" s="37">
        <v>37</v>
      </c>
      <c r="N572" s="37">
        <v>40</v>
      </c>
    </row>
    <row r="573" spans="1:14">
      <c r="A573" s="30">
        <v>572</v>
      </c>
      <c r="B573" s="31">
        <v>40569</v>
      </c>
      <c r="C573" s="30">
        <v>0</v>
      </c>
      <c r="D573" s="37" t="s">
        <v>27</v>
      </c>
      <c r="E573" s="37" t="b">
        <v>0</v>
      </c>
      <c r="F573" s="37" t="s">
        <v>22</v>
      </c>
      <c r="G573" s="37" t="s">
        <v>9</v>
      </c>
      <c r="H573" s="37">
        <v>0.23</v>
      </c>
      <c r="I573" s="30">
        <v>0.22</v>
      </c>
      <c r="J573" s="37">
        <v>0.69</v>
      </c>
      <c r="K573" s="37">
        <v>0.13</v>
      </c>
      <c r="L573" s="37">
        <v>3</v>
      </c>
      <c r="M573" s="37">
        <v>14</v>
      </c>
      <c r="N573" s="37">
        <v>17</v>
      </c>
    </row>
    <row r="574" spans="1:14">
      <c r="A574" s="30">
        <v>573</v>
      </c>
      <c r="B574" s="31">
        <v>40569</v>
      </c>
      <c r="C574" s="30">
        <v>1</v>
      </c>
      <c r="D574" s="37" t="s">
        <v>27</v>
      </c>
      <c r="E574" s="37" t="b">
        <v>0</v>
      </c>
      <c r="F574" s="37" t="s">
        <v>22</v>
      </c>
      <c r="G574" s="37" t="s">
        <v>9</v>
      </c>
      <c r="H574" s="37">
        <v>0.24</v>
      </c>
      <c r="I574" s="30">
        <v>0.24</v>
      </c>
      <c r="J574" s="37">
        <v>0.65</v>
      </c>
      <c r="K574" s="37">
        <v>0.13</v>
      </c>
      <c r="L574" s="37">
        <v>0</v>
      </c>
      <c r="M574" s="37">
        <v>5</v>
      </c>
      <c r="N574" s="37">
        <v>5</v>
      </c>
    </row>
    <row r="575" spans="1:14">
      <c r="A575" s="30">
        <v>574</v>
      </c>
      <c r="B575" s="31">
        <v>40569</v>
      </c>
      <c r="C575" s="30">
        <v>2</v>
      </c>
      <c r="D575" s="37" t="s">
        <v>27</v>
      </c>
      <c r="E575" s="37" t="b">
        <v>0</v>
      </c>
      <c r="F575" s="37" t="s">
        <v>22</v>
      </c>
      <c r="G575" s="37" t="s">
        <v>10</v>
      </c>
      <c r="H575" s="37">
        <v>0.23</v>
      </c>
      <c r="I575" s="30">
        <v>0.22</v>
      </c>
      <c r="J575" s="37">
        <v>0.69</v>
      </c>
      <c r="K575" s="37">
        <v>0.19</v>
      </c>
      <c r="L575" s="37">
        <v>3</v>
      </c>
      <c r="M575" s="37">
        <v>7</v>
      </c>
      <c r="N575" s="37">
        <v>10</v>
      </c>
    </row>
    <row r="576" spans="1:14">
      <c r="A576" s="30">
        <v>575</v>
      </c>
      <c r="B576" s="31">
        <v>40569</v>
      </c>
      <c r="C576" s="30">
        <v>5</v>
      </c>
      <c r="D576" s="37" t="s">
        <v>27</v>
      </c>
      <c r="E576" s="37" t="b">
        <v>0</v>
      </c>
      <c r="F576" s="37" t="s">
        <v>22</v>
      </c>
      <c r="G576" s="37" t="s">
        <v>10</v>
      </c>
      <c r="H576" s="37">
        <v>0.18</v>
      </c>
      <c r="I576" s="30">
        <v>0.2</v>
      </c>
      <c r="J576" s="37">
        <v>0.86</v>
      </c>
      <c r="K576" s="37">
        <v>0.28000000000000003</v>
      </c>
      <c r="L576" s="37">
        <v>0</v>
      </c>
      <c r="M576" s="37">
        <v>1</v>
      </c>
      <c r="N576" s="37">
        <v>1</v>
      </c>
    </row>
    <row r="577" spans="1:14">
      <c r="A577" s="30">
        <v>576</v>
      </c>
      <c r="B577" s="31">
        <v>40569</v>
      </c>
      <c r="C577" s="30">
        <v>6</v>
      </c>
      <c r="D577" s="37" t="s">
        <v>28</v>
      </c>
      <c r="E577" s="37" t="b">
        <v>0</v>
      </c>
      <c r="F577" s="37" t="s">
        <v>22</v>
      </c>
      <c r="G577" s="37" t="s">
        <v>10</v>
      </c>
      <c r="H577" s="37">
        <v>0.18</v>
      </c>
      <c r="I577" s="30">
        <v>0.2</v>
      </c>
      <c r="J577" s="37">
        <v>0.86</v>
      </c>
      <c r="K577" s="37">
        <v>0.28000000000000003</v>
      </c>
      <c r="L577" s="37">
        <v>0</v>
      </c>
      <c r="M577" s="37">
        <v>8</v>
      </c>
      <c r="N577" s="37">
        <v>8</v>
      </c>
    </row>
    <row r="578" spans="1:14">
      <c r="A578" s="30">
        <v>577</v>
      </c>
      <c r="B578" s="31">
        <v>40569</v>
      </c>
      <c r="C578" s="30">
        <v>7</v>
      </c>
      <c r="D578" s="37" t="s">
        <v>28</v>
      </c>
      <c r="E578" s="37" t="b">
        <v>0</v>
      </c>
      <c r="F578" s="37" t="s">
        <v>22</v>
      </c>
      <c r="G578" s="37" t="s">
        <v>10</v>
      </c>
      <c r="H578" s="37">
        <v>0.21</v>
      </c>
      <c r="I578" s="30">
        <v>0.22</v>
      </c>
      <c r="J578" s="37">
        <v>0.87</v>
      </c>
      <c r="K578" s="37">
        <v>0.3</v>
      </c>
      <c r="L578" s="37">
        <v>1</v>
      </c>
      <c r="M578" s="37">
        <v>29</v>
      </c>
      <c r="N578" s="37">
        <v>30</v>
      </c>
    </row>
    <row r="579" spans="1:14">
      <c r="A579" s="30">
        <v>578</v>
      </c>
      <c r="B579" s="31">
        <v>40569</v>
      </c>
      <c r="C579" s="30">
        <v>8</v>
      </c>
      <c r="D579" s="37" t="s">
        <v>28</v>
      </c>
      <c r="E579" s="37" t="b">
        <v>0</v>
      </c>
      <c r="F579" s="37" t="s">
        <v>22</v>
      </c>
      <c r="G579" s="37" t="s">
        <v>10</v>
      </c>
      <c r="H579" s="37">
        <v>0.21</v>
      </c>
      <c r="I579" s="30">
        <v>0.22</v>
      </c>
      <c r="J579" s="37">
        <v>0.87</v>
      </c>
      <c r="K579" s="37">
        <v>0.3</v>
      </c>
      <c r="L579" s="37">
        <v>3</v>
      </c>
      <c r="M579" s="37">
        <v>69</v>
      </c>
      <c r="N579" s="37">
        <v>72</v>
      </c>
    </row>
    <row r="580" spans="1:14">
      <c r="A580" s="30">
        <v>579</v>
      </c>
      <c r="B580" s="31">
        <v>40569</v>
      </c>
      <c r="C580" s="30">
        <v>9</v>
      </c>
      <c r="D580" s="37" t="s">
        <v>28</v>
      </c>
      <c r="E580" s="37" t="b">
        <v>0</v>
      </c>
      <c r="F580" s="37" t="s">
        <v>22</v>
      </c>
      <c r="G580" s="37" t="s">
        <v>10</v>
      </c>
      <c r="H580" s="37">
        <v>0.21</v>
      </c>
      <c r="I580" s="30">
        <v>0.22</v>
      </c>
      <c r="J580" s="37">
        <v>0.87</v>
      </c>
      <c r="K580" s="37">
        <v>0.3</v>
      </c>
      <c r="L580" s="37">
        <v>3</v>
      </c>
      <c r="M580" s="37">
        <v>55</v>
      </c>
      <c r="N580" s="37">
        <v>58</v>
      </c>
    </row>
    <row r="581" spans="1:14">
      <c r="A581" s="30">
        <v>580</v>
      </c>
      <c r="B581" s="31">
        <v>40569</v>
      </c>
      <c r="C581" s="30">
        <v>10</v>
      </c>
      <c r="D581" s="37" t="s">
        <v>28</v>
      </c>
      <c r="E581" s="37" t="b">
        <v>0</v>
      </c>
      <c r="F581" s="37" t="s">
        <v>22</v>
      </c>
      <c r="G581" s="37" t="s">
        <v>10</v>
      </c>
      <c r="H581" s="37">
        <v>0.21</v>
      </c>
      <c r="I581" s="30">
        <v>0.22</v>
      </c>
      <c r="J581" s="37">
        <v>0.93</v>
      </c>
      <c r="K581" s="37">
        <v>0.28000000000000003</v>
      </c>
      <c r="L581" s="37">
        <v>2</v>
      </c>
      <c r="M581" s="37">
        <v>26</v>
      </c>
      <c r="N581" s="37">
        <v>28</v>
      </c>
    </row>
    <row r="582" spans="1:14">
      <c r="A582" s="30">
        <v>581</v>
      </c>
      <c r="B582" s="31">
        <v>40569</v>
      </c>
      <c r="C582" s="30">
        <v>11</v>
      </c>
      <c r="D582" s="37" t="s">
        <v>28</v>
      </c>
      <c r="E582" s="37" t="b">
        <v>0</v>
      </c>
      <c r="F582" s="37" t="s">
        <v>22</v>
      </c>
      <c r="G582" s="37" t="s">
        <v>10</v>
      </c>
      <c r="H582" s="37">
        <v>0.2</v>
      </c>
      <c r="I582" s="30">
        <v>0.22</v>
      </c>
      <c r="J582" s="37">
        <v>0.93</v>
      </c>
      <c r="K582" s="37">
        <v>0.33</v>
      </c>
      <c r="L582" s="37">
        <v>6</v>
      </c>
      <c r="M582" s="37">
        <v>35</v>
      </c>
      <c r="N582" s="37">
        <v>41</v>
      </c>
    </row>
    <row r="583" spans="1:14">
      <c r="A583" s="30">
        <v>582</v>
      </c>
      <c r="B583" s="31">
        <v>40569</v>
      </c>
      <c r="C583" s="30">
        <v>12</v>
      </c>
      <c r="D583" s="37" t="s">
        <v>29</v>
      </c>
      <c r="E583" s="37" t="b">
        <v>0</v>
      </c>
      <c r="F583" s="37" t="s">
        <v>22</v>
      </c>
      <c r="G583" s="37" t="s">
        <v>10</v>
      </c>
      <c r="H583" s="37">
        <v>0.2</v>
      </c>
      <c r="I583" s="30">
        <v>0.22</v>
      </c>
      <c r="J583" s="37">
        <v>0.93</v>
      </c>
      <c r="K583" s="37">
        <v>0.33</v>
      </c>
      <c r="L583" s="37">
        <v>7</v>
      </c>
      <c r="M583" s="37">
        <v>41</v>
      </c>
      <c r="N583" s="37">
        <v>48</v>
      </c>
    </row>
    <row r="584" spans="1:14">
      <c r="A584" s="30">
        <v>583</v>
      </c>
      <c r="B584" s="31">
        <v>40569</v>
      </c>
      <c r="C584" s="30">
        <v>13</v>
      </c>
      <c r="D584" s="37" t="s">
        <v>29</v>
      </c>
      <c r="E584" s="37" t="b">
        <v>0</v>
      </c>
      <c r="F584" s="37" t="s">
        <v>22</v>
      </c>
      <c r="G584" s="37" t="s">
        <v>10</v>
      </c>
      <c r="H584" s="37">
        <v>0.2</v>
      </c>
      <c r="I584" s="30">
        <v>0.22</v>
      </c>
      <c r="J584" s="37">
        <v>0.93</v>
      </c>
      <c r="K584" s="37">
        <v>0.33</v>
      </c>
      <c r="L584" s="37">
        <v>4</v>
      </c>
      <c r="M584" s="37">
        <v>43</v>
      </c>
      <c r="N584" s="37">
        <v>47</v>
      </c>
    </row>
    <row r="585" spans="1:14">
      <c r="A585" s="30">
        <v>584</v>
      </c>
      <c r="B585" s="31">
        <v>40569</v>
      </c>
      <c r="C585" s="30">
        <v>14</v>
      </c>
      <c r="D585" s="37" t="s">
        <v>29</v>
      </c>
      <c r="E585" s="37" t="b">
        <v>0</v>
      </c>
      <c r="F585" s="37" t="s">
        <v>22</v>
      </c>
      <c r="G585" s="37" t="s">
        <v>10</v>
      </c>
      <c r="H585" s="37">
        <v>0.2</v>
      </c>
      <c r="I585" s="30">
        <v>0.22</v>
      </c>
      <c r="J585" s="37">
        <v>0.93</v>
      </c>
      <c r="K585" s="37">
        <v>0.36</v>
      </c>
      <c r="L585" s="37">
        <v>0</v>
      </c>
      <c r="M585" s="37">
        <v>36</v>
      </c>
      <c r="N585" s="37">
        <v>36</v>
      </c>
    </row>
    <row r="586" spans="1:14">
      <c r="A586" s="30">
        <v>585</v>
      </c>
      <c r="B586" s="31">
        <v>40569</v>
      </c>
      <c r="C586" s="30">
        <v>15</v>
      </c>
      <c r="D586" s="37" t="s">
        <v>29</v>
      </c>
      <c r="E586" s="37" t="b">
        <v>0</v>
      </c>
      <c r="F586" s="37" t="s">
        <v>22</v>
      </c>
      <c r="G586" s="37" t="s">
        <v>10</v>
      </c>
      <c r="H586" s="37">
        <v>0.18</v>
      </c>
      <c r="I586" s="30">
        <v>0.22</v>
      </c>
      <c r="J586" s="37">
        <v>0.93</v>
      </c>
      <c r="K586" s="37">
        <v>0.46</v>
      </c>
      <c r="L586" s="37">
        <v>1</v>
      </c>
      <c r="M586" s="37">
        <v>42</v>
      </c>
      <c r="N586" s="37">
        <v>43</v>
      </c>
    </row>
    <row r="587" spans="1:14">
      <c r="A587" s="30">
        <v>586</v>
      </c>
      <c r="B587" s="31">
        <v>40569</v>
      </c>
      <c r="C587" s="30">
        <v>16</v>
      </c>
      <c r="D587" s="37" t="s">
        <v>29</v>
      </c>
      <c r="E587" s="37" t="b">
        <v>0</v>
      </c>
      <c r="F587" s="37" t="s">
        <v>22</v>
      </c>
      <c r="G587" s="37" t="s">
        <v>11</v>
      </c>
      <c r="H587" s="37">
        <v>0.2</v>
      </c>
      <c r="I587" s="30">
        <v>0.22</v>
      </c>
      <c r="J587" s="37">
        <v>0.93</v>
      </c>
      <c r="K587" s="37">
        <v>0.33</v>
      </c>
      <c r="L587" s="37">
        <v>1</v>
      </c>
      <c r="M587" s="37">
        <v>35</v>
      </c>
      <c r="N587" s="37">
        <v>36</v>
      </c>
    </row>
    <row r="588" spans="1:14">
      <c r="A588" s="30">
        <v>587</v>
      </c>
      <c r="B588" s="31">
        <v>40569</v>
      </c>
      <c r="C588" s="30">
        <v>17</v>
      </c>
      <c r="D588" s="37" t="s">
        <v>29</v>
      </c>
      <c r="E588" s="37" t="b">
        <v>0</v>
      </c>
      <c r="F588" s="37" t="s">
        <v>22</v>
      </c>
      <c r="G588" s="37" t="s">
        <v>10</v>
      </c>
      <c r="H588" s="37">
        <v>0.18</v>
      </c>
      <c r="I588" s="30">
        <v>0.2</v>
      </c>
      <c r="J588" s="37">
        <v>0.93</v>
      </c>
      <c r="K588" s="37">
        <v>0.36</v>
      </c>
      <c r="L588" s="37">
        <v>0</v>
      </c>
      <c r="M588" s="37">
        <v>26</v>
      </c>
      <c r="N588" s="37">
        <v>26</v>
      </c>
    </row>
    <row r="589" spans="1:14">
      <c r="A589" s="30">
        <v>588</v>
      </c>
      <c r="B589" s="31">
        <v>40570</v>
      </c>
      <c r="C589" s="30">
        <v>16</v>
      </c>
      <c r="D589" s="37" t="s">
        <v>29</v>
      </c>
      <c r="E589" s="37" t="b">
        <v>0</v>
      </c>
      <c r="F589" s="37" t="s">
        <v>23</v>
      </c>
      <c r="G589" s="37" t="s">
        <v>8</v>
      </c>
      <c r="H589" s="37">
        <v>0.23</v>
      </c>
      <c r="I589" s="30">
        <v>0.22</v>
      </c>
      <c r="J589" s="37">
        <v>0.55000000000000004</v>
      </c>
      <c r="K589" s="37">
        <v>0.19</v>
      </c>
      <c r="L589" s="37">
        <v>1</v>
      </c>
      <c r="M589" s="37">
        <v>23</v>
      </c>
      <c r="N589" s="37">
        <v>24</v>
      </c>
    </row>
    <row r="590" spans="1:14">
      <c r="A590" s="30">
        <v>589</v>
      </c>
      <c r="B590" s="31">
        <v>40570</v>
      </c>
      <c r="C590" s="30">
        <v>17</v>
      </c>
      <c r="D590" s="37" t="s">
        <v>29</v>
      </c>
      <c r="E590" s="37" t="b">
        <v>0</v>
      </c>
      <c r="F590" s="37" t="s">
        <v>23</v>
      </c>
      <c r="G590" s="37" t="s">
        <v>8</v>
      </c>
      <c r="H590" s="37">
        <v>0.24</v>
      </c>
      <c r="I590" s="30">
        <v>0.22</v>
      </c>
      <c r="J590" s="37">
        <v>0.55000000000000004</v>
      </c>
      <c r="K590" s="37">
        <v>0.1</v>
      </c>
      <c r="L590" s="37">
        <v>2</v>
      </c>
      <c r="M590" s="37">
        <v>82</v>
      </c>
      <c r="N590" s="37">
        <v>84</v>
      </c>
    </row>
    <row r="591" spans="1:14">
      <c r="A591" s="30">
        <v>590</v>
      </c>
      <c r="B591" s="31">
        <v>40570</v>
      </c>
      <c r="C591" s="30">
        <v>18</v>
      </c>
      <c r="D591" s="37" t="s">
        <v>30</v>
      </c>
      <c r="E591" s="37" t="b">
        <v>0</v>
      </c>
      <c r="F591" s="37" t="s">
        <v>23</v>
      </c>
      <c r="G591" s="37" t="s">
        <v>8</v>
      </c>
      <c r="H591" s="37">
        <v>0.23</v>
      </c>
      <c r="I591" s="30">
        <v>0.2</v>
      </c>
      <c r="J591" s="37">
        <v>0.69</v>
      </c>
      <c r="K591" s="37">
        <v>0.09</v>
      </c>
      <c r="L591" s="37">
        <v>3</v>
      </c>
      <c r="M591" s="37">
        <v>101</v>
      </c>
      <c r="N591" s="37">
        <v>104</v>
      </c>
    </row>
    <row r="592" spans="1:14">
      <c r="A592" s="30">
        <v>591</v>
      </c>
      <c r="B592" s="31">
        <v>40570</v>
      </c>
      <c r="C592" s="30">
        <v>19</v>
      </c>
      <c r="D592" s="37" t="s">
        <v>30</v>
      </c>
      <c r="E592" s="37" t="b">
        <v>0</v>
      </c>
      <c r="F592" s="37" t="s">
        <v>23</v>
      </c>
      <c r="G592" s="37" t="s">
        <v>8</v>
      </c>
      <c r="H592" s="37">
        <v>0.23</v>
      </c>
      <c r="I592" s="30">
        <v>0.2</v>
      </c>
      <c r="J592" s="37">
        <v>0.69</v>
      </c>
      <c r="K592" s="37">
        <v>0.09</v>
      </c>
      <c r="L592" s="37">
        <v>3</v>
      </c>
      <c r="M592" s="37">
        <v>76</v>
      </c>
      <c r="N592" s="37">
        <v>79</v>
      </c>
    </row>
    <row r="593" spans="1:14">
      <c r="A593" s="30">
        <v>592</v>
      </c>
      <c r="B593" s="31">
        <v>40570</v>
      </c>
      <c r="C593" s="30">
        <v>20</v>
      </c>
      <c r="D593" s="37" t="s">
        <v>30</v>
      </c>
      <c r="E593" s="37" t="b">
        <v>0</v>
      </c>
      <c r="F593" s="37" t="s">
        <v>23</v>
      </c>
      <c r="G593" s="37" t="s">
        <v>8</v>
      </c>
      <c r="H593" s="37">
        <v>0.21</v>
      </c>
      <c r="I593" s="30">
        <v>0.18</v>
      </c>
      <c r="J593" s="37">
        <v>0.74</v>
      </c>
      <c r="K593" s="37">
        <v>0.09</v>
      </c>
      <c r="L593" s="37">
        <v>4</v>
      </c>
      <c r="M593" s="37">
        <v>55</v>
      </c>
      <c r="N593" s="37">
        <v>59</v>
      </c>
    </row>
    <row r="594" spans="1:14">
      <c r="A594" s="30">
        <v>593</v>
      </c>
      <c r="B594" s="31">
        <v>40570</v>
      </c>
      <c r="C594" s="30">
        <v>21</v>
      </c>
      <c r="D594" s="37" t="s">
        <v>30</v>
      </c>
      <c r="E594" s="37" t="b">
        <v>0</v>
      </c>
      <c r="F594" s="37" t="s">
        <v>23</v>
      </c>
      <c r="G594" s="37" t="s">
        <v>8</v>
      </c>
      <c r="H594" s="37">
        <v>0.21</v>
      </c>
      <c r="I594" s="30">
        <v>0.18</v>
      </c>
      <c r="J594" s="37">
        <v>0.74</v>
      </c>
      <c r="K594" s="37">
        <v>0.09</v>
      </c>
      <c r="L594" s="37">
        <v>2</v>
      </c>
      <c r="M594" s="37">
        <v>36</v>
      </c>
      <c r="N594" s="37">
        <v>38</v>
      </c>
    </row>
    <row r="595" spans="1:14">
      <c r="A595" s="30">
        <v>594</v>
      </c>
      <c r="B595" s="31">
        <v>40570</v>
      </c>
      <c r="C595" s="30">
        <v>22</v>
      </c>
      <c r="D595" s="37" t="s">
        <v>30</v>
      </c>
      <c r="E595" s="37" t="b">
        <v>0</v>
      </c>
      <c r="F595" s="37" t="s">
        <v>23</v>
      </c>
      <c r="G595" s="37" t="s">
        <v>8</v>
      </c>
      <c r="H595" s="37">
        <v>0.21</v>
      </c>
      <c r="I595" s="30">
        <v>0.18</v>
      </c>
      <c r="J595" s="37">
        <v>0.74</v>
      </c>
      <c r="K595" s="37">
        <v>0.09</v>
      </c>
      <c r="L595" s="37">
        <v>0</v>
      </c>
      <c r="M595" s="37">
        <v>27</v>
      </c>
      <c r="N595" s="37">
        <v>27</v>
      </c>
    </row>
    <row r="596" spans="1:14">
      <c r="A596" s="30">
        <v>595</v>
      </c>
      <c r="B596" s="31">
        <v>40570</v>
      </c>
      <c r="C596" s="30">
        <v>23</v>
      </c>
      <c r="D596" s="37" t="s">
        <v>30</v>
      </c>
      <c r="E596" s="37" t="b">
        <v>0</v>
      </c>
      <c r="F596" s="37" t="s">
        <v>23</v>
      </c>
      <c r="G596" s="37" t="s">
        <v>8</v>
      </c>
      <c r="H596" s="37">
        <v>0.2</v>
      </c>
      <c r="I596" s="30">
        <v>0.18</v>
      </c>
      <c r="J596" s="37">
        <v>0.8</v>
      </c>
      <c r="K596" s="37">
        <v>0.16</v>
      </c>
      <c r="L596" s="37">
        <v>0</v>
      </c>
      <c r="M596" s="37">
        <v>16</v>
      </c>
      <c r="N596" s="37">
        <v>16</v>
      </c>
    </row>
    <row r="597" spans="1:14">
      <c r="A597" s="30">
        <v>596</v>
      </c>
      <c r="B597" s="31">
        <v>40571</v>
      </c>
      <c r="C597" s="30">
        <v>0</v>
      </c>
      <c r="D597" s="37" t="s">
        <v>27</v>
      </c>
      <c r="E597" s="37" t="b">
        <v>0</v>
      </c>
      <c r="F597" s="37" t="s">
        <v>24</v>
      </c>
      <c r="G597" s="37" t="s">
        <v>9</v>
      </c>
      <c r="H597" s="37">
        <v>0.21</v>
      </c>
      <c r="I597" s="30">
        <v>0.2</v>
      </c>
      <c r="J597" s="37">
        <v>0.75</v>
      </c>
      <c r="K597" s="37">
        <v>0.13</v>
      </c>
      <c r="L597" s="37">
        <v>0</v>
      </c>
      <c r="M597" s="37">
        <v>9</v>
      </c>
      <c r="N597" s="37">
        <v>9</v>
      </c>
    </row>
    <row r="598" spans="1:14">
      <c r="A598" s="30">
        <v>597</v>
      </c>
      <c r="B598" s="31">
        <v>40571</v>
      </c>
      <c r="C598" s="30">
        <v>1</v>
      </c>
      <c r="D598" s="37" t="s">
        <v>27</v>
      </c>
      <c r="E598" s="37" t="b">
        <v>0</v>
      </c>
      <c r="F598" s="37" t="s">
        <v>24</v>
      </c>
      <c r="G598" s="37" t="s">
        <v>9</v>
      </c>
      <c r="H598" s="37">
        <v>0.21</v>
      </c>
      <c r="I598" s="30">
        <v>0.2</v>
      </c>
      <c r="J598" s="37">
        <v>0.75</v>
      </c>
      <c r="K598" s="37">
        <v>0.13</v>
      </c>
      <c r="L598" s="37">
        <v>1</v>
      </c>
      <c r="M598" s="37">
        <v>2</v>
      </c>
      <c r="N598" s="37">
        <v>3</v>
      </c>
    </row>
    <row r="599" spans="1:14">
      <c r="A599" s="30">
        <v>598</v>
      </c>
      <c r="B599" s="31">
        <v>40571</v>
      </c>
      <c r="C599" s="30">
        <v>2</v>
      </c>
      <c r="D599" s="37" t="s">
        <v>27</v>
      </c>
      <c r="E599" s="37" t="b">
        <v>0</v>
      </c>
      <c r="F599" s="37" t="s">
        <v>24</v>
      </c>
      <c r="G599" s="37" t="s">
        <v>9</v>
      </c>
      <c r="H599" s="37">
        <v>0.21</v>
      </c>
      <c r="I599" s="30">
        <v>0.2</v>
      </c>
      <c r="J599" s="37">
        <v>0.75</v>
      </c>
      <c r="K599" s="37">
        <v>0.16</v>
      </c>
      <c r="L599" s="37">
        <v>0</v>
      </c>
      <c r="M599" s="37">
        <v>2</v>
      </c>
      <c r="N599" s="37">
        <v>2</v>
      </c>
    </row>
    <row r="600" spans="1:14">
      <c r="A600" s="30">
        <v>599</v>
      </c>
      <c r="B600" s="31">
        <v>40571</v>
      </c>
      <c r="C600" s="30">
        <v>3</v>
      </c>
      <c r="D600" s="37" t="s">
        <v>27</v>
      </c>
      <c r="E600" s="37" t="b">
        <v>0</v>
      </c>
      <c r="F600" s="37" t="s">
        <v>24</v>
      </c>
      <c r="G600" s="37" t="s">
        <v>9</v>
      </c>
      <c r="H600" s="37">
        <v>0.23</v>
      </c>
      <c r="I600" s="30">
        <v>0.2</v>
      </c>
      <c r="J600" s="37">
        <v>0.75</v>
      </c>
      <c r="K600" s="37">
        <v>0.1</v>
      </c>
      <c r="L600" s="37">
        <v>1</v>
      </c>
      <c r="M600" s="37">
        <v>0</v>
      </c>
      <c r="N600" s="37">
        <v>1</v>
      </c>
    </row>
    <row r="601" spans="1:14">
      <c r="A601" s="30">
        <v>600</v>
      </c>
      <c r="B601" s="31">
        <v>40571</v>
      </c>
      <c r="C601" s="30">
        <v>5</v>
      </c>
      <c r="D601" s="37" t="s">
        <v>27</v>
      </c>
      <c r="E601" s="37" t="b">
        <v>0</v>
      </c>
      <c r="F601" s="37" t="s">
        <v>24</v>
      </c>
      <c r="G601" s="37" t="s">
        <v>9</v>
      </c>
      <c r="H601" s="37">
        <v>0.21</v>
      </c>
      <c r="I601" s="30">
        <v>0.18</v>
      </c>
      <c r="J601" s="37">
        <v>0.8</v>
      </c>
      <c r="K601" s="37">
        <v>0.1</v>
      </c>
      <c r="L601" s="37">
        <v>0</v>
      </c>
      <c r="M601" s="37">
        <v>4</v>
      </c>
      <c r="N601" s="37">
        <v>4</v>
      </c>
    </row>
    <row r="602" spans="1:14">
      <c r="A602" s="30">
        <v>601</v>
      </c>
      <c r="B602" s="31">
        <v>40571</v>
      </c>
      <c r="C602" s="30">
        <v>6</v>
      </c>
      <c r="D602" s="37" t="s">
        <v>28</v>
      </c>
      <c r="E602" s="37" t="b">
        <v>0</v>
      </c>
      <c r="F602" s="37" t="s">
        <v>24</v>
      </c>
      <c r="G602" s="37" t="s">
        <v>9</v>
      </c>
      <c r="H602" s="37">
        <v>0.2</v>
      </c>
      <c r="I602" s="30">
        <v>0.18</v>
      </c>
      <c r="J602" s="37">
        <v>0.8</v>
      </c>
      <c r="K602" s="37">
        <v>0.13</v>
      </c>
      <c r="L602" s="37">
        <v>0</v>
      </c>
      <c r="M602" s="37">
        <v>16</v>
      </c>
      <c r="N602" s="37">
        <v>16</v>
      </c>
    </row>
    <row r="603" spans="1:14">
      <c r="A603" s="30">
        <v>602</v>
      </c>
      <c r="B603" s="31">
        <v>40571</v>
      </c>
      <c r="C603" s="30">
        <v>7</v>
      </c>
      <c r="D603" s="37" t="s">
        <v>28</v>
      </c>
      <c r="E603" s="37" t="b">
        <v>0</v>
      </c>
      <c r="F603" s="37" t="s">
        <v>24</v>
      </c>
      <c r="G603" s="37" t="s">
        <v>9</v>
      </c>
      <c r="H603" s="37">
        <v>0.2</v>
      </c>
      <c r="I603" s="30">
        <v>0.16</v>
      </c>
      <c r="J603" s="37">
        <v>0.86</v>
      </c>
      <c r="K603" s="37">
        <v>0.09</v>
      </c>
      <c r="L603" s="37">
        <v>2</v>
      </c>
      <c r="M603" s="37">
        <v>58</v>
      </c>
      <c r="N603" s="37">
        <v>60</v>
      </c>
    </row>
    <row r="604" spans="1:14">
      <c r="A604" s="30">
        <v>603</v>
      </c>
      <c r="B604" s="31">
        <v>40571</v>
      </c>
      <c r="C604" s="30">
        <v>8</v>
      </c>
      <c r="D604" s="37" t="s">
        <v>28</v>
      </c>
      <c r="E604" s="37" t="b">
        <v>0</v>
      </c>
      <c r="F604" s="37" t="s">
        <v>24</v>
      </c>
      <c r="G604" s="37" t="s">
        <v>9</v>
      </c>
      <c r="H604" s="37">
        <v>0.2</v>
      </c>
      <c r="I604" s="30">
        <v>0.16</v>
      </c>
      <c r="J604" s="37">
        <v>0.86</v>
      </c>
      <c r="K604" s="37">
        <v>0.09</v>
      </c>
      <c r="L604" s="37">
        <v>2</v>
      </c>
      <c r="M604" s="37">
        <v>155</v>
      </c>
      <c r="N604" s="37">
        <v>157</v>
      </c>
    </row>
    <row r="605" spans="1:14">
      <c r="A605" s="30">
        <v>604</v>
      </c>
      <c r="B605" s="31">
        <v>40571</v>
      </c>
      <c r="C605" s="30">
        <v>9</v>
      </c>
      <c r="D605" s="37" t="s">
        <v>28</v>
      </c>
      <c r="E605" s="37" t="b">
        <v>0</v>
      </c>
      <c r="F605" s="37" t="s">
        <v>24</v>
      </c>
      <c r="G605" s="37" t="s">
        <v>10</v>
      </c>
      <c r="H605" s="37">
        <v>0.21</v>
      </c>
      <c r="I605" s="30">
        <v>0.18</v>
      </c>
      <c r="J605" s="37">
        <v>0.86</v>
      </c>
      <c r="K605" s="37">
        <v>0.09</v>
      </c>
      <c r="L605" s="37">
        <v>6</v>
      </c>
      <c r="M605" s="37">
        <v>95</v>
      </c>
      <c r="N605" s="37">
        <v>101</v>
      </c>
    </row>
    <row r="606" spans="1:14">
      <c r="A606" s="30">
        <v>605</v>
      </c>
      <c r="B606" s="31">
        <v>40571</v>
      </c>
      <c r="C606" s="30">
        <v>10</v>
      </c>
      <c r="D606" s="37" t="s">
        <v>28</v>
      </c>
      <c r="E606" s="37" t="b">
        <v>0</v>
      </c>
      <c r="F606" s="37" t="s">
        <v>24</v>
      </c>
      <c r="G606" s="37" t="s">
        <v>10</v>
      </c>
      <c r="H606" s="37">
        <v>0.21</v>
      </c>
      <c r="I606" s="30">
        <v>0.18</v>
      </c>
      <c r="J606" s="37">
        <v>0.86</v>
      </c>
      <c r="K606" s="37">
        <v>0.1</v>
      </c>
      <c r="L606" s="37">
        <v>0</v>
      </c>
      <c r="M606" s="37">
        <v>49</v>
      </c>
      <c r="N606" s="37">
        <v>49</v>
      </c>
    </row>
    <row r="607" spans="1:14">
      <c r="A607" s="30">
        <v>606</v>
      </c>
      <c r="B607" s="31">
        <v>40571</v>
      </c>
      <c r="C607" s="30">
        <v>11</v>
      </c>
      <c r="D607" s="37" t="s">
        <v>28</v>
      </c>
      <c r="E607" s="37" t="b">
        <v>0</v>
      </c>
      <c r="F607" s="37" t="s">
        <v>24</v>
      </c>
      <c r="G607" s="37" t="s">
        <v>10</v>
      </c>
      <c r="H607" s="37">
        <v>0.21</v>
      </c>
      <c r="I607" s="30">
        <v>0.18</v>
      </c>
      <c r="J607" s="37">
        <v>0.93</v>
      </c>
      <c r="K607" s="37">
        <v>0.1</v>
      </c>
      <c r="L607" s="37">
        <v>0</v>
      </c>
      <c r="M607" s="37">
        <v>30</v>
      </c>
      <c r="N607" s="37">
        <v>30</v>
      </c>
    </row>
    <row r="608" spans="1:14">
      <c r="A608" s="30">
        <v>607</v>
      </c>
      <c r="B608" s="31">
        <v>40571</v>
      </c>
      <c r="C608" s="30">
        <v>12</v>
      </c>
      <c r="D608" s="37" t="s">
        <v>29</v>
      </c>
      <c r="E608" s="37" t="b">
        <v>0</v>
      </c>
      <c r="F608" s="37" t="s">
        <v>24</v>
      </c>
      <c r="G608" s="37" t="s">
        <v>10</v>
      </c>
      <c r="H608" s="37">
        <v>0.21</v>
      </c>
      <c r="I608" s="30">
        <v>0.18</v>
      </c>
      <c r="J608" s="37">
        <v>0.93</v>
      </c>
      <c r="K608" s="37">
        <v>0.1</v>
      </c>
      <c r="L608" s="37">
        <v>1</v>
      </c>
      <c r="M608" s="37">
        <v>28</v>
      </c>
      <c r="N608" s="37">
        <v>29</v>
      </c>
    </row>
    <row r="609" spans="1:14">
      <c r="A609" s="30">
        <v>608</v>
      </c>
      <c r="B609" s="31">
        <v>40571</v>
      </c>
      <c r="C609" s="30">
        <v>13</v>
      </c>
      <c r="D609" s="37" t="s">
        <v>29</v>
      </c>
      <c r="E609" s="37" t="b">
        <v>0</v>
      </c>
      <c r="F609" s="37" t="s">
        <v>24</v>
      </c>
      <c r="G609" s="37" t="s">
        <v>10</v>
      </c>
      <c r="H609" s="37">
        <v>0.21</v>
      </c>
      <c r="I609" s="30">
        <v>0.18</v>
      </c>
      <c r="J609" s="37">
        <v>0.93</v>
      </c>
      <c r="K609" s="37">
        <v>0.1</v>
      </c>
      <c r="L609" s="37">
        <v>0</v>
      </c>
      <c r="M609" s="37">
        <v>31</v>
      </c>
      <c r="N609" s="37">
        <v>31</v>
      </c>
    </row>
    <row r="610" spans="1:14">
      <c r="A610" s="30">
        <v>609</v>
      </c>
      <c r="B610" s="31">
        <v>40571</v>
      </c>
      <c r="C610" s="30">
        <v>14</v>
      </c>
      <c r="D610" s="37" t="s">
        <v>29</v>
      </c>
      <c r="E610" s="37" t="b">
        <v>0</v>
      </c>
      <c r="F610" s="37" t="s">
        <v>24</v>
      </c>
      <c r="G610" s="37" t="s">
        <v>10</v>
      </c>
      <c r="H610" s="37">
        <v>0.27</v>
      </c>
      <c r="I610" s="30">
        <v>0.22</v>
      </c>
      <c r="J610" s="37">
        <v>0.8</v>
      </c>
      <c r="K610" s="37">
        <v>0</v>
      </c>
      <c r="L610" s="37">
        <v>2</v>
      </c>
      <c r="M610" s="37">
        <v>36</v>
      </c>
      <c r="N610" s="37">
        <v>38</v>
      </c>
    </row>
    <row r="611" spans="1:14">
      <c r="A611" s="30">
        <v>610</v>
      </c>
      <c r="B611" s="31">
        <v>40571</v>
      </c>
      <c r="C611" s="30">
        <v>15</v>
      </c>
      <c r="D611" s="37" t="s">
        <v>29</v>
      </c>
      <c r="E611" s="37" t="b">
        <v>0</v>
      </c>
      <c r="F611" s="37" t="s">
        <v>24</v>
      </c>
      <c r="G611" s="37" t="s">
        <v>9</v>
      </c>
      <c r="H611" s="37">
        <v>0.26</v>
      </c>
      <c r="I611" s="30">
        <v>0.2</v>
      </c>
      <c r="J611" s="37">
        <v>0.86</v>
      </c>
      <c r="K611" s="37">
        <v>0</v>
      </c>
      <c r="L611" s="37">
        <v>1</v>
      </c>
      <c r="M611" s="37">
        <v>40</v>
      </c>
      <c r="N611" s="37">
        <v>41</v>
      </c>
    </row>
    <row r="612" spans="1:14">
      <c r="A612" s="30">
        <v>611</v>
      </c>
      <c r="B612" s="31">
        <v>40571</v>
      </c>
      <c r="C612" s="30">
        <v>16</v>
      </c>
      <c r="D612" s="37" t="s">
        <v>29</v>
      </c>
      <c r="E612" s="37" t="b">
        <v>0</v>
      </c>
      <c r="F612" s="37" t="s">
        <v>24</v>
      </c>
      <c r="G612" s="37" t="s">
        <v>8</v>
      </c>
      <c r="H612" s="37">
        <v>0.27</v>
      </c>
      <c r="I612" s="30">
        <v>0.22</v>
      </c>
      <c r="J612" s="37">
        <v>0.8</v>
      </c>
      <c r="K612" s="37">
        <v>0</v>
      </c>
      <c r="L612" s="37">
        <v>10</v>
      </c>
      <c r="M612" s="37">
        <v>70</v>
      </c>
      <c r="N612" s="37">
        <v>80</v>
      </c>
    </row>
    <row r="613" spans="1:14">
      <c r="A613" s="30">
        <v>612</v>
      </c>
      <c r="B613" s="31">
        <v>40571</v>
      </c>
      <c r="C613" s="30">
        <v>17</v>
      </c>
      <c r="D613" s="37" t="s">
        <v>29</v>
      </c>
      <c r="E613" s="37" t="b">
        <v>0</v>
      </c>
      <c r="F613" s="37" t="s">
        <v>24</v>
      </c>
      <c r="G613" s="37" t="s">
        <v>8</v>
      </c>
      <c r="H613" s="37">
        <v>0.24</v>
      </c>
      <c r="I613" s="30">
        <v>0.24</v>
      </c>
      <c r="J613" s="37">
        <v>0.75</v>
      </c>
      <c r="K613" s="37">
        <v>0.13</v>
      </c>
      <c r="L613" s="37">
        <v>2</v>
      </c>
      <c r="M613" s="37">
        <v>147</v>
      </c>
      <c r="N613" s="37">
        <v>149</v>
      </c>
    </row>
    <row r="614" spans="1:14">
      <c r="A614" s="30">
        <v>613</v>
      </c>
      <c r="B614" s="31">
        <v>40571</v>
      </c>
      <c r="C614" s="30">
        <v>18</v>
      </c>
      <c r="D614" s="37" t="s">
        <v>30</v>
      </c>
      <c r="E614" s="37" t="b">
        <v>0</v>
      </c>
      <c r="F614" s="37" t="s">
        <v>24</v>
      </c>
      <c r="G614" s="37" t="s">
        <v>8</v>
      </c>
      <c r="H614" s="37">
        <v>0.23</v>
      </c>
      <c r="I614" s="30">
        <v>0.24</v>
      </c>
      <c r="J614" s="37">
        <v>0.75</v>
      </c>
      <c r="K614" s="37">
        <v>0.19</v>
      </c>
      <c r="L614" s="37">
        <v>2</v>
      </c>
      <c r="M614" s="37">
        <v>107</v>
      </c>
      <c r="N614" s="37">
        <v>109</v>
      </c>
    </row>
    <row r="615" spans="1:14">
      <c r="A615" s="30">
        <v>614</v>
      </c>
      <c r="B615" s="31">
        <v>40571</v>
      </c>
      <c r="C615" s="30">
        <v>19</v>
      </c>
      <c r="D615" s="37" t="s">
        <v>30</v>
      </c>
      <c r="E615" s="37" t="b">
        <v>0</v>
      </c>
      <c r="F615" s="37" t="s">
        <v>24</v>
      </c>
      <c r="G615" s="37" t="s">
        <v>9</v>
      </c>
      <c r="H615" s="37">
        <v>0.24</v>
      </c>
      <c r="I615" s="30">
        <v>0.24</v>
      </c>
      <c r="J615" s="37">
        <v>0.75</v>
      </c>
      <c r="K615" s="37">
        <v>0.13</v>
      </c>
      <c r="L615" s="37">
        <v>5</v>
      </c>
      <c r="M615" s="37">
        <v>84</v>
      </c>
      <c r="N615" s="37">
        <v>89</v>
      </c>
    </row>
    <row r="616" spans="1:14">
      <c r="A616" s="30">
        <v>615</v>
      </c>
      <c r="B616" s="31">
        <v>40571</v>
      </c>
      <c r="C616" s="30">
        <v>20</v>
      </c>
      <c r="D616" s="37" t="s">
        <v>30</v>
      </c>
      <c r="E616" s="37" t="b">
        <v>0</v>
      </c>
      <c r="F616" s="37" t="s">
        <v>24</v>
      </c>
      <c r="G616" s="37" t="s">
        <v>9</v>
      </c>
      <c r="H616" s="37">
        <v>0.23</v>
      </c>
      <c r="I616" s="30">
        <v>0.24</v>
      </c>
      <c r="J616" s="37">
        <v>0.7</v>
      </c>
      <c r="K616" s="37">
        <v>0.19</v>
      </c>
      <c r="L616" s="37">
        <v>1</v>
      </c>
      <c r="M616" s="37">
        <v>61</v>
      </c>
      <c r="N616" s="37">
        <v>62</v>
      </c>
    </row>
    <row r="617" spans="1:14">
      <c r="A617" s="30">
        <v>616</v>
      </c>
      <c r="B617" s="31">
        <v>40571</v>
      </c>
      <c r="C617" s="30">
        <v>21</v>
      </c>
      <c r="D617" s="37" t="s">
        <v>30</v>
      </c>
      <c r="E617" s="37" t="b">
        <v>0</v>
      </c>
      <c r="F617" s="37" t="s">
        <v>24</v>
      </c>
      <c r="G617" s="37" t="s">
        <v>9</v>
      </c>
      <c r="H617" s="37">
        <v>0.23</v>
      </c>
      <c r="I617" s="30">
        <v>0.22</v>
      </c>
      <c r="J617" s="37">
        <v>0.75</v>
      </c>
      <c r="K617" s="37">
        <v>0.13</v>
      </c>
      <c r="L617" s="37">
        <v>1</v>
      </c>
      <c r="M617" s="37">
        <v>57</v>
      </c>
      <c r="N617" s="37">
        <v>58</v>
      </c>
    </row>
    <row r="618" spans="1:14">
      <c r="A618" s="30">
        <v>617</v>
      </c>
      <c r="B618" s="31">
        <v>40571</v>
      </c>
      <c r="C618" s="30">
        <v>22</v>
      </c>
      <c r="D618" s="37" t="s">
        <v>30</v>
      </c>
      <c r="E618" s="37" t="b">
        <v>0</v>
      </c>
      <c r="F618" s="37" t="s">
        <v>24</v>
      </c>
      <c r="G618" s="37" t="s">
        <v>8</v>
      </c>
      <c r="H618" s="37">
        <v>0.21</v>
      </c>
      <c r="I618" s="30">
        <v>0.24</v>
      </c>
      <c r="J618" s="37">
        <v>0.65</v>
      </c>
      <c r="K618" s="37">
        <v>0.36</v>
      </c>
      <c r="L618" s="37">
        <v>0</v>
      </c>
      <c r="M618" s="37">
        <v>26</v>
      </c>
      <c r="N618" s="37">
        <v>26</v>
      </c>
    </row>
    <row r="619" spans="1:14">
      <c r="A619" s="30">
        <v>618</v>
      </c>
      <c r="B619" s="31">
        <v>40571</v>
      </c>
      <c r="C619" s="30">
        <v>23</v>
      </c>
      <c r="D619" s="37" t="s">
        <v>30</v>
      </c>
      <c r="E619" s="37" t="b">
        <v>0</v>
      </c>
      <c r="F619" s="37" t="s">
        <v>24</v>
      </c>
      <c r="G619" s="37" t="s">
        <v>8</v>
      </c>
      <c r="H619" s="37">
        <v>0.23</v>
      </c>
      <c r="I619" s="30">
        <v>0.24</v>
      </c>
      <c r="J619" s="37">
        <v>0.6</v>
      </c>
      <c r="K619" s="37">
        <v>0.22</v>
      </c>
      <c r="L619" s="37">
        <v>1</v>
      </c>
      <c r="M619" s="37">
        <v>22</v>
      </c>
      <c r="N619" s="37">
        <v>23</v>
      </c>
    </row>
    <row r="620" spans="1:14">
      <c r="A620" s="30">
        <v>619</v>
      </c>
      <c r="B620" s="31">
        <v>40572</v>
      </c>
      <c r="C620" s="30">
        <v>0</v>
      </c>
      <c r="D620" s="37" t="s">
        <v>27</v>
      </c>
      <c r="E620" s="37" t="b">
        <v>0</v>
      </c>
      <c r="F620" s="37" t="s">
        <v>25</v>
      </c>
      <c r="G620" s="37" t="s">
        <v>8</v>
      </c>
      <c r="H620" s="37">
        <v>0.2</v>
      </c>
      <c r="I620" s="30">
        <v>0.22</v>
      </c>
      <c r="J620" s="37">
        <v>0.64</v>
      </c>
      <c r="K620" s="37">
        <v>0.36</v>
      </c>
      <c r="L620" s="37">
        <v>2</v>
      </c>
      <c r="M620" s="37">
        <v>26</v>
      </c>
      <c r="N620" s="37">
        <v>28</v>
      </c>
    </row>
    <row r="621" spans="1:14">
      <c r="A621" s="30">
        <v>620</v>
      </c>
      <c r="B621" s="31">
        <v>40572</v>
      </c>
      <c r="C621" s="30">
        <v>1</v>
      </c>
      <c r="D621" s="37" t="s">
        <v>27</v>
      </c>
      <c r="E621" s="37" t="b">
        <v>0</v>
      </c>
      <c r="F621" s="37" t="s">
        <v>25</v>
      </c>
      <c r="G621" s="37" t="s">
        <v>8</v>
      </c>
      <c r="H621" s="37">
        <v>0.23</v>
      </c>
      <c r="I621" s="30">
        <v>0.22</v>
      </c>
      <c r="J621" s="37">
        <v>0.64</v>
      </c>
      <c r="K621" s="37">
        <v>0.19</v>
      </c>
      <c r="L621" s="37">
        <v>0</v>
      </c>
      <c r="M621" s="37">
        <v>20</v>
      </c>
      <c r="N621" s="37">
        <v>20</v>
      </c>
    </row>
    <row r="622" spans="1:14">
      <c r="A622" s="30">
        <v>621</v>
      </c>
      <c r="B622" s="31">
        <v>40572</v>
      </c>
      <c r="C622" s="30">
        <v>2</v>
      </c>
      <c r="D622" s="37" t="s">
        <v>27</v>
      </c>
      <c r="E622" s="37" t="b">
        <v>0</v>
      </c>
      <c r="F622" s="37" t="s">
        <v>25</v>
      </c>
      <c r="G622" s="37" t="s">
        <v>8</v>
      </c>
      <c r="H622" s="37">
        <v>0.23</v>
      </c>
      <c r="I622" s="30">
        <v>0.22</v>
      </c>
      <c r="J622" s="37">
        <v>0.64</v>
      </c>
      <c r="K622" s="37">
        <v>0.16</v>
      </c>
      <c r="L622" s="37">
        <v>0</v>
      </c>
      <c r="M622" s="37">
        <v>15</v>
      </c>
      <c r="N622" s="37">
        <v>15</v>
      </c>
    </row>
    <row r="623" spans="1:14">
      <c r="A623" s="30">
        <v>622</v>
      </c>
      <c r="B623" s="31">
        <v>40572</v>
      </c>
      <c r="C623" s="30">
        <v>3</v>
      </c>
      <c r="D623" s="37" t="s">
        <v>27</v>
      </c>
      <c r="E623" s="37" t="b">
        <v>0</v>
      </c>
      <c r="F623" s="37" t="s">
        <v>25</v>
      </c>
      <c r="G623" s="37" t="s">
        <v>8</v>
      </c>
      <c r="H623" s="37">
        <v>0.21</v>
      </c>
      <c r="I623" s="30">
        <v>0.2</v>
      </c>
      <c r="J623" s="37">
        <v>0.64</v>
      </c>
      <c r="K623" s="37">
        <v>0.13</v>
      </c>
      <c r="L623" s="37">
        <v>3</v>
      </c>
      <c r="M623" s="37">
        <v>5</v>
      </c>
      <c r="N623" s="37">
        <v>8</v>
      </c>
    </row>
    <row r="624" spans="1:14">
      <c r="A624" s="30">
        <v>623</v>
      </c>
      <c r="B624" s="31">
        <v>40572</v>
      </c>
      <c r="C624" s="30">
        <v>4</v>
      </c>
      <c r="D624" s="37" t="s">
        <v>27</v>
      </c>
      <c r="E624" s="37" t="b">
        <v>0</v>
      </c>
      <c r="F624" s="37" t="s">
        <v>25</v>
      </c>
      <c r="G624" s="37" t="s">
        <v>8</v>
      </c>
      <c r="H624" s="37">
        <v>0.18</v>
      </c>
      <c r="I624" s="30">
        <v>0.16</v>
      </c>
      <c r="J624" s="37">
        <v>0.69</v>
      </c>
      <c r="K624" s="37">
        <v>0.1</v>
      </c>
      <c r="L624" s="37">
        <v>1</v>
      </c>
      <c r="M624" s="37">
        <v>2</v>
      </c>
      <c r="N624" s="37">
        <v>3</v>
      </c>
    </row>
    <row r="625" spans="1:14">
      <c r="A625" s="30">
        <v>624</v>
      </c>
      <c r="B625" s="31">
        <v>40572</v>
      </c>
      <c r="C625" s="30">
        <v>6</v>
      </c>
      <c r="D625" s="37" t="s">
        <v>28</v>
      </c>
      <c r="E625" s="37" t="b">
        <v>0</v>
      </c>
      <c r="F625" s="37" t="s">
        <v>25</v>
      </c>
      <c r="G625" s="37" t="s">
        <v>8</v>
      </c>
      <c r="H625" s="37">
        <v>0.18</v>
      </c>
      <c r="I625" s="30">
        <v>0.16</v>
      </c>
      <c r="J625" s="37">
        <v>0.64</v>
      </c>
      <c r="K625" s="37">
        <v>0.13</v>
      </c>
      <c r="L625" s="37">
        <v>0</v>
      </c>
      <c r="M625" s="37">
        <v>2</v>
      </c>
      <c r="N625" s="37">
        <v>2</v>
      </c>
    </row>
    <row r="626" spans="1:14">
      <c r="A626" s="30">
        <v>625</v>
      </c>
      <c r="B626" s="31">
        <v>40572</v>
      </c>
      <c r="C626" s="30">
        <v>7</v>
      </c>
      <c r="D626" s="37" t="s">
        <v>28</v>
      </c>
      <c r="E626" s="37" t="b">
        <v>0</v>
      </c>
      <c r="F626" s="37" t="s">
        <v>25</v>
      </c>
      <c r="G626" s="37" t="s">
        <v>8</v>
      </c>
      <c r="H626" s="37">
        <v>0.18</v>
      </c>
      <c r="I626" s="30">
        <v>0.16</v>
      </c>
      <c r="J626" s="37">
        <v>0.59</v>
      </c>
      <c r="K626" s="37">
        <v>0.1</v>
      </c>
      <c r="L626" s="37">
        <v>1</v>
      </c>
      <c r="M626" s="37">
        <v>4</v>
      </c>
      <c r="N626" s="37">
        <v>5</v>
      </c>
    </row>
    <row r="627" spans="1:14">
      <c r="A627" s="30">
        <v>626</v>
      </c>
      <c r="B627" s="31">
        <v>40572</v>
      </c>
      <c r="C627" s="30">
        <v>8</v>
      </c>
      <c r="D627" s="37" t="s">
        <v>28</v>
      </c>
      <c r="E627" s="37" t="b">
        <v>0</v>
      </c>
      <c r="F627" s="37" t="s">
        <v>25</v>
      </c>
      <c r="G627" s="37" t="s">
        <v>8</v>
      </c>
      <c r="H627" s="37">
        <v>0.2</v>
      </c>
      <c r="I627" s="30">
        <v>0.18</v>
      </c>
      <c r="J627" s="37">
        <v>0.55000000000000004</v>
      </c>
      <c r="K627" s="37">
        <v>0.16</v>
      </c>
      <c r="L627" s="37">
        <v>3</v>
      </c>
      <c r="M627" s="37">
        <v>31</v>
      </c>
      <c r="N627" s="37">
        <v>34</v>
      </c>
    </row>
    <row r="628" spans="1:14">
      <c r="A628" s="30">
        <v>627</v>
      </c>
      <c r="B628" s="31">
        <v>40572</v>
      </c>
      <c r="C628" s="30">
        <v>9</v>
      </c>
      <c r="D628" s="37" t="s">
        <v>28</v>
      </c>
      <c r="E628" s="37" t="b">
        <v>0</v>
      </c>
      <c r="F628" s="37" t="s">
        <v>25</v>
      </c>
      <c r="G628" s="37" t="s">
        <v>8</v>
      </c>
      <c r="H628" s="37">
        <v>0.21</v>
      </c>
      <c r="I628" s="30">
        <v>0.18</v>
      </c>
      <c r="J628" s="37">
        <v>0.59</v>
      </c>
      <c r="K628" s="37">
        <v>0.09</v>
      </c>
      <c r="L628" s="37">
        <v>0</v>
      </c>
      <c r="M628" s="37">
        <v>34</v>
      </c>
      <c r="N628" s="37">
        <v>34</v>
      </c>
    </row>
    <row r="629" spans="1:14">
      <c r="A629" s="30">
        <v>628</v>
      </c>
      <c r="B629" s="31">
        <v>40572</v>
      </c>
      <c r="C629" s="30">
        <v>10</v>
      </c>
      <c r="D629" s="37" t="s">
        <v>28</v>
      </c>
      <c r="E629" s="37" t="b">
        <v>0</v>
      </c>
      <c r="F629" s="37" t="s">
        <v>25</v>
      </c>
      <c r="G629" s="37" t="s">
        <v>9</v>
      </c>
      <c r="H629" s="37">
        <v>0.21</v>
      </c>
      <c r="I629" s="30">
        <v>0.18</v>
      </c>
      <c r="J629" s="37">
        <v>0.64</v>
      </c>
      <c r="K629" s="37">
        <v>0.1</v>
      </c>
      <c r="L629" s="37">
        <v>4</v>
      </c>
      <c r="M629" s="37">
        <v>51</v>
      </c>
      <c r="N629" s="37">
        <v>55</v>
      </c>
    </row>
    <row r="630" spans="1:14">
      <c r="A630" s="30">
        <v>629</v>
      </c>
      <c r="B630" s="31">
        <v>40572</v>
      </c>
      <c r="C630" s="30">
        <v>11</v>
      </c>
      <c r="D630" s="37" t="s">
        <v>28</v>
      </c>
      <c r="E630" s="37" t="b">
        <v>0</v>
      </c>
      <c r="F630" s="37" t="s">
        <v>25</v>
      </c>
      <c r="G630" s="37" t="s">
        <v>9</v>
      </c>
      <c r="H630" s="37">
        <v>0.2</v>
      </c>
      <c r="I630" s="30">
        <v>0.18</v>
      </c>
      <c r="J630" s="37">
        <v>0.64</v>
      </c>
      <c r="K630" s="37">
        <v>0.13</v>
      </c>
      <c r="L630" s="37">
        <v>4</v>
      </c>
      <c r="M630" s="37">
        <v>60</v>
      </c>
      <c r="N630" s="37">
        <v>64</v>
      </c>
    </row>
    <row r="631" spans="1:14">
      <c r="A631" s="30">
        <v>630</v>
      </c>
      <c r="B631" s="31">
        <v>40572</v>
      </c>
      <c r="C631" s="30">
        <v>12</v>
      </c>
      <c r="D631" s="37" t="s">
        <v>29</v>
      </c>
      <c r="E631" s="37" t="b">
        <v>0</v>
      </c>
      <c r="F631" s="37" t="s">
        <v>25</v>
      </c>
      <c r="G631" s="37" t="s">
        <v>9</v>
      </c>
      <c r="H631" s="37">
        <v>0.2</v>
      </c>
      <c r="I631" s="30">
        <v>0.2</v>
      </c>
      <c r="J631" s="37">
        <v>0.59</v>
      </c>
      <c r="K631" s="37">
        <v>0.19</v>
      </c>
      <c r="L631" s="37">
        <v>12</v>
      </c>
      <c r="M631" s="37">
        <v>66</v>
      </c>
      <c r="N631" s="37">
        <v>78</v>
      </c>
    </row>
    <row r="632" spans="1:14">
      <c r="A632" s="30">
        <v>631</v>
      </c>
      <c r="B632" s="31">
        <v>40572</v>
      </c>
      <c r="C632" s="30">
        <v>13</v>
      </c>
      <c r="D632" s="37" t="s">
        <v>29</v>
      </c>
      <c r="E632" s="37" t="b">
        <v>0</v>
      </c>
      <c r="F632" s="37" t="s">
        <v>25</v>
      </c>
      <c r="G632" s="37" t="s">
        <v>9</v>
      </c>
      <c r="H632" s="37">
        <v>0.23</v>
      </c>
      <c r="I632" s="30">
        <v>0.22</v>
      </c>
      <c r="J632" s="37">
        <v>0.55000000000000004</v>
      </c>
      <c r="K632" s="37">
        <v>0.16</v>
      </c>
      <c r="L632" s="37">
        <v>9</v>
      </c>
      <c r="M632" s="37">
        <v>56</v>
      </c>
      <c r="N632" s="37">
        <v>65</v>
      </c>
    </row>
    <row r="633" spans="1:14">
      <c r="A633" s="30">
        <v>632</v>
      </c>
      <c r="B633" s="31">
        <v>40572</v>
      </c>
      <c r="C633" s="30">
        <v>14</v>
      </c>
      <c r="D633" s="37" t="s">
        <v>29</v>
      </c>
      <c r="E633" s="37" t="b">
        <v>0</v>
      </c>
      <c r="F633" s="37" t="s">
        <v>25</v>
      </c>
      <c r="G633" s="37" t="s">
        <v>9</v>
      </c>
      <c r="H633" s="37">
        <v>0.23</v>
      </c>
      <c r="I633" s="30">
        <v>0.22</v>
      </c>
      <c r="J633" s="37">
        <v>0.6</v>
      </c>
      <c r="K633" s="37">
        <v>0.13</v>
      </c>
      <c r="L633" s="37">
        <v>10</v>
      </c>
      <c r="M633" s="37">
        <v>89</v>
      </c>
      <c r="N633" s="37">
        <v>99</v>
      </c>
    </row>
    <row r="634" spans="1:14">
      <c r="A634" s="30">
        <v>633</v>
      </c>
      <c r="B634" s="31">
        <v>40572</v>
      </c>
      <c r="C634" s="30">
        <v>15</v>
      </c>
      <c r="D634" s="37" t="s">
        <v>29</v>
      </c>
      <c r="E634" s="37" t="b">
        <v>0</v>
      </c>
      <c r="F634" s="37" t="s">
        <v>25</v>
      </c>
      <c r="G634" s="37" t="s">
        <v>8</v>
      </c>
      <c r="H634" s="37">
        <v>0.21</v>
      </c>
      <c r="I634" s="30">
        <v>0.22</v>
      </c>
      <c r="J634" s="37">
        <v>0.69</v>
      </c>
      <c r="K634" s="37">
        <v>0.25</v>
      </c>
      <c r="L634" s="37">
        <v>22</v>
      </c>
      <c r="M634" s="37">
        <v>98</v>
      </c>
      <c r="N634" s="37">
        <v>120</v>
      </c>
    </row>
    <row r="635" spans="1:14">
      <c r="A635" s="30">
        <v>634</v>
      </c>
      <c r="B635" s="31">
        <v>40572</v>
      </c>
      <c r="C635" s="30">
        <v>16</v>
      </c>
      <c r="D635" s="37" t="s">
        <v>29</v>
      </c>
      <c r="E635" s="37" t="b">
        <v>0</v>
      </c>
      <c r="F635" s="37" t="s">
        <v>25</v>
      </c>
      <c r="G635" s="37" t="s">
        <v>8</v>
      </c>
      <c r="H635" s="37">
        <v>0.24</v>
      </c>
      <c r="I635" s="30">
        <v>0.24</v>
      </c>
      <c r="J635" s="37">
        <v>0.6</v>
      </c>
      <c r="K635" s="37">
        <v>0.16</v>
      </c>
      <c r="L635" s="37">
        <v>19</v>
      </c>
      <c r="M635" s="37">
        <v>88</v>
      </c>
      <c r="N635" s="37">
        <v>107</v>
      </c>
    </row>
    <row r="636" spans="1:14">
      <c r="A636" s="30">
        <v>635</v>
      </c>
      <c r="B636" s="31">
        <v>40572</v>
      </c>
      <c r="C636" s="30">
        <v>17</v>
      </c>
      <c r="D636" s="37" t="s">
        <v>29</v>
      </c>
      <c r="E636" s="37" t="b">
        <v>0</v>
      </c>
      <c r="F636" s="37" t="s">
        <v>25</v>
      </c>
      <c r="G636" s="37" t="s">
        <v>8</v>
      </c>
      <c r="H636" s="37">
        <v>0.28999999999999998</v>
      </c>
      <c r="I636" s="30">
        <v>0.24</v>
      </c>
      <c r="J636" s="37">
        <v>0.6</v>
      </c>
      <c r="K636" s="37">
        <v>0</v>
      </c>
      <c r="L636" s="37">
        <v>9</v>
      </c>
      <c r="M636" s="37">
        <v>82</v>
      </c>
      <c r="N636" s="37">
        <v>91</v>
      </c>
    </row>
    <row r="637" spans="1:14">
      <c r="A637" s="30">
        <v>636</v>
      </c>
      <c r="B637" s="31">
        <v>40572</v>
      </c>
      <c r="C637" s="30">
        <v>18</v>
      </c>
      <c r="D637" s="37" t="s">
        <v>30</v>
      </c>
      <c r="E637" s="37" t="b">
        <v>0</v>
      </c>
      <c r="F637" s="37" t="s">
        <v>25</v>
      </c>
      <c r="G637" s="37" t="s">
        <v>8</v>
      </c>
      <c r="H637" s="37">
        <v>0.23</v>
      </c>
      <c r="I637" s="30">
        <v>0.22</v>
      </c>
      <c r="J637" s="37">
        <v>0.69</v>
      </c>
      <c r="K637" s="37">
        <v>0.13</v>
      </c>
      <c r="L637" s="37">
        <v>9</v>
      </c>
      <c r="M637" s="37">
        <v>59</v>
      </c>
      <c r="N637" s="37">
        <v>68</v>
      </c>
    </row>
    <row r="638" spans="1:14">
      <c r="A638" s="30">
        <v>637</v>
      </c>
      <c r="B638" s="31">
        <v>40572</v>
      </c>
      <c r="C638" s="30">
        <v>19</v>
      </c>
      <c r="D638" s="37" t="s">
        <v>30</v>
      </c>
      <c r="E638" s="37" t="b">
        <v>0</v>
      </c>
      <c r="F638" s="37" t="s">
        <v>25</v>
      </c>
      <c r="G638" s="37" t="s">
        <v>9</v>
      </c>
      <c r="H638" s="37">
        <v>0.21</v>
      </c>
      <c r="I638" s="30">
        <v>0.22</v>
      </c>
      <c r="J638" s="37">
        <v>0.69</v>
      </c>
      <c r="K638" s="37">
        <v>0.25</v>
      </c>
      <c r="L638" s="37">
        <v>6</v>
      </c>
      <c r="M638" s="37">
        <v>52</v>
      </c>
      <c r="N638" s="37">
        <v>58</v>
      </c>
    </row>
    <row r="639" spans="1:14">
      <c r="A639" s="30">
        <v>638</v>
      </c>
      <c r="B639" s="31">
        <v>40572</v>
      </c>
      <c r="C639" s="30">
        <v>20</v>
      </c>
      <c r="D639" s="37" t="s">
        <v>30</v>
      </c>
      <c r="E639" s="37" t="b">
        <v>0</v>
      </c>
      <c r="F639" s="37" t="s">
        <v>25</v>
      </c>
      <c r="G639" s="37" t="s">
        <v>8</v>
      </c>
      <c r="H639" s="37">
        <v>0.21</v>
      </c>
      <c r="I639" s="30">
        <v>0.18</v>
      </c>
      <c r="J639" s="37">
        <v>0.74</v>
      </c>
      <c r="K639" s="37">
        <v>0.09</v>
      </c>
      <c r="L639" s="37">
        <v>1</v>
      </c>
      <c r="M639" s="37">
        <v>42</v>
      </c>
      <c r="N639" s="37">
        <v>43</v>
      </c>
    </row>
    <row r="640" spans="1:14">
      <c r="A640" s="30">
        <v>639</v>
      </c>
      <c r="B640" s="31">
        <v>40572</v>
      </c>
      <c r="C640" s="30">
        <v>21</v>
      </c>
      <c r="D640" s="37" t="s">
        <v>30</v>
      </c>
      <c r="E640" s="37" t="b">
        <v>0</v>
      </c>
      <c r="F640" s="37" t="s">
        <v>25</v>
      </c>
      <c r="G640" s="37" t="s">
        <v>8</v>
      </c>
      <c r="H640" s="37">
        <v>0.21</v>
      </c>
      <c r="I640" s="30">
        <v>0.18</v>
      </c>
      <c r="J640" s="37">
        <v>0.74</v>
      </c>
      <c r="K640" s="37">
        <v>0.09</v>
      </c>
      <c r="L640" s="37">
        <v>1</v>
      </c>
      <c r="M640" s="37">
        <v>35</v>
      </c>
      <c r="N640" s="37">
        <v>36</v>
      </c>
    </row>
    <row r="641" spans="1:14">
      <c r="A641" s="30">
        <v>640</v>
      </c>
      <c r="B641" s="31">
        <v>40572</v>
      </c>
      <c r="C641" s="30">
        <v>22</v>
      </c>
      <c r="D641" s="37" t="s">
        <v>30</v>
      </c>
      <c r="E641" s="37" t="b">
        <v>0</v>
      </c>
      <c r="F641" s="37" t="s">
        <v>25</v>
      </c>
      <c r="G641" s="37" t="s">
        <v>8</v>
      </c>
      <c r="H641" s="37">
        <v>0.2</v>
      </c>
      <c r="I641" s="30">
        <v>0.16</v>
      </c>
      <c r="J641" s="37">
        <v>0.8</v>
      </c>
      <c r="K641" s="37">
        <v>0.09</v>
      </c>
      <c r="L641" s="37">
        <v>4</v>
      </c>
      <c r="M641" s="37">
        <v>28</v>
      </c>
      <c r="N641" s="37">
        <v>32</v>
      </c>
    </row>
    <row r="642" spans="1:14">
      <c r="A642" s="30">
        <v>641</v>
      </c>
      <c r="B642" s="31">
        <v>40572</v>
      </c>
      <c r="C642" s="30">
        <v>23</v>
      </c>
      <c r="D642" s="37" t="s">
        <v>30</v>
      </c>
      <c r="E642" s="37" t="b">
        <v>0</v>
      </c>
      <c r="F642" s="37" t="s">
        <v>25</v>
      </c>
      <c r="G642" s="37" t="s">
        <v>8</v>
      </c>
      <c r="H642" s="37">
        <v>0.2</v>
      </c>
      <c r="I642" s="30">
        <v>0.16</v>
      </c>
      <c r="J642" s="37">
        <v>0.8</v>
      </c>
      <c r="K642" s="37">
        <v>0.09</v>
      </c>
      <c r="L642" s="37">
        <v>3</v>
      </c>
      <c r="M642" s="37">
        <v>30</v>
      </c>
      <c r="N642" s="37">
        <v>33</v>
      </c>
    </row>
    <row r="643" spans="1:14">
      <c r="A643" s="30">
        <v>642</v>
      </c>
      <c r="B643" s="31">
        <v>40573</v>
      </c>
      <c r="C643" s="30">
        <v>0</v>
      </c>
      <c r="D643" s="37" t="s">
        <v>27</v>
      </c>
      <c r="E643" s="37" t="b">
        <v>0</v>
      </c>
      <c r="F643" s="37" t="s">
        <v>19</v>
      </c>
      <c r="G643" s="37" t="s">
        <v>8</v>
      </c>
      <c r="H643" s="37">
        <v>0.18</v>
      </c>
      <c r="I643" s="30">
        <v>0.16</v>
      </c>
      <c r="J643" s="37">
        <v>0.8</v>
      </c>
      <c r="K643" s="37">
        <v>0.1</v>
      </c>
      <c r="L643" s="37">
        <v>0</v>
      </c>
      <c r="M643" s="37">
        <v>33</v>
      </c>
      <c r="N643" s="37">
        <v>33</v>
      </c>
    </row>
    <row r="644" spans="1:14">
      <c r="A644" s="30">
        <v>643</v>
      </c>
      <c r="B644" s="31">
        <v>40573</v>
      </c>
      <c r="C644" s="30">
        <v>1</v>
      </c>
      <c r="D644" s="37" t="s">
        <v>27</v>
      </c>
      <c r="E644" s="37" t="b">
        <v>0</v>
      </c>
      <c r="F644" s="37" t="s">
        <v>19</v>
      </c>
      <c r="G644" s="37" t="s">
        <v>8</v>
      </c>
      <c r="H644" s="37">
        <v>0.21</v>
      </c>
      <c r="I644" s="30">
        <v>0.14000000000000001</v>
      </c>
      <c r="J644" s="37">
        <v>0.8</v>
      </c>
      <c r="K644" s="37">
        <v>0</v>
      </c>
      <c r="L644" s="37">
        <v>7</v>
      </c>
      <c r="M644" s="37">
        <v>22</v>
      </c>
      <c r="N644" s="37">
        <v>29</v>
      </c>
    </row>
    <row r="645" spans="1:14">
      <c r="A645" s="30">
        <v>644</v>
      </c>
      <c r="B645" s="31">
        <v>40573</v>
      </c>
      <c r="C645" s="30">
        <v>2</v>
      </c>
      <c r="D645" s="37" t="s">
        <v>27</v>
      </c>
      <c r="E645" s="37" t="b">
        <v>0</v>
      </c>
      <c r="F645" s="37" t="s">
        <v>19</v>
      </c>
      <c r="G645" s="37" t="s">
        <v>8</v>
      </c>
      <c r="H645" s="37">
        <v>0.23</v>
      </c>
      <c r="I645" s="30">
        <v>0.16</v>
      </c>
      <c r="J645" s="37">
        <v>0.8</v>
      </c>
      <c r="K645" s="37">
        <v>0</v>
      </c>
      <c r="L645" s="37">
        <v>1</v>
      </c>
      <c r="M645" s="37">
        <v>10</v>
      </c>
      <c r="N645" s="37">
        <v>11</v>
      </c>
    </row>
    <row r="646" spans="1:14">
      <c r="A646" s="30">
        <v>645</v>
      </c>
      <c r="B646" s="31">
        <v>40573</v>
      </c>
      <c r="C646" s="30">
        <v>3</v>
      </c>
      <c r="D646" s="37" t="s">
        <v>27</v>
      </c>
      <c r="E646" s="37" t="b">
        <v>0</v>
      </c>
      <c r="F646" s="37" t="s">
        <v>19</v>
      </c>
      <c r="G646" s="37" t="s">
        <v>8</v>
      </c>
      <c r="H646" s="37">
        <v>0.21</v>
      </c>
      <c r="I646" s="30">
        <v>0.14000000000000001</v>
      </c>
      <c r="J646" s="37">
        <v>0.93</v>
      </c>
      <c r="K646" s="37">
        <v>0</v>
      </c>
      <c r="L646" s="37">
        <v>1</v>
      </c>
      <c r="M646" s="37">
        <v>7</v>
      </c>
      <c r="N646" s="37">
        <v>8</v>
      </c>
    </row>
    <row r="647" spans="1:14">
      <c r="A647" s="30">
        <v>646</v>
      </c>
      <c r="B647" s="31">
        <v>40573</v>
      </c>
      <c r="C647" s="30">
        <v>4</v>
      </c>
      <c r="D647" s="37" t="s">
        <v>27</v>
      </c>
      <c r="E647" s="37" t="b">
        <v>0</v>
      </c>
      <c r="F647" s="37" t="s">
        <v>19</v>
      </c>
      <c r="G647" s="37" t="s">
        <v>8</v>
      </c>
      <c r="H647" s="37">
        <v>0.21</v>
      </c>
      <c r="I647" s="30">
        <v>0.14000000000000001</v>
      </c>
      <c r="J647" s="37">
        <v>0.93</v>
      </c>
      <c r="K647" s="37">
        <v>0</v>
      </c>
      <c r="L647" s="37">
        <v>0</v>
      </c>
      <c r="M647" s="37">
        <v>1</v>
      </c>
      <c r="N647" s="37">
        <v>1</v>
      </c>
    </row>
    <row r="648" spans="1:14">
      <c r="A648" s="30">
        <v>647</v>
      </c>
      <c r="B648" s="31">
        <v>40573</v>
      </c>
      <c r="C648" s="30">
        <v>5</v>
      </c>
      <c r="D648" s="37" t="s">
        <v>27</v>
      </c>
      <c r="E648" s="37" t="b">
        <v>0</v>
      </c>
      <c r="F648" s="37" t="s">
        <v>19</v>
      </c>
      <c r="G648" s="37" t="s">
        <v>8</v>
      </c>
      <c r="H648" s="37">
        <v>0.21</v>
      </c>
      <c r="I648" s="30">
        <v>0.14000000000000001</v>
      </c>
      <c r="J648" s="37">
        <v>0.86</v>
      </c>
      <c r="K648" s="37">
        <v>0</v>
      </c>
      <c r="L648" s="37">
        <v>0</v>
      </c>
      <c r="M648" s="37">
        <v>3</v>
      </c>
      <c r="N648" s="37">
        <v>3</v>
      </c>
    </row>
    <row r="649" spans="1:14">
      <c r="A649" s="30">
        <v>648</v>
      </c>
      <c r="B649" s="31">
        <v>40573</v>
      </c>
      <c r="C649" s="30">
        <v>7</v>
      </c>
      <c r="D649" s="37" t="s">
        <v>28</v>
      </c>
      <c r="E649" s="37" t="b">
        <v>0</v>
      </c>
      <c r="F649" s="37" t="s">
        <v>19</v>
      </c>
      <c r="G649" s="37" t="s">
        <v>8</v>
      </c>
      <c r="H649" s="37">
        <v>0.21</v>
      </c>
      <c r="I649" s="30">
        <v>0.14000000000000001</v>
      </c>
      <c r="J649" s="37">
        <v>0.86</v>
      </c>
      <c r="K649" s="37">
        <v>0</v>
      </c>
      <c r="L649" s="37">
        <v>0</v>
      </c>
      <c r="M649" s="37">
        <v>3</v>
      </c>
      <c r="N649" s="37">
        <v>3</v>
      </c>
    </row>
    <row r="650" spans="1:14">
      <c r="A650" s="30">
        <v>649</v>
      </c>
      <c r="B650" s="31">
        <v>40573</v>
      </c>
      <c r="C650" s="30">
        <v>8</v>
      </c>
      <c r="D650" s="37" t="s">
        <v>28</v>
      </c>
      <c r="E650" s="37" t="b">
        <v>0</v>
      </c>
      <c r="F650" s="37" t="s">
        <v>19</v>
      </c>
      <c r="G650" s="37" t="s">
        <v>9</v>
      </c>
      <c r="H650" s="37">
        <v>0.21</v>
      </c>
      <c r="I650" s="30">
        <v>0.14000000000000001</v>
      </c>
      <c r="J650" s="37">
        <v>0.86</v>
      </c>
      <c r="K650" s="37">
        <v>0</v>
      </c>
      <c r="L650" s="37">
        <v>1</v>
      </c>
      <c r="M650" s="37">
        <v>11</v>
      </c>
      <c r="N650" s="37">
        <v>12</v>
      </c>
    </row>
    <row r="651" spans="1:14">
      <c r="A651" s="30">
        <v>650</v>
      </c>
      <c r="B651" s="31">
        <v>40573</v>
      </c>
      <c r="C651" s="30">
        <v>9</v>
      </c>
      <c r="D651" s="37" t="s">
        <v>28</v>
      </c>
      <c r="E651" s="37" t="b">
        <v>0</v>
      </c>
      <c r="F651" s="37" t="s">
        <v>19</v>
      </c>
      <c r="G651" s="37" t="s">
        <v>9</v>
      </c>
      <c r="H651" s="37">
        <v>0.23</v>
      </c>
      <c r="I651" s="30">
        <v>0.16</v>
      </c>
      <c r="J651" s="37">
        <v>0.8</v>
      </c>
      <c r="K651" s="37">
        <v>0</v>
      </c>
      <c r="L651" s="37">
        <v>4</v>
      </c>
      <c r="M651" s="37">
        <v>34</v>
      </c>
      <c r="N651" s="37">
        <v>38</v>
      </c>
    </row>
    <row r="652" spans="1:14">
      <c r="A652" s="30">
        <v>651</v>
      </c>
      <c r="B652" s="31">
        <v>40573</v>
      </c>
      <c r="C652" s="30">
        <v>10</v>
      </c>
      <c r="D652" s="37" t="s">
        <v>28</v>
      </c>
      <c r="E652" s="37" t="b">
        <v>0</v>
      </c>
      <c r="F652" s="37" t="s">
        <v>19</v>
      </c>
      <c r="G652" s="37" t="s">
        <v>9</v>
      </c>
      <c r="H652" s="37">
        <v>0.24</v>
      </c>
      <c r="I652" s="30">
        <v>0.18</v>
      </c>
      <c r="J652" s="37">
        <v>0.8</v>
      </c>
      <c r="K652" s="37">
        <v>0</v>
      </c>
      <c r="L652" s="37">
        <v>7</v>
      </c>
      <c r="M652" s="37">
        <v>57</v>
      </c>
      <c r="N652" s="37">
        <v>64</v>
      </c>
    </row>
    <row r="653" spans="1:14">
      <c r="A653" s="30">
        <v>652</v>
      </c>
      <c r="B653" s="31">
        <v>40573</v>
      </c>
      <c r="C653" s="30">
        <v>11</v>
      </c>
      <c r="D653" s="37" t="s">
        <v>28</v>
      </c>
      <c r="E653" s="37" t="b">
        <v>0</v>
      </c>
      <c r="F653" s="37" t="s">
        <v>19</v>
      </c>
      <c r="G653" s="37" t="s">
        <v>8</v>
      </c>
      <c r="H653" s="37">
        <v>0.27</v>
      </c>
      <c r="I653" s="30">
        <v>0.22</v>
      </c>
      <c r="J653" s="37">
        <v>0.75</v>
      </c>
      <c r="K653" s="37">
        <v>0</v>
      </c>
      <c r="L653" s="37">
        <v>9</v>
      </c>
      <c r="M653" s="37">
        <v>50</v>
      </c>
      <c r="N653" s="37">
        <v>59</v>
      </c>
    </row>
    <row r="654" spans="1:14">
      <c r="A654" s="30">
        <v>653</v>
      </c>
      <c r="B654" s="31">
        <v>40573</v>
      </c>
      <c r="C654" s="30">
        <v>12</v>
      </c>
      <c r="D654" s="37" t="s">
        <v>29</v>
      </c>
      <c r="E654" s="37" t="b">
        <v>0</v>
      </c>
      <c r="F654" s="37" t="s">
        <v>19</v>
      </c>
      <c r="G654" s="37" t="s">
        <v>8</v>
      </c>
      <c r="H654" s="37">
        <v>0.32</v>
      </c>
      <c r="I654" s="30">
        <v>0.3</v>
      </c>
      <c r="J654" s="37">
        <v>0.52</v>
      </c>
      <c r="K654" s="37">
        <v>0.1</v>
      </c>
      <c r="L654" s="37">
        <v>10</v>
      </c>
      <c r="M654" s="37">
        <v>87</v>
      </c>
      <c r="N654" s="37">
        <v>97</v>
      </c>
    </row>
    <row r="655" spans="1:14">
      <c r="A655" s="30">
        <v>654</v>
      </c>
      <c r="B655" s="31">
        <v>40573</v>
      </c>
      <c r="C655" s="30">
        <v>13</v>
      </c>
      <c r="D655" s="37" t="s">
        <v>29</v>
      </c>
      <c r="E655" s="37" t="b">
        <v>0</v>
      </c>
      <c r="F655" s="37" t="s">
        <v>19</v>
      </c>
      <c r="G655" s="37" t="s">
        <v>8</v>
      </c>
      <c r="H655" s="37">
        <v>0.28999999999999998</v>
      </c>
      <c r="I655" s="30">
        <v>0.28000000000000003</v>
      </c>
      <c r="J655" s="37">
        <v>0.61</v>
      </c>
      <c r="K655" s="37">
        <v>0.1</v>
      </c>
      <c r="L655" s="37">
        <v>13</v>
      </c>
      <c r="M655" s="37">
        <v>71</v>
      </c>
      <c r="N655" s="37">
        <v>84</v>
      </c>
    </row>
    <row r="656" spans="1:14">
      <c r="A656" s="30">
        <v>655</v>
      </c>
      <c r="B656" s="31">
        <v>40573</v>
      </c>
      <c r="C656" s="30">
        <v>14</v>
      </c>
      <c r="D656" s="37" t="s">
        <v>29</v>
      </c>
      <c r="E656" s="37" t="b">
        <v>0</v>
      </c>
      <c r="F656" s="37" t="s">
        <v>19</v>
      </c>
      <c r="G656" s="37" t="s">
        <v>8</v>
      </c>
      <c r="H656" s="37">
        <v>0.3</v>
      </c>
      <c r="I656" s="30">
        <v>0.28000000000000003</v>
      </c>
      <c r="J656" s="37">
        <v>0.61</v>
      </c>
      <c r="K656" s="37">
        <v>0.09</v>
      </c>
      <c r="L656" s="37">
        <v>18</v>
      </c>
      <c r="M656" s="37">
        <v>104</v>
      </c>
      <c r="N656" s="37">
        <v>122</v>
      </c>
    </row>
    <row r="657" spans="1:14">
      <c r="A657" s="30">
        <v>656</v>
      </c>
      <c r="B657" s="31">
        <v>40573</v>
      </c>
      <c r="C657" s="30">
        <v>15</v>
      </c>
      <c r="D657" s="37" t="s">
        <v>29</v>
      </c>
      <c r="E657" s="37" t="b">
        <v>0</v>
      </c>
      <c r="F657" s="37" t="s">
        <v>19</v>
      </c>
      <c r="G657" s="37" t="s">
        <v>8</v>
      </c>
      <c r="H657" s="37">
        <v>0.33</v>
      </c>
      <c r="I657" s="30">
        <v>0.3</v>
      </c>
      <c r="J657" s="37">
        <v>0.56000000000000005</v>
      </c>
      <c r="K657" s="37">
        <v>0</v>
      </c>
      <c r="L657" s="37">
        <v>14</v>
      </c>
      <c r="M657" s="37">
        <v>95</v>
      </c>
      <c r="N657" s="37">
        <v>109</v>
      </c>
    </row>
    <row r="658" spans="1:14">
      <c r="A658" s="30">
        <v>657</v>
      </c>
      <c r="B658" s="31">
        <v>40573</v>
      </c>
      <c r="C658" s="30">
        <v>16</v>
      </c>
      <c r="D658" s="37" t="s">
        <v>29</v>
      </c>
      <c r="E658" s="37" t="b">
        <v>0</v>
      </c>
      <c r="F658" s="37" t="s">
        <v>19</v>
      </c>
      <c r="G658" s="37" t="s">
        <v>8</v>
      </c>
      <c r="H658" s="37">
        <v>0.33</v>
      </c>
      <c r="I658" s="30">
        <v>0.3</v>
      </c>
      <c r="J658" s="37">
        <v>0.56000000000000005</v>
      </c>
      <c r="K658" s="37">
        <v>0</v>
      </c>
      <c r="L658" s="37">
        <v>19</v>
      </c>
      <c r="M658" s="37">
        <v>104</v>
      </c>
      <c r="N658" s="37">
        <v>123</v>
      </c>
    </row>
    <row r="659" spans="1:14">
      <c r="A659" s="30">
        <v>658</v>
      </c>
      <c r="B659" s="31">
        <v>40573</v>
      </c>
      <c r="C659" s="30">
        <v>17</v>
      </c>
      <c r="D659" s="37" t="s">
        <v>29</v>
      </c>
      <c r="E659" s="37" t="b">
        <v>0</v>
      </c>
      <c r="F659" s="37" t="s">
        <v>19</v>
      </c>
      <c r="G659" s="37" t="s">
        <v>8</v>
      </c>
      <c r="H659" s="37">
        <v>0.28999999999999998</v>
      </c>
      <c r="I659" s="30">
        <v>0.3</v>
      </c>
      <c r="J659" s="37">
        <v>0.56000000000000005</v>
      </c>
      <c r="K659" s="37">
        <v>0.19</v>
      </c>
      <c r="L659" s="37">
        <v>6</v>
      </c>
      <c r="M659" s="37">
        <v>71</v>
      </c>
      <c r="N659" s="37">
        <v>77</v>
      </c>
    </row>
    <row r="660" spans="1:14">
      <c r="A660" s="30">
        <v>659</v>
      </c>
      <c r="B660" s="31">
        <v>40573</v>
      </c>
      <c r="C660" s="30">
        <v>18</v>
      </c>
      <c r="D660" s="37" t="s">
        <v>30</v>
      </c>
      <c r="E660" s="37" t="b">
        <v>0</v>
      </c>
      <c r="F660" s="37" t="s">
        <v>19</v>
      </c>
      <c r="G660" s="37" t="s">
        <v>8</v>
      </c>
      <c r="H660" s="37">
        <v>0.26</v>
      </c>
      <c r="I660" s="30">
        <v>0.26</v>
      </c>
      <c r="J660" s="37">
        <v>0.65</v>
      </c>
      <c r="K660" s="37">
        <v>0.16</v>
      </c>
      <c r="L660" s="37">
        <v>8</v>
      </c>
      <c r="M660" s="37">
        <v>57</v>
      </c>
      <c r="N660" s="37">
        <v>65</v>
      </c>
    </row>
    <row r="661" spans="1:14">
      <c r="A661" s="30">
        <v>660</v>
      </c>
      <c r="B661" s="31">
        <v>40573</v>
      </c>
      <c r="C661" s="30">
        <v>19</v>
      </c>
      <c r="D661" s="37" t="s">
        <v>30</v>
      </c>
      <c r="E661" s="37" t="b">
        <v>0</v>
      </c>
      <c r="F661" s="37" t="s">
        <v>19</v>
      </c>
      <c r="G661" s="37" t="s">
        <v>8</v>
      </c>
      <c r="H661" s="37">
        <v>0.26</v>
      </c>
      <c r="I661" s="30">
        <v>0.26</v>
      </c>
      <c r="J661" s="37">
        <v>0.65</v>
      </c>
      <c r="K661" s="37">
        <v>0.19</v>
      </c>
      <c r="L661" s="37">
        <v>9</v>
      </c>
      <c r="M661" s="37">
        <v>46</v>
      </c>
      <c r="N661" s="37">
        <v>55</v>
      </c>
    </row>
    <row r="662" spans="1:14">
      <c r="A662" s="30">
        <v>661</v>
      </c>
      <c r="B662" s="31">
        <v>40573</v>
      </c>
      <c r="C662" s="30">
        <v>20</v>
      </c>
      <c r="D662" s="37" t="s">
        <v>30</v>
      </c>
      <c r="E662" s="37" t="b">
        <v>0</v>
      </c>
      <c r="F662" s="37" t="s">
        <v>19</v>
      </c>
      <c r="G662" s="37" t="s">
        <v>9</v>
      </c>
      <c r="H662" s="37">
        <v>0.27</v>
      </c>
      <c r="I662" s="30">
        <v>0.26</v>
      </c>
      <c r="J662" s="37">
        <v>0.65</v>
      </c>
      <c r="K662" s="37">
        <v>0.1</v>
      </c>
      <c r="L662" s="37">
        <v>3</v>
      </c>
      <c r="M662" s="37">
        <v>30</v>
      </c>
      <c r="N662" s="37">
        <v>33</v>
      </c>
    </row>
    <row r="663" spans="1:14">
      <c r="A663" s="30">
        <v>662</v>
      </c>
      <c r="B663" s="31">
        <v>40573</v>
      </c>
      <c r="C663" s="30">
        <v>21</v>
      </c>
      <c r="D663" s="37" t="s">
        <v>30</v>
      </c>
      <c r="E663" s="37" t="b">
        <v>0</v>
      </c>
      <c r="F663" s="37" t="s">
        <v>19</v>
      </c>
      <c r="G663" s="37" t="s">
        <v>9</v>
      </c>
      <c r="H663" s="37">
        <v>0.24</v>
      </c>
      <c r="I663" s="30">
        <v>0.24</v>
      </c>
      <c r="J663" s="37">
        <v>0.7</v>
      </c>
      <c r="K663" s="37">
        <v>0.16</v>
      </c>
      <c r="L663" s="37">
        <v>3</v>
      </c>
      <c r="M663" s="37">
        <v>25</v>
      </c>
      <c r="N663" s="37">
        <v>28</v>
      </c>
    </row>
    <row r="664" spans="1:14">
      <c r="A664" s="30">
        <v>663</v>
      </c>
      <c r="B664" s="31">
        <v>40573</v>
      </c>
      <c r="C664" s="30">
        <v>22</v>
      </c>
      <c r="D664" s="37" t="s">
        <v>30</v>
      </c>
      <c r="E664" s="37" t="b">
        <v>0</v>
      </c>
      <c r="F664" s="37" t="s">
        <v>19</v>
      </c>
      <c r="G664" s="37" t="s">
        <v>9</v>
      </c>
      <c r="H664" s="37">
        <v>0.23</v>
      </c>
      <c r="I664" s="30">
        <v>0.24</v>
      </c>
      <c r="J664" s="37">
        <v>0.7</v>
      </c>
      <c r="K664" s="37">
        <v>0.19</v>
      </c>
      <c r="L664" s="37">
        <v>2</v>
      </c>
      <c r="M664" s="37">
        <v>19</v>
      </c>
      <c r="N664" s="37">
        <v>21</v>
      </c>
    </row>
    <row r="665" spans="1:14">
      <c r="A665" s="30">
        <v>664</v>
      </c>
      <c r="B665" s="31">
        <v>40573</v>
      </c>
      <c r="C665" s="30">
        <v>23</v>
      </c>
      <c r="D665" s="37" t="s">
        <v>30</v>
      </c>
      <c r="E665" s="37" t="b">
        <v>0</v>
      </c>
      <c r="F665" s="37" t="s">
        <v>19</v>
      </c>
      <c r="G665" s="37" t="s">
        <v>9</v>
      </c>
      <c r="H665" s="37">
        <v>0.21</v>
      </c>
      <c r="I665" s="30">
        <v>0.24</v>
      </c>
      <c r="J665" s="37">
        <v>0.65</v>
      </c>
      <c r="K665" s="37">
        <v>0.28000000000000003</v>
      </c>
      <c r="L665" s="37">
        <v>5</v>
      </c>
      <c r="M665" s="37">
        <v>16</v>
      </c>
      <c r="N665" s="37">
        <v>21</v>
      </c>
    </row>
    <row r="666" spans="1:14">
      <c r="A666" s="30">
        <v>665</v>
      </c>
      <c r="B666" s="31">
        <v>40574</v>
      </c>
      <c r="C666" s="30">
        <v>0</v>
      </c>
      <c r="D666" s="37" t="s">
        <v>27</v>
      </c>
      <c r="E666" s="37" t="b">
        <v>0</v>
      </c>
      <c r="F666" s="37" t="s">
        <v>20</v>
      </c>
      <c r="G666" s="37" t="s">
        <v>9</v>
      </c>
      <c r="H666" s="37">
        <v>0.23</v>
      </c>
      <c r="I666" s="30">
        <v>0.24</v>
      </c>
      <c r="J666" s="37">
        <v>0.65</v>
      </c>
      <c r="K666" s="37">
        <v>0.22</v>
      </c>
      <c r="L666" s="37">
        <v>1</v>
      </c>
      <c r="M666" s="37">
        <v>6</v>
      </c>
      <c r="N666" s="37">
        <v>7</v>
      </c>
    </row>
    <row r="667" spans="1:14">
      <c r="A667" s="30">
        <v>666</v>
      </c>
      <c r="B667" s="31">
        <v>40574</v>
      </c>
      <c r="C667" s="30">
        <v>1</v>
      </c>
      <c r="D667" s="37" t="s">
        <v>27</v>
      </c>
      <c r="E667" s="37" t="b">
        <v>0</v>
      </c>
      <c r="F667" s="37" t="s">
        <v>20</v>
      </c>
      <c r="G667" s="37" t="s">
        <v>8</v>
      </c>
      <c r="H667" s="37">
        <v>0.21</v>
      </c>
      <c r="I667" s="30">
        <v>0.22</v>
      </c>
      <c r="J667" s="37">
        <v>0.64</v>
      </c>
      <c r="K667" s="37">
        <v>0.25</v>
      </c>
      <c r="L667" s="37">
        <v>2</v>
      </c>
      <c r="M667" s="37">
        <v>5</v>
      </c>
      <c r="N667" s="37">
        <v>7</v>
      </c>
    </row>
    <row r="668" spans="1:14">
      <c r="A668" s="30">
        <v>667</v>
      </c>
      <c r="B668" s="31">
        <v>40574</v>
      </c>
      <c r="C668" s="30">
        <v>2</v>
      </c>
      <c r="D668" s="37" t="s">
        <v>27</v>
      </c>
      <c r="E668" s="37" t="b">
        <v>0</v>
      </c>
      <c r="F668" s="37" t="s">
        <v>20</v>
      </c>
      <c r="G668" s="37" t="s">
        <v>8</v>
      </c>
      <c r="H668" s="37">
        <v>0.23</v>
      </c>
      <c r="I668" s="30">
        <v>0.22</v>
      </c>
      <c r="J668" s="37">
        <v>0.64</v>
      </c>
      <c r="K668" s="37">
        <v>0.19</v>
      </c>
      <c r="L668" s="37">
        <v>0</v>
      </c>
      <c r="M668" s="37">
        <v>1</v>
      </c>
      <c r="N668" s="37">
        <v>1</v>
      </c>
    </row>
    <row r="669" spans="1:14">
      <c r="A669" s="30">
        <v>668</v>
      </c>
      <c r="B669" s="31">
        <v>40574</v>
      </c>
      <c r="C669" s="30">
        <v>3</v>
      </c>
      <c r="D669" s="37" t="s">
        <v>27</v>
      </c>
      <c r="E669" s="37" t="b">
        <v>0</v>
      </c>
      <c r="F669" s="37" t="s">
        <v>20</v>
      </c>
      <c r="G669" s="37" t="s">
        <v>8</v>
      </c>
      <c r="H669" s="37">
        <v>0.23</v>
      </c>
      <c r="I669" s="30">
        <v>0.22</v>
      </c>
      <c r="J669" s="37">
        <v>0.64</v>
      </c>
      <c r="K669" s="37">
        <v>0.19</v>
      </c>
      <c r="L669" s="37">
        <v>0</v>
      </c>
      <c r="M669" s="37">
        <v>2</v>
      </c>
      <c r="N669" s="37">
        <v>2</v>
      </c>
    </row>
    <row r="670" spans="1:14">
      <c r="A670" s="30">
        <v>669</v>
      </c>
      <c r="B670" s="31">
        <v>40574</v>
      </c>
      <c r="C670" s="30">
        <v>4</v>
      </c>
      <c r="D670" s="37" t="s">
        <v>27</v>
      </c>
      <c r="E670" s="37" t="b">
        <v>0</v>
      </c>
      <c r="F670" s="37" t="s">
        <v>20</v>
      </c>
      <c r="G670" s="37" t="s">
        <v>8</v>
      </c>
      <c r="H670" s="37">
        <v>0.2</v>
      </c>
      <c r="I670" s="30">
        <v>0.2</v>
      </c>
      <c r="J670" s="37">
        <v>0.59</v>
      </c>
      <c r="K670" s="37">
        <v>0.22</v>
      </c>
      <c r="L670" s="37">
        <v>0</v>
      </c>
      <c r="M670" s="37">
        <v>2</v>
      </c>
      <c r="N670" s="37">
        <v>2</v>
      </c>
    </row>
    <row r="671" spans="1:14">
      <c r="A671" s="30">
        <v>670</v>
      </c>
      <c r="B671" s="31">
        <v>40574</v>
      </c>
      <c r="C671" s="30">
        <v>5</v>
      </c>
      <c r="D671" s="37" t="s">
        <v>27</v>
      </c>
      <c r="E671" s="37" t="b">
        <v>0</v>
      </c>
      <c r="F671" s="37" t="s">
        <v>20</v>
      </c>
      <c r="G671" s="37" t="s">
        <v>8</v>
      </c>
      <c r="H671" s="37">
        <v>0.17</v>
      </c>
      <c r="I671" s="30">
        <v>0.18</v>
      </c>
      <c r="J671" s="37">
        <v>0.64</v>
      </c>
      <c r="K671" s="37">
        <v>0.28000000000000003</v>
      </c>
      <c r="L671" s="37">
        <v>0</v>
      </c>
      <c r="M671" s="37">
        <v>8</v>
      </c>
      <c r="N671" s="37">
        <v>8</v>
      </c>
    </row>
    <row r="672" spans="1:14">
      <c r="A672" s="30">
        <v>671</v>
      </c>
      <c r="B672" s="31">
        <v>40574</v>
      </c>
      <c r="C672" s="30">
        <v>6</v>
      </c>
      <c r="D672" s="37" t="s">
        <v>28</v>
      </c>
      <c r="E672" s="37" t="b">
        <v>0</v>
      </c>
      <c r="F672" s="37" t="s">
        <v>20</v>
      </c>
      <c r="G672" s="37" t="s">
        <v>8</v>
      </c>
      <c r="H672" s="37">
        <v>0.14000000000000001</v>
      </c>
      <c r="I672" s="30">
        <v>0.16</v>
      </c>
      <c r="J672" s="37">
        <v>0.69</v>
      </c>
      <c r="K672" s="37">
        <v>0.33</v>
      </c>
      <c r="L672" s="37">
        <v>0</v>
      </c>
      <c r="M672" s="37">
        <v>37</v>
      </c>
      <c r="N672" s="37">
        <v>37</v>
      </c>
    </row>
    <row r="673" spans="1:14">
      <c r="A673" s="30">
        <v>672</v>
      </c>
      <c r="B673" s="31">
        <v>40574</v>
      </c>
      <c r="C673" s="30">
        <v>7</v>
      </c>
      <c r="D673" s="37" t="s">
        <v>28</v>
      </c>
      <c r="E673" s="37" t="b">
        <v>0</v>
      </c>
      <c r="F673" s="37" t="s">
        <v>20</v>
      </c>
      <c r="G673" s="37" t="s">
        <v>9</v>
      </c>
      <c r="H673" s="37">
        <v>0.14000000000000001</v>
      </c>
      <c r="I673" s="30">
        <v>0.16</v>
      </c>
      <c r="J673" s="37">
        <v>0.64</v>
      </c>
      <c r="K673" s="37">
        <v>0.28000000000000003</v>
      </c>
      <c r="L673" s="37">
        <v>1</v>
      </c>
      <c r="M673" s="37">
        <v>71</v>
      </c>
      <c r="N673" s="37">
        <v>72</v>
      </c>
    </row>
    <row r="674" spans="1:14">
      <c r="A674" s="30">
        <v>673</v>
      </c>
      <c r="B674" s="31">
        <v>40574</v>
      </c>
      <c r="C674" s="30">
        <v>8</v>
      </c>
      <c r="D674" s="37" t="s">
        <v>28</v>
      </c>
      <c r="E674" s="37" t="b">
        <v>0</v>
      </c>
      <c r="F674" s="37" t="s">
        <v>20</v>
      </c>
      <c r="G674" s="37" t="s">
        <v>9</v>
      </c>
      <c r="H674" s="37">
        <v>0.14000000000000001</v>
      </c>
      <c r="I674" s="30">
        <v>0.16</v>
      </c>
      <c r="J674" s="37">
        <v>0.59</v>
      </c>
      <c r="K674" s="37">
        <v>0.28000000000000003</v>
      </c>
      <c r="L674" s="37">
        <v>3</v>
      </c>
      <c r="M674" s="37">
        <v>182</v>
      </c>
      <c r="N674" s="37">
        <v>185</v>
      </c>
    </row>
    <row r="675" spans="1:14">
      <c r="A675" s="30">
        <v>674</v>
      </c>
      <c r="B675" s="31">
        <v>40574</v>
      </c>
      <c r="C675" s="30">
        <v>9</v>
      </c>
      <c r="D675" s="37" t="s">
        <v>28</v>
      </c>
      <c r="E675" s="37" t="b">
        <v>0</v>
      </c>
      <c r="F675" s="37" t="s">
        <v>20</v>
      </c>
      <c r="G675" s="37" t="s">
        <v>9</v>
      </c>
      <c r="H675" s="37">
        <v>0.14000000000000001</v>
      </c>
      <c r="I675" s="30">
        <v>0.16</v>
      </c>
      <c r="J675" s="37">
        <v>0.59</v>
      </c>
      <c r="K675" s="37">
        <v>0.3</v>
      </c>
      <c r="L675" s="37">
        <v>0</v>
      </c>
      <c r="M675" s="37">
        <v>112</v>
      </c>
      <c r="N675" s="37">
        <v>112</v>
      </c>
    </row>
    <row r="676" spans="1:14">
      <c r="A676" s="30">
        <v>675</v>
      </c>
      <c r="B676" s="31">
        <v>40574</v>
      </c>
      <c r="C676" s="30">
        <v>10</v>
      </c>
      <c r="D676" s="37" t="s">
        <v>28</v>
      </c>
      <c r="E676" s="37" t="b">
        <v>0</v>
      </c>
      <c r="F676" s="37" t="s">
        <v>20</v>
      </c>
      <c r="G676" s="37" t="s">
        <v>9</v>
      </c>
      <c r="H676" s="37">
        <v>0.15</v>
      </c>
      <c r="I676" s="30">
        <v>0.16</v>
      </c>
      <c r="J676" s="37">
        <v>0.59</v>
      </c>
      <c r="K676" s="37">
        <v>0.19</v>
      </c>
      <c r="L676" s="37">
        <v>1</v>
      </c>
      <c r="M676" s="37">
        <v>68</v>
      </c>
      <c r="N676" s="37">
        <v>69</v>
      </c>
    </row>
    <row r="677" spans="1:14">
      <c r="A677" s="30">
        <v>676</v>
      </c>
      <c r="B677" s="31">
        <v>40574</v>
      </c>
      <c r="C677" s="30">
        <v>11</v>
      </c>
      <c r="D677" s="37" t="s">
        <v>28</v>
      </c>
      <c r="E677" s="37" t="b">
        <v>0</v>
      </c>
      <c r="F677" s="37" t="s">
        <v>20</v>
      </c>
      <c r="G677" s="37" t="s">
        <v>9</v>
      </c>
      <c r="H677" s="37">
        <v>0.15</v>
      </c>
      <c r="I677" s="30">
        <v>0.16</v>
      </c>
      <c r="J677" s="37">
        <v>0.59</v>
      </c>
      <c r="K677" s="37">
        <v>0.19</v>
      </c>
      <c r="L677" s="37">
        <v>2</v>
      </c>
      <c r="M677" s="37">
        <v>46</v>
      </c>
      <c r="N677" s="37">
        <v>48</v>
      </c>
    </row>
    <row r="678" spans="1:14">
      <c r="A678" s="30">
        <v>677</v>
      </c>
      <c r="B678" s="31">
        <v>40574</v>
      </c>
      <c r="C678" s="30">
        <v>12</v>
      </c>
      <c r="D678" s="37" t="s">
        <v>29</v>
      </c>
      <c r="E678" s="37" t="b">
        <v>0</v>
      </c>
      <c r="F678" s="37" t="s">
        <v>20</v>
      </c>
      <c r="G678" s="37" t="s">
        <v>9</v>
      </c>
      <c r="H678" s="37">
        <v>0.21</v>
      </c>
      <c r="I678" s="30">
        <v>0.18</v>
      </c>
      <c r="J678" s="37">
        <v>0.55000000000000004</v>
      </c>
      <c r="K678" s="37">
        <v>0.1</v>
      </c>
      <c r="L678" s="37">
        <v>6</v>
      </c>
      <c r="M678" s="37">
        <v>62</v>
      </c>
      <c r="N678" s="37">
        <v>68</v>
      </c>
    </row>
    <row r="679" spans="1:14">
      <c r="A679" s="30">
        <v>678</v>
      </c>
      <c r="B679" s="31">
        <v>40574</v>
      </c>
      <c r="C679" s="30">
        <v>13</v>
      </c>
      <c r="D679" s="37" t="s">
        <v>29</v>
      </c>
      <c r="E679" s="37" t="b">
        <v>0</v>
      </c>
      <c r="F679" s="37" t="s">
        <v>20</v>
      </c>
      <c r="G679" s="37" t="s">
        <v>9</v>
      </c>
      <c r="H679" s="37">
        <v>0.23</v>
      </c>
      <c r="I679" s="30">
        <v>0.16</v>
      </c>
      <c r="J679" s="37">
        <v>0.59</v>
      </c>
      <c r="K679" s="37">
        <v>0</v>
      </c>
      <c r="L679" s="37">
        <v>2</v>
      </c>
      <c r="M679" s="37">
        <v>52</v>
      </c>
      <c r="N679" s="37">
        <v>54</v>
      </c>
    </row>
    <row r="680" spans="1:14">
      <c r="A680" s="30">
        <v>679</v>
      </c>
      <c r="B680" s="31">
        <v>40574</v>
      </c>
      <c r="C680" s="30">
        <v>14</v>
      </c>
      <c r="D680" s="37" t="s">
        <v>29</v>
      </c>
      <c r="E680" s="37" t="b">
        <v>0</v>
      </c>
      <c r="F680" s="37" t="s">
        <v>20</v>
      </c>
      <c r="G680" s="37" t="s">
        <v>9</v>
      </c>
      <c r="H680" s="37">
        <v>0.2</v>
      </c>
      <c r="I680" s="30">
        <v>0.18</v>
      </c>
      <c r="J680" s="37">
        <v>0.55000000000000004</v>
      </c>
      <c r="K680" s="37">
        <v>0.13</v>
      </c>
      <c r="L680" s="37">
        <v>1</v>
      </c>
      <c r="M680" s="37">
        <v>85</v>
      </c>
      <c r="N680" s="37">
        <v>86</v>
      </c>
    </row>
    <row r="681" spans="1:14">
      <c r="A681" s="30">
        <v>680</v>
      </c>
      <c r="B681" s="31">
        <v>40574</v>
      </c>
      <c r="C681" s="30">
        <v>15</v>
      </c>
      <c r="D681" s="37" t="s">
        <v>29</v>
      </c>
      <c r="E681" s="37" t="b">
        <v>0</v>
      </c>
      <c r="F681" s="37" t="s">
        <v>20</v>
      </c>
      <c r="G681" s="37" t="s">
        <v>9</v>
      </c>
      <c r="H681" s="37">
        <v>0.18</v>
      </c>
      <c r="I681" s="30">
        <v>0.16</v>
      </c>
      <c r="J681" s="37">
        <v>0.59</v>
      </c>
      <c r="K681" s="37">
        <v>0.13</v>
      </c>
      <c r="L681" s="37">
        <v>3</v>
      </c>
      <c r="M681" s="37">
        <v>41</v>
      </c>
      <c r="N681" s="37">
        <v>44</v>
      </c>
    </row>
    <row r="682" spans="1:14">
      <c r="A682" s="30">
        <v>681</v>
      </c>
      <c r="B682" s="31">
        <v>40574</v>
      </c>
      <c r="C682" s="30">
        <v>16</v>
      </c>
      <c r="D682" s="37" t="s">
        <v>29</v>
      </c>
      <c r="E682" s="37" t="b">
        <v>0</v>
      </c>
      <c r="F682" s="37" t="s">
        <v>20</v>
      </c>
      <c r="G682" s="37" t="s">
        <v>9</v>
      </c>
      <c r="H682" s="37">
        <v>0.18</v>
      </c>
      <c r="I682" s="30">
        <v>0.16</v>
      </c>
      <c r="J682" s="37">
        <v>0.56000000000000005</v>
      </c>
      <c r="K682" s="37">
        <v>0.19</v>
      </c>
      <c r="L682" s="37">
        <v>3</v>
      </c>
      <c r="M682" s="37">
        <v>83</v>
      </c>
      <c r="N682" s="37">
        <v>86</v>
      </c>
    </row>
    <row r="683" spans="1:14">
      <c r="A683" s="30">
        <v>682</v>
      </c>
      <c r="B683" s="31">
        <v>40574</v>
      </c>
      <c r="C683" s="30">
        <v>17</v>
      </c>
      <c r="D683" s="37" t="s">
        <v>29</v>
      </c>
      <c r="E683" s="37" t="b">
        <v>0</v>
      </c>
      <c r="F683" s="37" t="s">
        <v>20</v>
      </c>
      <c r="G683" s="37" t="s">
        <v>9</v>
      </c>
      <c r="H683" s="37">
        <v>0.15</v>
      </c>
      <c r="I683" s="30">
        <v>0.16</v>
      </c>
      <c r="J683" s="37">
        <v>0.59</v>
      </c>
      <c r="K683" s="37">
        <v>0.19</v>
      </c>
      <c r="L683" s="37">
        <v>6</v>
      </c>
      <c r="M683" s="37">
        <v>155</v>
      </c>
      <c r="N683" s="37">
        <v>161</v>
      </c>
    </row>
    <row r="684" spans="1:14">
      <c r="A684" s="30">
        <v>683</v>
      </c>
      <c r="B684" s="31">
        <v>40574</v>
      </c>
      <c r="C684" s="30">
        <v>18</v>
      </c>
      <c r="D684" s="37" t="s">
        <v>30</v>
      </c>
      <c r="E684" s="37" t="b">
        <v>0</v>
      </c>
      <c r="F684" s="37" t="s">
        <v>20</v>
      </c>
      <c r="G684" s="37" t="s">
        <v>9</v>
      </c>
      <c r="H684" s="37">
        <v>0.15</v>
      </c>
      <c r="I684" s="30">
        <v>0.16</v>
      </c>
      <c r="J684" s="37">
        <v>0.55000000000000004</v>
      </c>
      <c r="K684" s="37">
        <v>0.22</v>
      </c>
      <c r="L684" s="37">
        <v>3</v>
      </c>
      <c r="M684" s="37">
        <v>153</v>
      </c>
      <c r="N684" s="37">
        <v>156</v>
      </c>
    </row>
    <row r="685" spans="1:14">
      <c r="A685" s="30">
        <v>684</v>
      </c>
      <c r="B685" s="31">
        <v>40574</v>
      </c>
      <c r="C685" s="30">
        <v>19</v>
      </c>
      <c r="D685" s="37" t="s">
        <v>30</v>
      </c>
      <c r="E685" s="37" t="b">
        <v>0</v>
      </c>
      <c r="F685" s="37" t="s">
        <v>20</v>
      </c>
      <c r="G685" s="37" t="s">
        <v>8</v>
      </c>
      <c r="H685" s="37">
        <v>0.32</v>
      </c>
      <c r="I685" s="30">
        <v>0.3</v>
      </c>
      <c r="J685" s="37">
        <v>0.61</v>
      </c>
      <c r="K685" s="37">
        <v>0.1</v>
      </c>
      <c r="L685" s="37">
        <v>3</v>
      </c>
      <c r="M685" s="37">
        <v>108</v>
      </c>
      <c r="N685" s="37">
        <v>111</v>
      </c>
    </row>
    <row r="686" spans="1:14">
      <c r="A686" s="30">
        <v>685</v>
      </c>
      <c r="B686" s="31">
        <v>40574</v>
      </c>
      <c r="C686" s="30">
        <v>20</v>
      </c>
      <c r="D686" s="37" t="s">
        <v>30</v>
      </c>
      <c r="E686" s="37" t="b">
        <v>0</v>
      </c>
      <c r="F686" s="37" t="s">
        <v>20</v>
      </c>
      <c r="G686" s="37" t="s">
        <v>10</v>
      </c>
      <c r="H686" s="37">
        <v>0.17</v>
      </c>
      <c r="I686" s="30">
        <v>0.16</v>
      </c>
      <c r="J686" s="37">
        <v>0.59</v>
      </c>
      <c r="K686" s="37">
        <v>0.16</v>
      </c>
      <c r="L686" s="37">
        <v>0</v>
      </c>
      <c r="M686" s="37">
        <v>78</v>
      </c>
      <c r="N686" s="37">
        <v>78</v>
      </c>
    </row>
    <row r="687" spans="1:14">
      <c r="A687" s="30">
        <v>686</v>
      </c>
      <c r="B687" s="31">
        <v>40574</v>
      </c>
      <c r="C687" s="30">
        <v>21</v>
      </c>
      <c r="D687" s="37" t="s">
        <v>30</v>
      </c>
      <c r="E687" s="37" t="b">
        <v>0</v>
      </c>
      <c r="F687" s="37" t="s">
        <v>20</v>
      </c>
      <c r="G687" s="37" t="s">
        <v>10</v>
      </c>
      <c r="H687" s="37">
        <v>0.2</v>
      </c>
      <c r="I687" s="30">
        <v>0.16</v>
      </c>
      <c r="J687" s="37">
        <v>0.59</v>
      </c>
      <c r="K687" s="37">
        <v>0.09</v>
      </c>
      <c r="L687" s="37">
        <v>3</v>
      </c>
      <c r="M687" s="37">
        <v>53</v>
      </c>
      <c r="N687" s="37">
        <v>56</v>
      </c>
    </row>
    <row r="688" spans="1:14">
      <c r="A688" s="30">
        <v>687</v>
      </c>
      <c r="B688" s="31">
        <v>40574</v>
      </c>
      <c r="C688" s="30">
        <v>22</v>
      </c>
      <c r="D688" s="37" t="s">
        <v>30</v>
      </c>
      <c r="E688" s="37" t="b">
        <v>0</v>
      </c>
      <c r="F688" s="37" t="s">
        <v>20</v>
      </c>
      <c r="G688" s="37" t="s">
        <v>9</v>
      </c>
      <c r="H688" s="37">
        <v>0.18</v>
      </c>
      <c r="I688" s="30">
        <v>0.16</v>
      </c>
      <c r="J688" s="37">
        <v>0.59</v>
      </c>
      <c r="K688" s="37">
        <v>0.1</v>
      </c>
      <c r="L688" s="37">
        <v>0</v>
      </c>
      <c r="M688" s="37">
        <v>34</v>
      </c>
      <c r="N688" s="37">
        <v>34</v>
      </c>
    </row>
    <row r="689" spans="1:14">
      <c r="A689" s="30">
        <v>688</v>
      </c>
      <c r="B689" s="31">
        <v>40574</v>
      </c>
      <c r="C689" s="30">
        <v>23</v>
      </c>
      <c r="D689" s="37" t="s">
        <v>30</v>
      </c>
      <c r="E689" s="37" t="b">
        <v>0</v>
      </c>
      <c r="F689" s="37" t="s">
        <v>20</v>
      </c>
      <c r="G689" s="37" t="s">
        <v>9</v>
      </c>
      <c r="H689" s="37">
        <v>0.2</v>
      </c>
      <c r="I689" s="30">
        <v>0.16</v>
      </c>
      <c r="J689" s="37">
        <v>0.64</v>
      </c>
      <c r="K689" s="37">
        <v>0.09</v>
      </c>
      <c r="L689" s="37">
        <v>2</v>
      </c>
      <c r="M689" s="37">
        <v>15</v>
      </c>
      <c r="N689" s="37">
        <v>17</v>
      </c>
    </row>
    <row r="690" spans="1:14">
      <c r="A690" s="30">
        <v>689</v>
      </c>
      <c r="B690" s="31">
        <v>40575</v>
      </c>
      <c r="C690" s="30">
        <v>0</v>
      </c>
      <c r="D690" s="37" t="s">
        <v>27</v>
      </c>
      <c r="E690" s="37" t="b">
        <v>0</v>
      </c>
      <c r="F690" s="37" t="s">
        <v>21</v>
      </c>
      <c r="G690" s="37" t="s">
        <v>9</v>
      </c>
      <c r="H690" s="37">
        <v>0.18</v>
      </c>
      <c r="I690" s="30">
        <v>0.16</v>
      </c>
      <c r="J690" s="37">
        <v>0.64</v>
      </c>
      <c r="K690" s="37">
        <v>0.1</v>
      </c>
      <c r="L690" s="37">
        <v>2</v>
      </c>
      <c r="M690" s="37">
        <v>6</v>
      </c>
      <c r="N690" s="37">
        <v>8</v>
      </c>
    </row>
    <row r="691" spans="1:14">
      <c r="A691" s="30">
        <v>690</v>
      </c>
      <c r="B691" s="31">
        <v>40575</v>
      </c>
      <c r="C691" s="30">
        <v>1</v>
      </c>
      <c r="D691" s="37" t="s">
        <v>27</v>
      </c>
      <c r="E691" s="37" t="b">
        <v>0</v>
      </c>
      <c r="F691" s="37" t="s">
        <v>21</v>
      </c>
      <c r="G691" s="37" t="s">
        <v>9</v>
      </c>
      <c r="H691" s="37">
        <v>0.18</v>
      </c>
      <c r="I691" s="30">
        <v>0.16</v>
      </c>
      <c r="J691" s="37">
        <v>0.69</v>
      </c>
      <c r="K691" s="37">
        <v>0.1</v>
      </c>
      <c r="L691" s="37">
        <v>0</v>
      </c>
      <c r="M691" s="37">
        <v>3</v>
      </c>
      <c r="N691" s="37">
        <v>3</v>
      </c>
    </row>
    <row r="692" spans="1:14">
      <c r="A692" s="30">
        <v>691</v>
      </c>
      <c r="B692" s="31">
        <v>40575</v>
      </c>
      <c r="C692" s="30">
        <v>2</v>
      </c>
      <c r="D692" s="37" t="s">
        <v>27</v>
      </c>
      <c r="E692" s="37" t="b">
        <v>0</v>
      </c>
      <c r="F692" s="37" t="s">
        <v>21</v>
      </c>
      <c r="G692" s="37" t="s">
        <v>9</v>
      </c>
      <c r="H692" s="37">
        <v>0.23</v>
      </c>
      <c r="I692" s="30">
        <v>0.16</v>
      </c>
      <c r="J692" s="37">
        <v>0.69</v>
      </c>
      <c r="K692" s="37">
        <v>0</v>
      </c>
      <c r="L692" s="37">
        <v>0</v>
      </c>
      <c r="M692" s="37">
        <v>2</v>
      </c>
      <c r="N692" s="37">
        <v>2</v>
      </c>
    </row>
    <row r="693" spans="1:14">
      <c r="A693" s="30">
        <v>692</v>
      </c>
      <c r="B693" s="31">
        <v>40575</v>
      </c>
      <c r="C693" s="30">
        <v>3</v>
      </c>
      <c r="D693" s="37" t="s">
        <v>27</v>
      </c>
      <c r="E693" s="37" t="b">
        <v>0</v>
      </c>
      <c r="F693" s="37" t="s">
        <v>21</v>
      </c>
      <c r="G693" s="37" t="s">
        <v>9</v>
      </c>
      <c r="H693" s="37">
        <v>0.23</v>
      </c>
      <c r="I693" s="30">
        <v>0.16</v>
      </c>
      <c r="J693" s="37">
        <v>0.69</v>
      </c>
      <c r="K693" s="37">
        <v>0</v>
      </c>
      <c r="L693" s="37">
        <v>0</v>
      </c>
      <c r="M693" s="37">
        <v>2</v>
      </c>
      <c r="N693" s="37">
        <v>2</v>
      </c>
    </row>
    <row r="694" spans="1:14">
      <c r="A694" s="30">
        <v>693</v>
      </c>
      <c r="B694" s="31">
        <v>40575</v>
      </c>
      <c r="C694" s="30">
        <v>5</v>
      </c>
      <c r="D694" s="37" t="s">
        <v>27</v>
      </c>
      <c r="E694" s="37" t="b">
        <v>0</v>
      </c>
      <c r="F694" s="37" t="s">
        <v>21</v>
      </c>
      <c r="G694" s="37" t="s">
        <v>10</v>
      </c>
      <c r="H694" s="37">
        <v>0.21</v>
      </c>
      <c r="I694" s="30">
        <v>0.14000000000000001</v>
      </c>
      <c r="J694" s="37">
        <v>0.93</v>
      </c>
      <c r="K694" s="37">
        <v>0</v>
      </c>
      <c r="L694" s="37">
        <v>0</v>
      </c>
      <c r="M694" s="37">
        <v>3</v>
      </c>
      <c r="N694" s="37">
        <v>3</v>
      </c>
    </row>
    <row r="695" spans="1:14">
      <c r="A695" s="30">
        <v>694</v>
      </c>
      <c r="B695" s="31">
        <v>40575</v>
      </c>
      <c r="C695" s="30">
        <v>6</v>
      </c>
      <c r="D695" s="37" t="s">
        <v>28</v>
      </c>
      <c r="E695" s="37" t="b">
        <v>0</v>
      </c>
      <c r="F695" s="37" t="s">
        <v>21</v>
      </c>
      <c r="G695" s="37" t="s">
        <v>10</v>
      </c>
      <c r="H695" s="37">
        <v>0.21</v>
      </c>
      <c r="I695" s="30">
        <v>0.14000000000000001</v>
      </c>
      <c r="J695" s="37">
        <v>0.93</v>
      </c>
      <c r="K695" s="37">
        <v>0</v>
      </c>
      <c r="L695" s="37">
        <v>0</v>
      </c>
      <c r="M695" s="37">
        <v>22</v>
      </c>
      <c r="N695" s="37">
        <v>22</v>
      </c>
    </row>
    <row r="696" spans="1:14">
      <c r="A696" s="30">
        <v>695</v>
      </c>
      <c r="B696" s="31">
        <v>40575</v>
      </c>
      <c r="C696" s="30">
        <v>7</v>
      </c>
      <c r="D696" s="37" t="s">
        <v>28</v>
      </c>
      <c r="E696" s="37" t="b">
        <v>0</v>
      </c>
      <c r="F696" s="37" t="s">
        <v>21</v>
      </c>
      <c r="G696" s="37" t="s">
        <v>10</v>
      </c>
      <c r="H696" s="37">
        <v>0.23</v>
      </c>
      <c r="I696" s="30">
        <v>0.16</v>
      </c>
      <c r="J696" s="37">
        <v>0.93</v>
      </c>
      <c r="K696" s="37">
        <v>0</v>
      </c>
      <c r="L696" s="37">
        <v>0</v>
      </c>
      <c r="M696" s="37">
        <v>52</v>
      </c>
      <c r="N696" s="37">
        <v>52</v>
      </c>
    </row>
    <row r="697" spans="1:14">
      <c r="A697" s="30">
        <v>696</v>
      </c>
      <c r="B697" s="31">
        <v>40575</v>
      </c>
      <c r="C697" s="30">
        <v>8</v>
      </c>
      <c r="D697" s="37" t="s">
        <v>28</v>
      </c>
      <c r="E697" s="37" t="b">
        <v>0</v>
      </c>
      <c r="F697" s="37" t="s">
        <v>21</v>
      </c>
      <c r="G697" s="37" t="s">
        <v>10</v>
      </c>
      <c r="H697" s="37">
        <v>0.23</v>
      </c>
      <c r="I697" s="30">
        <v>0.16</v>
      </c>
      <c r="J697" s="37">
        <v>0.93</v>
      </c>
      <c r="K697" s="37">
        <v>0</v>
      </c>
      <c r="L697" s="37">
        <v>3</v>
      </c>
      <c r="M697" s="37">
        <v>132</v>
      </c>
      <c r="N697" s="37">
        <v>135</v>
      </c>
    </row>
    <row r="698" spans="1:14">
      <c r="A698" s="30">
        <v>697</v>
      </c>
      <c r="B698" s="31">
        <v>40575</v>
      </c>
      <c r="C698" s="30">
        <v>9</v>
      </c>
      <c r="D698" s="37" t="s">
        <v>28</v>
      </c>
      <c r="E698" s="37" t="b">
        <v>0</v>
      </c>
      <c r="F698" s="37" t="s">
        <v>21</v>
      </c>
      <c r="G698" s="37" t="s">
        <v>9</v>
      </c>
      <c r="H698" s="37">
        <v>0.23</v>
      </c>
      <c r="I698" s="30">
        <v>0.16</v>
      </c>
      <c r="J698" s="37">
        <v>0.93</v>
      </c>
      <c r="K698" s="37">
        <v>0</v>
      </c>
      <c r="L698" s="37">
        <v>2</v>
      </c>
      <c r="M698" s="37">
        <v>114</v>
      </c>
      <c r="N698" s="37">
        <v>116</v>
      </c>
    </row>
    <row r="699" spans="1:14">
      <c r="A699" s="30">
        <v>698</v>
      </c>
      <c r="B699" s="31">
        <v>40575</v>
      </c>
      <c r="C699" s="30">
        <v>10</v>
      </c>
      <c r="D699" s="37" t="s">
        <v>28</v>
      </c>
      <c r="E699" s="37" t="b">
        <v>0</v>
      </c>
      <c r="F699" s="37" t="s">
        <v>21</v>
      </c>
      <c r="G699" s="37" t="s">
        <v>9</v>
      </c>
      <c r="H699" s="37">
        <v>0.23</v>
      </c>
      <c r="I699" s="30">
        <v>0.16</v>
      </c>
      <c r="J699" s="37">
        <v>0.93</v>
      </c>
      <c r="K699" s="37">
        <v>0</v>
      </c>
      <c r="L699" s="37">
        <v>0</v>
      </c>
      <c r="M699" s="37">
        <v>47</v>
      </c>
      <c r="N699" s="37">
        <v>47</v>
      </c>
    </row>
    <row r="700" spans="1:14">
      <c r="A700" s="30">
        <v>699</v>
      </c>
      <c r="B700" s="31">
        <v>40575</v>
      </c>
      <c r="C700" s="30">
        <v>11</v>
      </c>
      <c r="D700" s="37" t="s">
        <v>28</v>
      </c>
      <c r="E700" s="37" t="b">
        <v>0</v>
      </c>
      <c r="F700" s="37" t="s">
        <v>21</v>
      </c>
      <c r="G700" s="37" t="s">
        <v>9</v>
      </c>
      <c r="H700" s="37">
        <v>0.24</v>
      </c>
      <c r="I700" s="30">
        <v>0.18</v>
      </c>
      <c r="J700" s="37">
        <v>0.86</v>
      </c>
      <c r="K700" s="37">
        <v>0</v>
      </c>
      <c r="L700" s="37">
        <v>2</v>
      </c>
      <c r="M700" s="37">
        <v>49</v>
      </c>
      <c r="N700" s="37">
        <v>51</v>
      </c>
    </row>
    <row r="701" spans="1:14">
      <c r="A701" s="30">
        <v>700</v>
      </c>
      <c r="B701" s="31">
        <v>40575</v>
      </c>
      <c r="C701" s="30">
        <v>12</v>
      </c>
      <c r="D701" s="37" t="s">
        <v>29</v>
      </c>
      <c r="E701" s="37" t="b">
        <v>0</v>
      </c>
      <c r="F701" s="37" t="s">
        <v>21</v>
      </c>
      <c r="G701" s="37" t="s">
        <v>9</v>
      </c>
      <c r="H701" s="37">
        <v>0.26</v>
      </c>
      <c r="I701" s="30">
        <v>0.2</v>
      </c>
      <c r="J701" s="37">
        <v>0.86</v>
      </c>
      <c r="K701" s="37">
        <v>0</v>
      </c>
      <c r="L701" s="37">
        <v>2</v>
      </c>
      <c r="M701" s="37">
        <v>53</v>
      </c>
      <c r="N701" s="37">
        <v>55</v>
      </c>
    </row>
    <row r="702" spans="1:14">
      <c r="A702" s="30">
        <v>701</v>
      </c>
      <c r="B702" s="31">
        <v>40575</v>
      </c>
      <c r="C702" s="30">
        <v>13</v>
      </c>
      <c r="D702" s="37" t="s">
        <v>29</v>
      </c>
      <c r="E702" s="37" t="b">
        <v>0</v>
      </c>
      <c r="F702" s="37" t="s">
        <v>21</v>
      </c>
      <c r="G702" s="37" t="s">
        <v>9</v>
      </c>
      <c r="H702" s="37">
        <v>0.26</v>
      </c>
      <c r="I702" s="30">
        <v>0.2</v>
      </c>
      <c r="J702" s="37">
        <v>0.86</v>
      </c>
      <c r="K702" s="37">
        <v>0</v>
      </c>
      <c r="L702" s="37">
        <v>3</v>
      </c>
      <c r="M702" s="37">
        <v>49</v>
      </c>
      <c r="N702" s="37">
        <v>52</v>
      </c>
    </row>
    <row r="703" spans="1:14">
      <c r="A703" s="30">
        <v>702</v>
      </c>
      <c r="B703" s="31">
        <v>40575</v>
      </c>
      <c r="C703" s="30">
        <v>14</v>
      </c>
      <c r="D703" s="37" t="s">
        <v>29</v>
      </c>
      <c r="E703" s="37" t="b">
        <v>0</v>
      </c>
      <c r="F703" s="37" t="s">
        <v>21</v>
      </c>
      <c r="G703" s="37" t="s">
        <v>9</v>
      </c>
      <c r="H703" s="37">
        <v>0.26</v>
      </c>
      <c r="I703" s="30">
        <v>0.22</v>
      </c>
      <c r="J703" s="37">
        <v>0.8</v>
      </c>
      <c r="K703" s="37">
        <v>0.09</v>
      </c>
      <c r="L703" s="37">
        <v>5</v>
      </c>
      <c r="M703" s="37">
        <v>49</v>
      </c>
      <c r="N703" s="37">
        <v>54</v>
      </c>
    </row>
    <row r="704" spans="1:14">
      <c r="A704" s="30">
        <v>703</v>
      </c>
      <c r="B704" s="31">
        <v>40575</v>
      </c>
      <c r="C704" s="30">
        <v>15</v>
      </c>
      <c r="D704" s="37" t="s">
        <v>29</v>
      </c>
      <c r="E704" s="37" t="b">
        <v>0</v>
      </c>
      <c r="F704" s="37" t="s">
        <v>21</v>
      </c>
      <c r="G704" s="37" t="s">
        <v>9</v>
      </c>
      <c r="H704" s="37">
        <v>0.28999999999999998</v>
      </c>
      <c r="I704" s="30">
        <v>0.24</v>
      </c>
      <c r="J704" s="37">
        <v>0.75</v>
      </c>
      <c r="K704" s="37">
        <v>0</v>
      </c>
      <c r="L704" s="37">
        <v>7</v>
      </c>
      <c r="M704" s="37">
        <v>45</v>
      </c>
      <c r="N704" s="37">
        <v>52</v>
      </c>
    </row>
    <row r="705" spans="1:14">
      <c r="A705" s="30">
        <v>704</v>
      </c>
      <c r="B705" s="31">
        <v>40575</v>
      </c>
      <c r="C705" s="30">
        <v>16</v>
      </c>
      <c r="D705" s="37" t="s">
        <v>29</v>
      </c>
      <c r="E705" s="37" t="b">
        <v>0</v>
      </c>
      <c r="F705" s="37" t="s">
        <v>21</v>
      </c>
      <c r="G705" s="37" t="s">
        <v>9</v>
      </c>
      <c r="H705" s="37">
        <v>0.24</v>
      </c>
      <c r="I705" s="30">
        <v>0.24</v>
      </c>
      <c r="J705" s="37">
        <v>0.75</v>
      </c>
      <c r="K705" s="37">
        <v>0.13</v>
      </c>
      <c r="L705" s="37">
        <v>3</v>
      </c>
      <c r="M705" s="37">
        <v>61</v>
      </c>
      <c r="N705" s="37">
        <v>64</v>
      </c>
    </row>
    <row r="706" spans="1:14">
      <c r="A706" s="30">
        <v>705</v>
      </c>
      <c r="B706" s="31">
        <v>40575</v>
      </c>
      <c r="C706" s="30">
        <v>17</v>
      </c>
      <c r="D706" s="37" t="s">
        <v>29</v>
      </c>
      <c r="E706" s="37" t="b">
        <v>0</v>
      </c>
      <c r="F706" s="37" t="s">
        <v>21</v>
      </c>
      <c r="G706" s="37" t="s">
        <v>9</v>
      </c>
      <c r="H706" s="37">
        <v>0.28999999999999998</v>
      </c>
      <c r="I706" s="30">
        <v>0.24</v>
      </c>
      <c r="J706" s="37">
        <v>0.75</v>
      </c>
      <c r="K706" s="37">
        <v>0</v>
      </c>
      <c r="L706" s="37">
        <v>4</v>
      </c>
      <c r="M706" s="37">
        <v>172</v>
      </c>
      <c r="N706" s="37">
        <v>176</v>
      </c>
    </row>
    <row r="707" spans="1:14">
      <c r="A707" s="30">
        <v>706</v>
      </c>
      <c r="B707" s="31">
        <v>40575</v>
      </c>
      <c r="C707" s="30">
        <v>18</v>
      </c>
      <c r="D707" s="37" t="s">
        <v>30</v>
      </c>
      <c r="E707" s="37" t="b">
        <v>0</v>
      </c>
      <c r="F707" s="37" t="s">
        <v>21</v>
      </c>
      <c r="G707" s="37" t="s">
        <v>9</v>
      </c>
      <c r="H707" s="37">
        <v>0.26</v>
      </c>
      <c r="I707" s="30">
        <v>0.24</v>
      </c>
      <c r="J707" s="37">
        <v>0.81</v>
      </c>
      <c r="K707" s="37">
        <v>0.1</v>
      </c>
      <c r="L707" s="37">
        <v>3</v>
      </c>
      <c r="M707" s="37">
        <v>165</v>
      </c>
      <c r="N707" s="37">
        <v>168</v>
      </c>
    </row>
    <row r="708" spans="1:14">
      <c r="A708" s="30">
        <v>707</v>
      </c>
      <c r="B708" s="31">
        <v>40575</v>
      </c>
      <c r="C708" s="30">
        <v>19</v>
      </c>
      <c r="D708" s="37" t="s">
        <v>30</v>
      </c>
      <c r="E708" s="37" t="b">
        <v>0</v>
      </c>
      <c r="F708" s="37" t="s">
        <v>21</v>
      </c>
      <c r="G708" s="37" t="s">
        <v>9</v>
      </c>
      <c r="H708" s="37">
        <v>0.24</v>
      </c>
      <c r="I708" s="30">
        <v>0.24</v>
      </c>
      <c r="J708" s="37">
        <v>0.81</v>
      </c>
      <c r="K708" s="37">
        <v>0.13</v>
      </c>
      <c r="L708" s="37">
        <v>3</v>
      </c>
      <c r="M708" s="37">
        <v>105</v>
      </c>
      <c r="N708" s="37">
        <v>108</v>
      </c>
    </row>
    <row r="709" spans="1:14">
      <c r="A709" s="30">
        <v>708</v>
      </c>
      <c r="B709" s="31">
        <v>40575</v>
      </c>
      <c r="C709" s="30">
        <v>20</v>
      </c>
      <c r="D709" s="37" t="s">
        <v>30</v>
      </c>
      <c r="E709" s="37" t="b">
        <v>0</v>
      </c>
      <c r="F709" s="37" t="s">
        <v>21</v>
      </c>
      <c r="G709" s="37" t="s">
        <v>9</v>
      </c>
      <c r="H709" s="37">
        <v>0.23</v>
      </c>
      <c r="I709" s="30">
        <v>0.22</v>
      </c>
      <c r="J709" s="37">
        <v>0.87</v>
      </c>
      <c r="K709" s="37">
        <v>0.13</v>
      </c>
      <c r="L709" s="37">
        <v>5</v>
      </c>
      <c r="M709" s="37">
        <v>69</v>
      </c>
      <c r="N709" s="37">
        <v>74</v>
      </c>
    </row>
    <row r="710" spans="1:14">
      <c r="A710" s="30">
        <v>709</v>
      </c>
      <c r="B710" s="31">
        <v>40575</v>
      </c>
      <c r="C710" s="30">
        <v>21</v>
      </c>
      <c r="D710" s="37" t="s">
        <v>30</v>
      </c>
      <c r="E710" s="37" t="b">
        <v>0</v>
      </c>
      <c r="F710" s="37" t="s">
        <v>21</v>
      </c>
      <c r="G710" s="37" t="s">
        <v>9</v>
      </c>
      <c r="H710" s="37">
        <v>0.23</v>
      </c>
      <c r="I710" s="30">
        <v>0.22</v>
      </c>
      <c r="J710" s="37">
        <v>0.87</v>
      </c>
      <c r="K710" s="37">
        <v>0.13</v>
      </c>
      <c r="L710" s="37">
        <v>0</v>
      </c>
      <c r="M710" s="37">
        <v>64</v>
      </c>
      <c r="N710" s="37">
        <v>64</v>
      </c>
    </row>
    <row r="711" spans="1:14">
      <c r="A711" s="30">
        <v>710</v>
      </c>
      <c r="B711" s="31">
        <v>40575</v>
      </c>
      <c r="C711" s="30">
        <v>22</v>
      </c>
      <c r="D711" s="37" t="s">
        <v>30</v>
      </c>
      <c r="E711" s="37" t="b">
        <v>0</v>
      </c>
      <c r="F711" s="37" t="s">
        <v>21</v>
      </c>
      <c r="G711" s="37" t="s">
        <v>9</v>
      </c>
      <c r="H711" s="37">
        <v>0.26</v>
      </c>
      <c r="I711" s="30">
        <v>0.22</v>
      </c>
      <c r="J711" s="37">
        <v>0.87</v>
      </c>
      <c r="K711" s="37">
        <v>0.09</v>
      </c>
      <c r="L711" s="37">
        <v>2</v>
      </c>
      <c r="M711" s="37">
        <v>34</v>
      </c>
      <c r="N711" s="37">
        <v>36</v>
      </c>
    </row>
    <row r="712" spans="1:14">
      <c r="A712" s="30">
        <v>711</v>
      </c>
      <c r="B712" s="31">
        <v>40575</v>
      </c>
      <c r="C712" s="30">
        <v>23</v>
      </c>
      <c r="D712" s="37" t="s">
        <v>30</v>
      </c>
      <c r="E712" s="37" t="b">
        <v>0</v>
      </c>
      <c r="F712" s="37" t="s">
        <v>21</v>
      </c>
      <c r="G712" s="37" t="s">
        <v>10</v>
      </c>
      <c r="H712" s="37">
        <v>0.2</v>
      </c>
      <c r="I712" s="30">
        <v>0.2</v>
      </c>
      <c r="J712" s="37">
        <v>0.93</v>
      </c>
      <c r="K712" s="37">
        <v>0.19</v>
      </c>
      <c r="L712" s="37">
        <v>1</v>
      </c>
      <c r="M712" s="37">
        <v>15</v>
      </c>
      <c r="N712" s="37">
        <v>16</v>
      </c>
    </row>
    <row r="713" spans="1:14">
      <c r="A713" s="30">
        <v>712</v>
      </c>
      <c r="B713" s="31">
        <v>40576</v>
      </c>
      <c r="C713" s="30">
        <v>0</v>
      </c>
      <c r="D713" s="37" t="s">
        <v>27</v>
      </c>
      <c r="E713" s="37" t="b">
        <v>0</v>
      </c>
      <c r="F713" s="37" t="s">
        <v>22</v>
      </c>
      <c r="G713" s="37" t="s">
        <v>10</v>
      </c>
      <c r="H713" s="37">
        <v>0.24</v>
      </c>
      <c r="I713" s="30">
        <v>0.22</v>
      </c>
      <c r="J713" s="37">
        <v>0.93</v>
      </c>
      <c r="K713" s="37">
        <v>0.1</v>
      </c>
      <c r="L713" s="37">
        <v>0</v>
      </c>
      <c r="M713" s="37">
        <v>2</v>
      </c>
      <c r="N713" s="37">
        <v>2</v>
      </c>
    </row>
    <row r="714" spans="1:14">
      <c r="A714" s="30">
        <v>713</v>
      </c>
      <c r="B714" s="31">
        <v>40576</v>
      </c>
      <c r="C714" s="30">
        <v>1</v>
      </c>
      <c r="D714" s="37" t="s">
        <v>27</v>
      </c>
      <c r="E714" s="37" t="b">
        <v>0</v>
      </c>
      <c r="F714" s="37" t="s">
        <v>22</v>
      </c>
      <c r="G714" s="37" t="s">
        <v>10</v>
      </c>
      <c r="H714" s="37">
        <v>0.23</v>
      </c>
      <c r="I714" s="30">
        <v>0.22</v>
      </c>
      <c r="J714" s="37">
        <v>0.93</v>
      </c>
      <c r="K714" s="37">
        <v>0.19</v>
      </c>
      <c r="L714" s="37">
        <v>0</v>
      </c>
      <c r="M714" s="37">
        <v>3</v>
      </c>
      <c r="N714" s="37">
        <v>3</v>
      </c>
    </row>
    <row r="715" spans="1:14">
      <c r="A715" s="30">
        <v>714</v>
      </c>
      <c r="B715" s="31">
        <v>40576</v>
      </c>
      <c r="C715" s="30">
        <v>2</v>
      </c>
      <c r="D715" s="37" t="s">
        <v>27</v>
      </c>
      <c r="E715" s="37" t="b">
        <v>0</v>
      </c>
      <c r="F715" s="37" t="s">
        <v>22</v>
      </c>
      <c r="G715" s="37" t="s">
        <v>10</v>
      </c>
      <c r="H715" s="37">
        <v>0.23</v>
      </c>
      <c r="I715" s="30">
        <v>0.22</v>
      </c>
      <c r="J715" s="37">
        <v>0.93</v>
      </c>
      <c r="K715" s="37">
        <v>0.13</v>
      </c>
      <c r="L715" s="37">
        <v>4</v>
      </c>
      <c r="M715" s="37">
        <v>0</v>
      </c>
      <c r="N715" s="37">
        <v>4</v>
      </c>
    </row>
    <row r="716" spans="1:14">
      <c r="A716" s="30">
        <v>715</v>
      </c>
      <c r="B716" s="31">
        <v>40576</v>
      </c>
      <c r="C716" s="30">
        <v>3</v>
      </c>
      <c r="D716" s="37" t="s">
        <v>27</v>
      </c>
      <c r="E716" s="37" t="b">
        <v>0</v>
      </c>
      <c r="F716" s="37" t="s">
        <v>22</v>
      </c>
      <c r="G716" s="37" t="s">
        <v>10</v>
      </c>
      <c r="H716" s="37">
        <v>0.23</v>
      </c>
      <c r="I716" s="30">
        <v>0.22</v>
      </c>
      <c r="J716" s="37">
        <v>0.93</v>
      </c>
      <c r="K716" s="37">
        <v>0.13</v>
      </c>
      <c r="L716" s="37">
        <v>0</v>
      </c>
      <c r="M716" s="37">
        <v>1</v>
      </c>
      <c r="N716" s="37">
        <v>1</v>
      </c>
    </row>
    <row r="717" spans="1:14">
      <c r="A717" s="30">
        <v>716</v>
      </c>
      <c r="B717" s="31">
        <v>40576</v>
      </c>
      <c r="C717" s="30">
        <v>4</v>
      </c>
      <c r="D717" s="37" t="s">
        <v>27</v>
      </c>
      <c r="E717" s="37" t="b">
        <v>0</v>
      </c>
      <c r="F717" s="37" t="s">
        <v>22</v>
      </c>
      <c r="G717" s="37" t="s">
        <v>10</v>
      </c>
      <c r="H717" s="37">
        <v>0.21</v>
      </c>
      <c r="I717" s="30">
        <v>0.22</v>
      </c>
      <c r="J717" s="37">
        <v>0.93</v>
      </c>
      <c r="K717" s="37">
        <v>0.28000000000000003</v>
      </c>
      <c r="L717" s="37">
        <v>0</v>
      </c>
      <c r="M717" s="37">
        <v>1</v>
      </c>
      <c r="N717" s="37">
        <v>1</v>
      </c>
    </row>
    <row r="718" spans="1:14">
      <c r="A718" s="30">
        <v>717</v>
      </c>
      <c r="B718" s="31">
        <v>40576</v>
      </c>
      <c r="C718" s="30">
        <v>5</v>
      </c>
      <c r="D718" s="37" t="s">
        <v>27</v>
      </c>
      <c r="E718" s="37" t="b">
        <v>0</v>
      </c>
      <c r="F718" s="37" t="s">
        <v>22</v>
      </c>
      <c r="G718" s="37" t="s">
        <v>10</v>
      </c>
      <c r="H718" s="37">
        <v>0.24</v>
      </c>
      <c r="I718" s="30">
        <v>0.22</v>
      </c>
      <c r="J718" s="37">
        <v>0.93</v>
      </c>
      <c r="K718" s="37">
        <v>0.1</v>
      </c>
      <c r="L718" s="37">
        <v>0</v>
      </c>
      <c r="M718" s="37">
        <v>3</v>
      </c>
      <c r="N718" s="37">
        <v>3</v>
      </c>
    </row>
    <row r="719" spans="1:14">
      <c r="A719" s="30">
        <v>718</v>
      </c>
      <c r="B719" s="31">
        <v>40576</v>
      </c>
      <c r="C719" s="30">
        <v>6</v>
      </c>
      <c r="D719" s="37" t="s">
        <v>28</v>
      </c>
      <c r="E719" s="37" t="b">
        <v>0</v>
      </c>
      <c r="F719" s="37" t="s">
        <v>22</v>
      </c>
      <c r="G719" s="37" t="s">
        <v>10</v>
      </c>
      <c r="H719" s="37">
        <v>0.24</v>
      </c>
      <c r="I719" s="30">
        <v>0.22</v>
      </c>
      <c r="J719" s="37">
        <v>0.93</v>
      </c>
      <c r="K719" s="37">
        <v>0.1</v>
      </c>
      <c r="L719" s="37">
        <v>1</v>
      </c>
      <c r="M719" s="37">
        <v>17</v>
      </c>
      <c r="N719" s="37">
        <v>18</v>
      </c>
    </row>
    <row r="720" spans="1:14">
      <c r="A720" s="30">
        <v>719</v>
      </c>
      <c r="B720" s="31">
        <v>40576</v>
      </c>
      <c r="C720" s="30">
        <v>7</v>
      </c>
      <c r="D720" s="37" t="s">
        <v>28</v>
      </c>
      <c r="E720" s="37" t="b">
        <v>0</v>
      </c>
      <c r="F720" s="37" t="s">
        <v>22</v>
      </c>
      <c r="G720" s="37" t="s">
        <v>10</v>
      </c>
      <c r="H720" s="37">
        <v>0.21</v>
      </c>
      <c r="I720" s="30">
        <v>0.22</v>
      </c>
      <c r="J720" s="37">
        <v>0.93</v>
      </c>
      <c r="K720" s="37">
        <v>0.22</v>
      </c>
      <c r="L720" s="37">
        <v>1</v>
      </c>
      <c r="M720" s="37">
        <v>48</v>
      </c>
      <c r="N720" s="37">
        <v>49</v>
      </c>
    </row>
    <row r="721" spans="1:14">
      <c r="A721" s="30">
        <v>720</v>
      </c>
      <c r="B721" s="31">
        <v>40576</v>
      </c>
      <c r="C721" s="30">
        <v>8</v>
      </c>
      <c r="D721" s="37" t="s">
        <v>28</v>
      </c>
      <c r="E721" s="37" t="b">
        <v>0</v>
      </c>
      <c r="F721" s="37" t="s">
        <v>22</v>
      </c>
      <c r="G721" s="37" t="s">
        <v>10</v>
      </c>
      <c r="H721" s="37">
        <v>0.21</v>
      </c>
      <c r="I721" s="30">
        <v>0.22</v>
      </c>
      <c r="J721" s="37">
        <v>0.93</v>
      </c>
      <c r="K721" s="37">
        <v>0.22</v>
      </c>
      <c r="L721" s="37">
        <v>1</v>
      </c>
      <c r="M721" s="37">
        <v>154</v>
      </c>
      <c r="N721" s="37">
        <v>155</v>
      </c>
    </row>
    <row r="722" spans="1:14">
      <c r="A722" s="30">
        <v>721</v>
      </c>
      <c r="B722" s="31">
        <v>40576</v>
      </c>
      <c r="C722" s="30">
        <v>9</v>
      </c>
      <c r="D722" s="37" t="s">
        <v>28</v>
      </c>
      <c r="E722" s="37" t="b">
        <v>0</v>
      </c>
      <c r="F722" s="37" t="s">
        <v>22</v>
      </c>
      <c r="G722" s="37" t="s">
        <v>9</v>
      </c>
      <c r="H722" s="37">
        <v>0.26</v>
      </c>
      <c r="I722" s="30">
        <v>0.24</v>
      </c>
      <c r="J722" s="37">
        <v>0.93</v>
      </c>
      <c r="K722" s="37">
        <v>0.09</v>
      </c>
      <c r="L722" s="37">
        <v>4</v>
      </c>
      <c r="M722" s="37">
        <v>119</v>
      </c>
      <c r="N722" s="37">
        <v>123</v>
      </c>
    </row>
    <row r="723" spans="1:14">
      <c r="A723" s="30">
        <v>722</v>
      </c>
      <c r="B723" s="31">
        <v>40576</v>
      </c>
      <c r="C723" s="30">
        <v>10</v>
      </c>
      <c r="D723" s="37" t="s">
        <v>28</v>
      </c>
      <c r="E723" s="37" t="b">
        <v>0</v>
      </c>
      <c r="F723" s="37" t="s">
        <v>22</v>
      </c>
      <c r="G723" s="37" t="s">
        <v>9</v>
      </c>
      <c r="H723" s="37">
        <v>0.27</v>
      </c>
      <c r="I723" s="30">
        <v>0.22</v>
      </c>
      <c r="J723" s="37">
        <v>1</v>
      </c>
      <c r="K723" s="37">
        <v>0</v>
      </c>
      <c r="L723" s="37">
        <v>2</v>
      </c>
      <c r="M723" s="37">
        <v>59</v>
      </c>
      <c r="N723" s="37">
        <v>61</v>
      </c>
    </row>
    <row r="724" spans="1:14">
      <c r="A724" s="30">
        <v>723</v>
      </c>
      <c r="B724" s="31">
        <v>40576</v>
      </c>
      <c r="C724" s="30">
        <v>11</v>
      </c>
      <c r="D724" s="37" t="s">
        <v>28</v>
      </c>
      <c r="E724" s="37" t="b">
        <v>0</v>
      </c>
      <c r="F724" s="37" t="s">
        <v>22</v>
      </c>
      <c r="G724" s="37" t="s">
        <v>9</v>
      </c>
      <c r="H724" s="37">
        <v>0.23</v>
      </c>
      <c r="I724" s="30">
        <v>0.24</v>
      </c>
      <c r="J724" s="37">
        <v>0.93</v>
      </c>
      <c r="K724" s="37">
        <v>0.19</v>
      </c>
      <c r="L724" s="37">
        <v>5</v>
      </c>
      <c r="M724" s="37">
        <v>47</v>
      </c>
      <c r="N724" s="37">
        <v>52</v>
      </c>
    </row>
    <row r="725" spans="1:14">
      <c r="A725" s="30">
        <v>724</v>
      </c>
      <c r="B725" s="31">
        <v>40576</v>
      </c>
      <c r="C725" s="30">
        <v>12</v>
      </c>
      <c r="D725" s="37" t="s">
        <v>29</v>
      </c>
      <c r="E725" s="37" t="b">
        <v>0</v>
      </c>
      <c r="F725" s="37" t="s">
        <v>22</v>
      </c>
      <c r="G725" s="37" t="s">
        <v>9</v>
      </c>
      <c r="H725" s="37">
        <v>0.23</v>
      </c>
      <c r="I725" s="30">
        <v>0.24</v>
      </c>
      <c r="J725" s="37">
        <v>0.93</v>
      </c>
      <c r="K725" s="37">
        <v>0.22</v>
      </c>
      <c r="L725" s="37">
        <v>3</v>
      </c>
      <c r="M725" s="37">
        <v>61</v>
      </c>
      <c r="N725" s="37">
        <v>64</v>
      </c>
    </row>
    <row r="726" spans="1:14">
      <c r="A726" s="30">
        <v>725</v>
      </c>
      <c r="B726" s="31">
        <v>40576</v>
      </c>
      <c r="C726" s="30">
        <v>13</v>
      </c>
      <c r="D726" s="37" t="s">
        <v>29</v>
      </c>
      <c r="E726" s="37" t="b">
        <v>0</v>
      </c>
      <c r="F726" s="37" t="s">
        <v>22</v>
      </c>
      <c r="G726" s="37" t="s">
        <v>8</v>
      </c>
      <c r="H726" s="37">
        <v>0.33</v>
      </c>
      <c r="I726" s="30">
        <v>0.34</v>
      </c>
      <c r="J726" s="37">
        <v>0.93</v>
      </c>
      <c r="K726" s="37">
        <v>0.16</v>
      </c>
      <c r="L726" s="37">
        <v>1</v>
      </c>
      <c r="M726" s="37">
        <v>74</v>
      </c>
      <c r="N726" s="37">
        <v>75</v>
      </c>
    </row>
    <row r="727" spans="1:14">
      <c r="A727" s="30">
        <v>726</v>
      </c>
      <c r="B727" s="31">
        <v>40576</v>
      </c>
      <c r="C727" s="30">
        <v>14</v>
      </c>
      <c r="D727" s="37" t="s">
        <v>29</v>
      </c>
      <c r="E727" s="37" t="b">
        <v>0</v>
      </c>
      <c r="F727" s="37" t="s">
        <v>22</v>
      </c>
      <c r="G727" s="37" t="s">
        <v>8</v>
      </c>
      <c r="H727" s="37">
        <v>0.39</v>
      </c>
      <c r="I727" s="30">
        <v>0.38</v>
      </c>
      <c r="J727" s="37">
        <v>0.82</v>
      </c>
      <c r="K727" s="37">
        <v>0.39</v>
      </c>
      <c r="L727" s="37">
        <v>2</v>
      </c>
      <c r="M727" s="37">
        <v>61</v>
      </c>
      <c r="N727" s="37">
        <v>63</v>
      </c>
    </row>
    <row r="728" spans="1:14">
      <c r="A728" s="30">
        <v>727</v>
      </c>
      <c r="B728" s="31">
        <v>40576</v>
      </c>
      <c r="C728" s="30">
        <v>15</v>
      </c>
      <c r="D728" s="37" t="s">
        <v>29</v>
      </c>
      <c r="E728" s="37" t="b">
        <v>0</v>
      </c>
      <c r="F728" s="37" t="s">
        <v>22</v>
      </c>
      <c r="G728" s="37" t="s">
        <v>8</v>
      </c>
      <c r="H728" s="37">
        <v>0.39</v>
      </c>
      <c r="I728" s="30">
        <v>0.38</v>
      </c>
      <c r="J728" s="37">
        <v>0.76</v>
      </c>
      <c r="K728" s="37">
        <v>0.33</v>
      </c>
      <c r="L728" s="37">
        <v>10</v>
      </c>
      <c r="M728" s="37">
        <v>66</v>
      </c>
      <c r="N728" s="37">
        <v>76</v>
      </c>
    </row>
    <row r="729" spans="1:14">
      <c r="A729" s="30">
        <v>728</v>
      </c>
      <c r="B729" s="31">
        <v>40576</v>
      </c>
      <c r="C729" s="30">
        <v>16</v>
      </c>
      <c r="D729" s="37" t="s">
        <v>29</v>
      </c>
      <c r="E729" s="37" t="b">
        <v>0</v>
      </c>
      <c r="F729" s="37" t="s">
        <v>22</v>
      </c>
      <c r="G729" s="37" t="s">
        <v>8</v>
      </c>
      <c r="H729" s="37">
        <v>0.33</v>
      </c>
      <c r="I729" s="30">
        <v>0.36</v>
      </c>
      <c r="J729" s="37">
        <v>0.71</v>
      </c>
      <c r="K729" s="37">
        <v>0.3</v>
      </c>
      <c r="L729" s="37">
        <v>8</v>
      </c>
      <c r="M729" s="37">
        <v>95</v>
      </c>
      <c r="N729" s="37">
        <v>103</v>
      </c>
    </row>
    <row r="730" spans="1:14">
      <c r="A730" s="30">
        <v>729</v>
      </c>
      <c r="B730" s="31">
        <v>40576</v>
      </c>
      <c r="C730" s="30">
        <v>17</v>
      </c>
      <c r="D730" s="37" t="s">
        <v>29</v>
      </c>
      <c r="E730" s="37" t="b">
        <v>0</v>
      </c>
      <c r="F730" s="37" t="s">
        <v>22</v>
      </c>
      <c r="G730" s="37" t="s">
        <v>8</v>
      </c>
      <c r="H730" s="37">
        <v>0.32</v>
      </c>
      <c r="I730" s="30">
        <v>0.36</v>
      </c>
      <c r="J730" s="37">
        <v>0.53</v>
      </c>
      <c r="K730" s="37">
        <v>0.52</v>
      </c>
      <c r="L730" s="37">
        <v>7</v>
      </c>
      <c r="M730" s="37">
        <v>183</v>
      </c>
      <c r="N730" s="37">
        <v>190</v>
      </c>
    </row>
    <row r="731" spans="1:14">
      <c r="A731" s="30">
        <v>730</v>
      </c>
      <c r="B731" s="31">
        <v>40576</v>
      </c>
      <c r="C731" s="30">
        <v>18</v>
      </c>
      <c r="D731" s="37" t="s">
        <v>30</v>
      </c>
      <c r="E731" s="37" t="b">
        <v>0</v>
      </c>
      <c r="F731" s="37" t="s">
        <v>22</v>
      </c>
      <c r="G731" s="37" t="s">
        <v>8</v>
      </c>
      <c r="H731" s="37">
        <v>0.28999999999999998</v>
      </c>
      <c r="I731" s="30">
        <v>0.34</v>
      </c>
      <c r="J731" s="37">
        <v>0.42</v>
      </c>
      <c r="K731" s="37">
        <v>0.55000000000000004</v>
      </c>
      <c r="L731" s="37">
        <v>7</v>
      </c>
      <c r="M731" s="37">
        <v>175</v>
      </c>
      <c r="N731" s="37">
        <v>182</v>
      </c>
    </row>
    <row r="732" spans="1:14">
      <c r="A732" s="30">
        <v>731</v>
      </c>
      <c r="B732" s="31">
        <v>40576</v>
      </c>
      <c r="C732" s="30">
        <v>19</v>
      </c>
      <c r="D732" s="37" t="s">
        <v>30</v>
      </c>
      <c r="E732" s="37" t="b">
        <v>0</v>
      </c>
      <c r="F732" s="37" t="s">
        <v>22</v>
      </c>
      <c r="G732" s="37" t="s">
        <v>8</v>
      </c>
      <c r="H732" s="37">
        <v>0.24</v>
      </c>
      <c r="I732" s="30">
        <v>0.28000000000000003</v>
      </c>
      <c r="J732" s="37">
        <v>0.45</v>
      </c>
      <c r="K732" s="37">
        <v>0.49</v>
      </c>
      <c r="L732" s="37">
        <v>3</v>
      </c>
      <c r="M732" s="37">
        <v>88</v>
      </c>
      <c r="N732" s="37">
        <v>91</v>
      </c>
    </row>
    <row r="733" spans="1:14">
      <c r="A733" s="30">
        <v>732</v>
      </c>
      <c r="B733" s="31">
        <v>40576</v>
      </c>
      <c r="C733" s="30">
        <v>20</v>
      </c>
      <c r="D733" s="37" t="s">
        <v>30</v>
      </c>
      <c r="E733" s="37" t="b">
        <v>0</v>
      </c>
      <c r="F733" s="37" t="s">
        <v>22</v>
      </c>
      <c r="G733" s="37" t="s">
        <v>8</v>
      </c>
      <c r="H733" s="37">
        <v>0.2</v>
      </c>
      <c r="I733" s="30">
        <v>0.24</v>
      </c>
      <c r="J733" s="37">
        <v>0.48</v>
      </c>
      <c r="K733" s="37">
        <v>0.55000000000000004</v>
      </c>
      <c r="L733" s="37">
        <v>4</v>
      </c>
      <c r="M733" s="37">
        <v>71</v>
      </c>
      <c r="N733" s="37">
        <v>75</v>
      </c>
    </row>
    <row r="734" spans="1:14">
      <c r="A734" s="30">
        <v>733</v>
      </c>
      <c r="B734" s="31">
        <v>40576</v>
      </c>
      <c r="C734" s="30">
        <v>21</v>
      </c>
      <c r="D734" s="37" t="s">
        <v>30</v>
      </c>
      <c r="E734" s="37" t="b">
        <v>0</v>
      </c>
      <c r="F734" s="37" t="s">
        <v>22</v>
      </c>
      <c r="G734" s="37" t="s">
        <v>8</v>
      </c>
      <c r="H734" s="37">
        <v>0.2</v>
      </c>
      <c r="I734" s="30">
        <v>0.22</v>
      </c>
      <c r="J734" s="37">
        <v>0.47</v>
      </c>
      <c r="K734" s="37">
        <v>0.33</v>
      </c>
      <c r="L734" s="37">
        <v>1</v>
      </c>
      <c r="M734" s="37">
        <v>62</v>
      </c>
      <c r="N734" s="37">
        <v>63</v>
      </c>
    </row>
    <row r="735" spans="1:14">
      <c r="A735" s="30">
        <v>734</v>
      </c>
      <c r="B735" s="31">
        <v>40576</v>
      </c>
      <c r="C735" s="30">
        <v>22</v>
      </c>
      <c r="D735" s="37" t="s">
        <v>30</v>
      </c>
      <c r="E735" s="37" t="b">
        <v>0</v>
      </c>
      <c r="F735" s="37" t="s">
        <v>22</v>
      </c>
      <c r="G735" s="37" t="s">
        <v>8</v>
      </c>
      <c r="H735" s="37">
        <v>0.21</v>
      </c>
      <c r="I735" s="30">
        <v>0.22</v>
      </c>
      <c r="J735" s="37">
        <v>0.44</v>
      </c>
      <c r="K735" s="37">
        <v>0.25</v>
      </c>
      <c r="L735" s="37">
        <v>5</v>
      </c>
      <c r="M735" s="37">
        <v>35</v>
      </c>
      <c r="N735" s="37">
        <v>40</v>
      </c>
    </row>
    <row r="736" spans="1:14">
      <c r="A736" s="30">
        <v>735</v>
      </c>
      <c r="B736" s="31">
        <v>40576</v>
      </c>
      <c r="C736" s="30">
        <v>23</v>
      </c>
      <c r="D736" s="37" t="s">
        <v>30</v>
      </c>
      <c r="E736" s="37" t="b">
        <v>0</v>
      </c>
      <c r="F736" s="37" t="s">
        <v>22</v>
      </c>
      <c r="G736" s="37" t="s">
        <v>8</v>
      </c>
      <c r="H736" s="37">
        <v>0.17</v>
      </c>
      <c r="I736" s="30">
        <v>0.2</v>
      </c>
      <c r="J736" s="37">
        <v>0.44</v>
      </c>
      <c r="K736" s="37">
        <v>0.45</v>
      </c>
      <c r="L736" s="37">
        <v>3</v>
      </c>
      <c r="M736" s="37">
        <v>29</v>
      </c>
      <c r="N736" s="37">
        <v>32</v>
      </c>
    </row>
    <row r="737" spans="1:14">
      <c r="A737" s="30">
        <v>736</v>
      </c>
      <c r="B737" s="31">
        <v>40577</v>
      </c>
      <c r="C737" s="30">
        <v>0</v>
      </c>
      <c r="D737" s="37" t="s">
        <v>27</v>
      </c>
      <c r="E737" s="37" t="b">
        <v>0</v>
      </c>
      <c r="F737" s="37" t="s">
        <v>23</v>
      </c>
      <c r="G737" s="37" t="s">
        <v>8</v>
      </c>
      <c r="H737" s="37">
        <v>0.17</v>
      </c>
      <c r="I737" s="30">
        <v>0.2</v>
      </c>
      <c r="J737" s="37">
        <v>0.4</v>
      </c>
      <c r="K737" s="37">
        <v>0.45</v>
      </c>
      <c r="L737" s="37">
        <v>1</v>
      </c>
      <c r="M737" s="37">
        <v>11</v>
      </c>
      <c r="N737" s="37">
        <v>12</v>
      </c>
    </row>
    <row r="738" spans="1:14">
      <c r="A738" s="30">
        <v>737</v>
      </c>
      <c r="B738" s="31">
        <v>40577</v>
      </c>
      <c r="C738" s="30">
        <v>1</v>
      </c>
      <c r="D738" s="37" t="s">
        <v>27</v>
      </c>
      <c r="E738" s="37" t="b">
        <v>0</v>
      </c>
      <c r="F738" s="37" t="s">
        <v>23</v>
      </c>
      <c r="G738" s="37" t="s">
        <v>8</v>
      </c>
      <c r="H738" s="37">
        <v>0.15</v>
      </c>
      <c r="I738" s="30">
        <v>0.2</v>
      </c>
      <c r="J738" s="37">
        <v>0.44</v>
      </c>
      <c r="K738" s="37">
        <v>0.52</v>
      </c>
      <c r="L738" s="37">
        <v>0</v>
      </c>
      <c r="M738" s="37">
        <v>5</v>
      </c>
      <c r="N738" s="37">
        <v>5</v>
      </c>
    </row>
    <row r="739" spans="1:14">
      <c r="A739" s="30">
        <v>738</v>
      </c>
      <c r="B739" s="31">
        <v>40577</v>
      </c>
      <c r="C739" s="30">
        <v>2</v>
      </c>
      <c r="D739" s="37" t="s">
        <v>27</v>
      </c>
      <c r="E739" s="37" t="b">
        <v>0</v>
      </c>
      <c r="F739" s="37" t="s">
        <v>23</v>
      </c>
      <c r="G739" s="37" t="s">
        <v>8</v>
      </c>
      <c r="H739" s="37">
        <v>0.17</v>
      </c>
      <c r="I739" s="30">
        <v>0.18</v>
      </c>
      <c r="J739" s="37">
        <v>0.43</v>
      </c>
      <c r="K739" s="37">
        <v>0.25</v>
      </c>
      <c r="L739" s="37">
        <v>0</v>
      </c>
      <c r="M739" s="37">
        <v>2</v>
      </c>
      <c r="N739" s="37">
        <v>2</v>
      </c>
    </row>
    <row r="740" spans="1:14">
      <c r="A740" s="30">
        <v>739</v>
      </c>
      <c r="B740" s="31">
        <v>40577</v>
      </c>
      <c r="C740" s="30">
        <v>3</v>
      </c>
      <c r="D740" s="37" t="s">
        <v>27</v>
      </c>
      <c r="E740" s="37" t="b">
        <v>0</v>
      </c>
      <c r="F740" s="37" t="s">
        <v>23</v>
      </c>
      <c r="G740" s="37" t="s">
        <v>8</v>
      </c>
      <c r="H740" s="37">
        <v>0.17</v>
      </c>
      <c r="I740" s="30">
        <v>0.18</v>
      </c>
      <c r="J740" s="37">
        <v>0.43</v>
      </c>
      <c r="K740" s="37">
        <v>0.25</v>
      </c>
      <c r="L740" s="37">
        <v>0</v>
      </c>
      <c r="M740" s="37">
        <v>1</v>
      </c>
      <c r="N740" s="37">
        <v>1</v>
      </c>
    </row>
    <row r="741" spans="1:14">
      <c r="A741" s="30">
        <v>740</v>
      </c>
      <c r="B741" s="31">
        <v>40577</v>
      </c>
      <c r="C741" s="30">
        <v>5</v>
      </c>
      <c r="D741" s="37" t="s">
        <v>27</v>
      </c>
      <c r="E741" s="37" t="b">
        <v>0</v>
      </c>
      <c r="F741" s="37" t="s">
        <v>23</v>
      </c>
      <c r="G741" s="37" t="s">
        <v>8</v>
      </c>
      <c r="H741" s="37">
        <v>0.14000000000000001</v>
      </c>
      <c r="I741" s="30">
        <v>0.16</v>
      </c>
      <c r="J741" s="37">
        <v>0.5</v>
      </c>
      <c r="K741" s="37">
        <v>0.3</v>
      </c>
      <c r="L741" s="37">
        <v>0</v>
      </c>
      <c r="M741" s="37">
        <v>2</v>
      </c>
      <c r="N741" s="37">
        <v>2</v>
      </c>
    </row>
    <row r="742" spans="1:14">
      <c r="A742" s="30">
        <v>741</v>
      </c>
      <c r="B742" s="31">
        <v>40577</v>
      </c>
      <c r="C742" s="30">
        <v>6</v>
      </c>
      <c r="D742" s="37" t="s">
        <v>28</v>
      </c>
      <c r="E742" s="37" t="b">
        <v>0</v>
      </c>
      <c r="F742" s="37" t="s">
        <v>23</v>
      </c>
      <c r="G742" s="37" t="s">
        <v>8</v>
      </c>
      <c r="H742" s="37">
        <v>0.14000000000000001</v>
      </c>
      <c r="I742" s="30">
        <v>0.16</v>
      </c>
      <c r="J742" s="37">
        <v>0.43</v>
      </c>
      <c r="K742" s="37">
        <v>0.36</v>
      </c>
      <c r="L742" s="37">
        <v>0</v>
      </c>
      <c r="M742" s="37">
        <v>39</v>
      </c>
      <c r="N742" s="37">
        <v>39</v>
      </c>
    </row>
    <row r="743" spans="1:14">
      <c r="A743" s="30">
        <v>742</v>
      </c>
      <c r="B743" s="31">
        <v>40577</v>
      </c>
      <c r="C743" s="30">
        <v>7</v>
      </c>
      <c r="D743" s="37" t="s">
        <v>28</v>
      </c>
      <c r="E743" s="37" t="b">
        <v>0</v>
      </c>
      <c r="F743" s="37" t="s">
        <v>23</v>
      </c>
      <c r="G743" s="37" t="s">
        <v>8</v>
      </c>
      <c r="H743" s="37">
        <v>0.12</v>
      </c>
      <c r="I743" s="30">
        <v>0.14000000000000001</v>
      </c>
      <c r="J743" s="37">
        <v>0.5</v>
      </c>
      <c r="K743" s="37">
        <v>0.33</v>
      </c>
      <c r="L743" s="37">
        <v>1</v>
      </c>
      <c r="M743" s="37">
        <v>86</v>
      </c>
      <c r="N743" s="37">
        <v>87</v>
      </c>
    </row>
    <row r="744" spans="1:14">
      <c r="A744" s="30">
        <v>743</v>
      </c>
      <c r="B744" s="31">
        <v>40577</v>
      </c>
      <c r="C744" s="30">
        <v>8</v>
      </c>
      <c r="D744" s="37" t="s">
        <v>28</v>
      </c>
      <c r="E744" s="37" t="b">
        <v>0</v>
      </c>
      <c r="F744" s="37" t="s">
        <v>23</v>
      </c>
      <c r="G744" s="37" t="s">
        <v>8</v>
      </c>
      <c r="H744" s="37">
        <v>0.12</v>
      </c>
      <c r="I744" s="30">
        <v>0.14000000000000001</v>
      </c>
      <c r="J744" s="37">
        <v>0.5</v>
      </c>
      <c r="K744" s="37">
        <v>0.36</v>
      </c>
      <c r="L744" s="37">
        <v>4</v>
      </c>
      <c r="M744" s="37">
        <v>184</v>
      </c>
      <c r="N744" s="37">
        <v>188</v>
      </c>
    </row>
    <row r="745" spans="1:14">
      <c r="A745" s="30">
        <v>744</v>
      </c>
      <c r="B745" s="31">
        <v>40577</v>
      </c>
      <c r="C745" s="30">
        <v>9</v>
      </c>
      <c r="D745" s="37" t="s">
        <v>28</v>
      </c>
      <c r="E745" s="37" t="b">
        <v>0</v>
      </c>
      <c r="F745" s="37" t="s">
        <v>23</v>
      </c>
      <c r="G745" s="37" t="s">
        <v>8</v>
      </c>
      <c r="H745" s="37">
        <v>0.14000000000000001</v>
      </c>
      <c r="I745" s="30">
        <v>0.16</v>
      </c>
      <c r="J745" s="37">
        <v>0.47</v>
      </c>
      <c r="K745" s="37">
        <v>0.3</v>
      </c>
      <c r="L745" s="37">
        <v>6</v>
      </c>
      <c r="M745" s="37">
        <v>127</v>
      </c>
      <c r="N745" s="37">
        <v>133</v>
      </c>
    </row>
    <row r="746" spans="1:14">
      <c r="A746" s="30">
        <v>745</v>
      </c>
      <c r="B746" s="31">
        <v>40577</v>
      </c>
      <c r="C746" s="30">
        <v>10</v>
      </c>
      <c r="D746" s="37" t="s">
        <v>28</v>
      </c>
      <c r="E746" s="37" t="b">
        <v>0</v>
      </c>
      <c r="F746" s="37" t="s">
        <v>23</v>
      </c>
      <c r="G746" s="37" t="s">
        <v>8</v>
      </c>
      <c r="H746" s="37">
        <v>0.15</v>
      </c>
      <c r="I746" s="30">
        <v>0.18</v>
      </c>
      <c r="J746" s="37">
        <v>0.43</v>
      </c>
      <c r="K746" s="37">
        <v>0.33</v>
      </c>
      <c r="L746" s="37">
        <v>2</v>
      </c>
      <c r="M746" s="37">
        <v>50</v>
      </c>
      <c r="N746" s="37">
        <v>52</v>
      </c>
    </row>
    <row r="747" spans="1:14">
      <c r="A747" s="30">
        <v>746</v>
      </c>
      <c r="B747" s="31">
        <v>40577</v>
      </c>
      <c r="C747" s="30">
        <v>11</v>
      </c>
      <c r="D747" s="37" t="s">
        <v>28</v>
      </c>
      <c r="E747" s="37" t="b">
        <v>0</v>
      </c>
      <c r="F747" s="37" t="s">
        <v>23</v>
      </c>
      <c r="G747" s="37" t="s">
        <v>8</v>
      </c>
      <c r="H747" s="37">
        <v>0.14000000000000001</v>
      </c>
      <c r="I747" s="30">
        <v>0.18</v>
      </c>
      <c r="J747" s="37">
        <v>0.43</v>
      </c>
      <c r="K747" s="37">
        <v>0.45</v>
      </c>
      <c r="L747" s="37">
        <v>9</v>
      </c>
      <c r="M747" s="37">
        <v>55</v>
      </c>
      <c r="N747" s="37">
        <v>64</v>
      </c>
    </row>
    <row r="748" spans="1:14">
      <c r="A748" s="30">
        <v>747</v>
      </c>
      <c r="B748" s="31">
        <v>40577</v>
      </c>
      <c r="C748" s="30">
        <v>12</v>
      </c>
      <c r="D748" s="37" t="s">
        <v>29</v>
      </c>
      <c r="E748" s="37" t="b">
        <v>0</v>
      </c>
      <c r="F748" s="37" t="s">
        <v>23</v>
      </c>
      <c r="G748" s="37" t="s">
        <v>8</v>
      </c>
      <c r="H748" s="37">
        <v>0.18</v>
      </c>
      <c r="I748" s="30">
        <v>0.2</v>
      </c>
      <c r="J748" s="37">
        <v>0.4</v>
      </c>
      <c r="K748" s="37">
        <v>0.36</v>
      </c>
      <c r="L748" s="37">
        <v>2</v>
      </c>
      <c r="M748" s="37">
        <v>67</v>
      </c>
      <c r="N748" s="37">
        <v>69</v>
      </c>
    </row>
    <row r="749" spans="1:14">
      <c r="A749" s="30">
        <v>748</v>
      </c>
      <c r="B749" s="31">
        <v>40577</v>
      </c>
      <c r="C749" s="30">
        <v>13</v>
      </c>
      <c r="D749" s="37" t="s">
        <v>29</v>
      </c>
      <c r="E749" s="37" t="b">
        <v>0</v>
      </c>
      <c r="F749" s="37" t="s">
        <v>23</v>
      </c>
      <c r="G749" s="37" t="s">
        <v>8</v>
      </c>
      <c r="H749" s="37">
        <v>0.17</v>
      </c>
      <c r="I749" s="30">
        <v>0.2</v>
      </c>
      <c r="J749" s="37">
        <v>0.4</v>
      </c>
      <c r="K749" s="37">
        <v>0.42</v>
      </c>
      <c r="L749" s="37">
        <v>4</v>
      </c>
      <c r="M749" s="37">
        <v>47</v>
      </c>
      <c r="N749" s="37">
        <v>51</v>
      </c>
    </row>
    <row r="750" spans="1:14">
      <c r="A750" s="30">
        <v>749</v>
      </c>
      <c r="B750" s="31">
        <v>40577</v>
      </c>
      <c r="C750" s="30">
        <v>14</v>
      </c>
      <c r="D750" s="37" t="s">
        <v>29</v>
      </c>
      <c r="E750" s="37" t="b">
        <v>0</v>
      </c>
      <c r="F750" s="37" t="s">
        <v>23</v>
      </c>
      <c r="G750" s="37" t="s">
        <v>8</v>
      </c>
      <c r="H750" s="37">
        <v>0.2</v>
      </c>
      <c r="I750" s="30">
        <v>0.22</v>
      </c>
      <c r="J750" s="37">
        <v>0.37</v>
      </c>
      <c r="K750" s="37">
        <v>0.39</v>
      </c>
      <c r="L750" s="37">
        <v>4</v>
      </c>
      <c r="M750" s="37">
        <v>43</v>
      </c>
      <c r="N750" s="37">
        <v>47</v>
      </c>
    </row>
    <row r="751" spans="1:14">
      <c r="A751" s="30">
        <v>750</v>
      </c>
      <c r="B751" s="31">
        <v>40577</v>
      </c>
      <c r="C751" s="30">
        <v>15</v>
      </c>
      <c r="D751" s="37" t="s">
        <v>29</v>
      </c>
      <c r="E751" s="37" t="b">
        <v>0</v>
      </c>
      <c r="F751" s="37" t="s">
        <v>23</v>
      </c>
      <c r="G751" s="37" t="s">
        <v>8</v>
      </c>
      <c r="H751" s="37">
        <v>0.2</v>
      </c>
      <c r="I751" s="30">
        <v>0.22</v>
      </c>
      <c r="J751" s="37">
        <v>0.37</v>
      </c>
      <c r="K751" s="37">
        <v>0.33</v>
      </c>
      <c r="L751" s="37">
        <v>4</v>
      </c>
      <c r="M751" s="37">
        <v>56</v>
      </c>
      <c r="N751" s="37">
        <v>60</v>
      </c>
    </row>
    <row r="752" spans="1:14">
      <c r="A752" s="30">
        <v>751</v>
      </c>
      <c r="B752" s="31">
        <v>40577</v>
      </c>
      <c r="C752" s="30">
        <v>16</v>
      </c>
      <c r="D752" s="37" t="s">
        <v>29</v>
      </c>
      <c r="E752" s="37" t="b">
        <v>0</v>
      </c>
      <c r="F752" s="37" t="s">
        <v>23</v>
      </c>
      <c r="G752" s="37" t="s">
        <v>8</v>
      </c>
      <c r="H752" s="37">
        <v>0.21</v>
      </c>
      <c r="I752" s="30">
        <v>0.22</v>
      </c>
      <c r="J752" s="37">
        <v>0.37</v>
      </c>
      <c r="K752" s="37">
        <v>0.25</v>
      </c>
      <c r="L752" s="37">
        <v>5</v>
      </c>
      <c r="M752" s="37">
        <v>73</v>
      </c>
      <c r="N752" s="37">
        <v>78</v>
      </c>
    </row>
    <row r="753" spans="1:14">
      <c r="A753" s="30">
        <v>752</v>
      </c>
      <c r="B753" s="31">
        <v>40577</v>
      </c>
      <c r="C753" s="30">
        <v>17</v>
      </c>
      <c r="D753" s="37" t="s">
        <v>29</v>
      </c>
      <c r="E753" s="37" t="b">
        <v>0</v>
      </c>
      <c r="F753" s="37" t="s">
        <v>23</v>
      </c>
      <c r="G753" s="37" t="s">
        <v>8</v>
      </c>
      <c r="H753" s="37">
        <v>0.2</v>
      </c>
      <c r="I753" s="30">
        <v>0.2</v>
      </c>
      <c r="J753" s="37">
        <v>0.4</v>
      </c>
      <c r="K753" s="37">
        <v>0.19</v>
      </c>
      <c r="L753" s="37">
        <v>5</v>
      </c>
      <c r="M753" s="37">
        <v>170</v>
      </c>
      <c r="N753" s="37">
        <v>175</v>
      </c>
    </row>
    <row r="754" spans="1:14">
      <c r="A754" s="30">
        <v>753</v>
      </c>
      <c r="B754" s="31">
        <v>40577</v>
      </c>
      <c r="C754" s="30">
        <v>18</v>
      </c>
      <c r="D754" s="37" t="s">
        <v>30</v>
      </c>
      <c r="E754" s="37" t="b">
        <v>0</v>
      </c>
      <c r="F754" s="37" t="s">
        <v>23</v>
      </c>
      <c r="G754" s="37" t="s">
        <v>8</v>
      </c>
      <c r="H754" s="37">
        <v>0.21</v>
      </c>
      <c r="I754" s="30">
        <v>0.2</v>
      </c>
      <c r="J754" s="37">
        <v>0.4</v>
      </c>
      <c r="K754" s="37">
        <v>0.16</v>
      </c>
      <c r="L754" s="37">
        <v>2</v>
      </c>
      <c r="M754" s="37">
        <v>145</v>
      </c>
      <c r="N754" s="37">
        <v>147</v>
      </c>
    </row>
    <row r="755" spans="1:14">
      <c r="A755" s="30">
        <v>754</v>
      </c>
      <c r="B755" s="31">
        <v>40577</v>
      </c>
      <c r="C755" s="30">
        <v>19</v>
      </c>
      <c r="D755" s="37" t="s">
        <v>30</v>
      </c>
      <c r="E755" s="37" t="b">
        <v>0</v>
      </c>
      <c r="F755" s="37" t="s">
        <v>23</v>
      </c>
      <c r="G755" s="37" t="s">
        <v>8</v>
      </c>
      <c r="H755" s="37">
        <v>0.26</v>
      </c>
      <c r="I755" s="30">
        <v>0.2</v>
      </c>
      <c r="J755" s="37">
        <v>0.4</v>
      </c>
      <c r="K755" s="37">
        <v>0</v>
      </c>
      <c r="L755" s="37">
        <v>4</v>
      </c>
      <c r="M755" s="37">
        <v>92</v>
      </c>
      <c r="N755" s="37">
        <v>96</v>
      </c>
    </row>
    <row r="756" spans="1:14">
      <c r="A756" s="30">
        <v>755</v>
      </c>
      <c r="B756" s="31">
        <v>40577</v>
      </c>
      <c r="C756" s="30">
        <v>20</v>
      </c>
      <c r="D756" s="37" t="s">
        <v>30</v>
      </c>
      <c r="E756" s="37" t="b">
        <v>0</v>
      </c>
      <c r="F756" s="37" t="s">
        <v>23</v>
      </c>
      <c r="G756" s="37" t="s">
        <v>8</v>
      </c>
      <c r="H756" s="37">
        <v>0.23</v>
      </c>
      <c r="I756" s="30">
        <v>0.2</v>
      </c>
      <c r="J756" s="37">
        <v>0.47</v>
      </c>
      <c r="K756" s="37">
        <v>0.09</v>
      </c>
      <c r="L756" s="37">
        <v>1</v>
      </c>
      <c r="M756" s="37">
        <v>108</v>
      </c>
      <c r="N756" s="37">
        <v>109</v>
      </c>
    </row>
    <row r="757" spans="1:14">
      <c r="A757" s="30">
        <v>756</v>
      </c>
      <c r="B757" s="31">
        <v>40577</v>
      </c>
      <c r="C757" s="30">
        <v>21</v>
      </c>
      <c r="D757" s="37" t="s">
        <v>30</v>
      </c>
      <c r="E757" s="37" t="b">
        <v>0</v>
      </c>
      <c r="F757" s="37" t="s">
        <v>23</v>
      </c>
      <c r="G757" s="37" t="s">
        <v>8</v>
      </c>
      <c r="H757" s="37">
        <v>0.21</v>
      </c>
      <c r="I757" s="30">
        <v>0.18</v>
      </c>
      <c r="J757" s="37">
        <v>0.55000000000000004</v>
      </c>
      <c r="K757" s="37">
        <v>0.1</v>
      </c>
      <c r="L757" s="37">
        <v>1</v>
      </c>
      <c r="M757" s="37">
        <v>53</v>
      </c>
      <c r="N757" s="37">
        <v>54</v>
      </c>
    </row>
    <row r="758" spans="1:14">
      <c r="A758" s="30">
        <v>757</v>
      </c>
      <c r="B758" s="31">
        <v>40577</v>
      </c>
      <c r="C758" s="30">
        <v>22</v>
      </c>
      <c r="D758" s="37" t="s">
        <v>30</v>
      </c>
      <c r="E758" s="37" t="b">
        <v>0</v>
      </c>
      <c r="F758" s="37" t="s">
        <v>23</v>
      </c>
      <c r="G758" s="37" t="s">
        <v>8</v>
      </c>
      <c r="H758" s="37">
        <v>0.21</v>
      </c>
      <c r="I758" s="30">
        <v>0.18</v>
      </c>
      <c r="J758" s="37">
        <v>0.51</v>
      </c>
      <c r="K758" s="37">
        <v>0.09</v>
      </c>
      <c r="L758" s="37">
        <v>2</v>
      </c>
      <c r="M758" s="37">
        <v>39</v>
      </c>
      <c r="N758" s="37">
        <v>41</v>
      </c>
    </row>
    <row r="759" spans="1:14">
      <c r="A759" s="30">
        <v>758</v>
      </c>
      <c r="B759" s="31">
        <v>40577</v>
      </c>
      <c r="C759" s="30">
        <v>23</v>
      </c>
      <c r="D759" s="37" t="s">
        <v>30</v>
      </c>
      <c r="E759" s="37" t="b">
        <v>0</v>
      </c>
      <c r="F759" s="37" t="s">
        <v>23</v>
      </c>
      <c r="G759" s="37" t="s">
        <v>8</v>
      </c>
      <c r="H759" s="37">
        <v>0.23</v>
      </c>
      <c r="I759" s="30">
        <v>0.2</v>
      </c>
      <c r="J759" s="37">
        <v>0.47</v>
      </c>
      <c r="K759" s="37">
        <v>0.1</v>
      </c>
      <c r="L759" s="37">
        <v>4</v>
      </c>
      <c r="M759" s="37">
        <v>34</v>
      </c>
      <c r="N759" s="37">
        <v>38</v>
      </c>
    </row>
    <row r="760" spans="1:14">
      <c r="A760" s="30">
        <v>759</v>
      </c>
      <c r="B760" s="31">
        <v>40578</v>
      </c>
      <c r="C760" s="30">
        <v>0</v>
      </c>
      <c r="D760" s="37" t="s">
        <v>27</v>
      </c>
      <c r="E760" s="37" t="b">
        <v>0</v>
      </c>
      <c r="F760" s="37" t="s">
        <v>24</v>
      </c>
      <c r="G760" s="37" t="s">
        <v>9</v>
      </c>
      <c r="H760" s="37">
        <v>0.26</v>
      </c>
      <c r="I760" s="30">
        <v>0.2</v>
      </c>
      <c r="J760" s="37">
        <v>0.44</v>
      </c>
      <c r="K760" s="37">
        <v>0</v>
      </c>
      <c r="L760" s="37">
        <v>3</v>
      </c>
      <c r="M760" s="37">
        <v>10</v>
      </c>
      <c r="N760" s="37">
        <v>13</v>
      </c>
    </row>
    <row r="761" spans="1:14">
      <c r="A761" s="30">
        <v>760</v>
      </c>
      <c r="B761" s="31">
        <v>40578</v>
      </c>
      <c r="C761" s="30">
        <v>1</v>
      </c>
      <c r="D761" s="37" t="s">
        <v>27</v>
      </c>
      <c r="E761" s="37" t="b">
        <v>0</v>
      </c>
      <c r="F761" s="37" t="s">
        <v>24</v>
      </c>
      <c r="G761" s="37" t="s">
        <v>9</v>
      </c>
      <c r="H761" s="37">
        <v>0.23</v>
      </c>
      <c r="I761" s="30">
        <v>0.16</v>
      </c>
      <c r="J761" s="37">
        <v>0.59</v>
      </c>
      <c r="K761" s="37">
        <v>0</v>
      </c>
      <c r="L761" s="37">
        <v>0</v>
      </c>
      <c r="M761" s="37">
        <v>7</v>
      </c>
      <c r="N761" s="37">
        <v>7</v>
      </c>
    </row>
    <row r="762" spans="1:14">
      <c r="A762" s="30">
        <v>761</v>
      </c>
      <c r="B762" s="31">
        <v>40578</v>
      </c>
      <c r="C762" s="30">
        <v>2</v>
      </c>
      <c r="D762" s="37" t="s">
        <v>27</v>
      </c>
      <c r="E762" s="37" t="b">
        <v>0</v>
      </c>
      <c r="F762" s="37" t="s">
        <v>24</v>
      </c>
      <c r="G762" s="37" t="s">
        <v>9</v>
      </c>
      <c r="H762" s="37">
        <v>0.17</v>
      </c>
      <c r="I762" s="30">
        <v>0.14000000000000001</v>
      </c>
      <c r="J762" s="37">
        <v>0.63</v>
      </c>
      <c r="K762" s="37">
        <v>0.1</v>
      </c>
      <c r="L762" s="37">
        <v>0</v>
      </c>
      <c r="M762" s="37">
        <v>1</v>
      </c>
      <c r="N762" s="37">
        <v>1</v>
      </c>
    </row>
    <row r="763" spans="1:14">
      <c r="A763" s="30">
        <v>762</v>
      </c>
      <c r="B763" s="31">
        <v>40578</v>
      </c>
      <c r="C763" s="30">
        <v>3</v>
      </c>
      <c r="D763" s="37" t="s">
        <v>27</v>
      </c>
      <c r="E763" s="37" t="b">
        <v>0</v>
      </c>
      <c r="F763" s="37" t="s">
        <v>24</v>
      </c>
      <c r="G763" s="37" t="s">
        <v>9</v>
      </c>
      <c r="H763" s="37">
        <v>0.17</v>
      </c>
      <c r="I763" s="30">
        <v>0.14000000000000001</v>
      </c>
      <c r="J763" s="37">
        <v>0.63</v>
      </c>
      <c r="K763" s="37">
        <v>0.1</v>
      </c>
      <c r="L763" s="37">
        <v>0</v>
      </c>
      <c r="M763" s="37">
        <v>1</v>
      </c>
      <c r="N763" s="37">
        <v>1</v>
      </c>
    </row>
    <row r="764" spans="1:14">
      <c r="A764" s="30">
        <v>763</v>
      </c>
      <c r="B764" s="31">
        <v>40578</v>
      </c>
      <c r="C764" s="30">
        <v>5</v>
      </c>
      <c r="D764" s="37" t="s">
        <v>27</v>
      </c>
      <c r="E764" s="37" t="b">
        <v>0</v>
      </c>
      <c r="F764" s="37" t="s">
        <v>24</v>
      </c>
      <c r="G764" s="37" t="s">
        <v>9</v>
      </c>
      <c r="H764" s="37">
        <v>0.15</v>
      </c>
      <c r="I764" s="30">
        <v>0.14000000000000001</v>
      </c>
      <c r="J764" s="37">
        <v>0.63</v>
      </c>
      <c r="K764" s="37">
        <v>0.13</v>
      </c>
      <c r="L764" s="37">
        <v>0</v>
      </c>
      <c r="M764" s="37">
        <v>7</v>
      </c>
      <c r="N764" s="37">
        <v>7</v>
      </c>
    </row>
    <row r="765" spans="1:14">
      <c r="A765" s="30">
        <v>764</v>
      </c>
      <c r="B765" s="31">
        <v>40578</v>
      </c>
      <c r="C765" s="30">
        <v>6</v>
      </c>
      <c r="D765" s="37" t="s">
        <v>28</v>
      </c>
      <c r="E765" s="37" t="b">
        <v>0</v>
      </c>
      <c r="F765" s="37" t="s">
        <v>24</v>
      </c>
      <c r="G765" s="37" t="s">
        <v>9</v>
      </c>
      <c r="H765" s="37">
        <v>0.23</v>
      </c>
      <c r="I765" s="30">
        <v>0.16</v>
      </c>
      <c r="J765" s="37">
        <v>0.55000000000000004</v>
      </c>
      <c r="K765" s="37">
        <v>0</v>
      </c>
      <c r="L765" s="37">
        <v>2</v>
      </c>
      <c r="M765" s="37">
        <v>26</v>
      </c>
      <c r="N765" s="37">
        <v>28</v>
      </c>
    </row>
    <row r="766" spans="1:14">
      <c r="A766" s="30">
        <v>765</v>
      </c>
      <c r="B766" s="31">
        <v>40578</v>
      </c>
      <c r="C766" s="30">
        <v>7</v>
      </c>
      <c r="D766" s="37" t="s">
        <v>28</v>
      </c>
      <c r="E766" s="37" t="b">
        <v>0</v>
      </c>
      <c r="F766" s="37" t="s">
        <v>24</v>
      </c>
      <c r="G766" s="37" t="s">
        <v>8</v>
      </c>
      <c r="H766" s="37">
        <v>0.21</v>
      </c>
      <c r="I766" s="30">
        <v>0.14000000000000001</v>
      </c>
      <c r="J766" s="37">
        <v>0.59</v>
      </c>
      <c r="K766" s="37">
        <v>0</v>
      </c>
      <c r="L766" s="37">
        <v>0</v>
      </c>
      <c r="M766" s="37">
        <v>87</v>
      </c>
      <c r="N766" s="37">
        <v>87</v>
      </c>
    </row>
    <row r="767" spans="1:14">
      <c r="A767" s="30">
        <v>766</v>
      </c>
      <c r="B767" s="31">
        <v>40578</v>
      </c>
      <c r="C767" s="30">
        <v>8</v>
      </c>
      <c r="D767" s="37" t="s">
        <v>28</v>
      </c>
      <c r="E767" s="37" t="b">
        <v>0</v>
      </c>
      <c r="F767" s="37" t="s">
        <v>24</v>
      </c>
      <c r="G767" s="37" t="s">
        <v>8</v>
      </c>
      <c r="H767" s="37">
        <v>0.15</v>
      </c>
      <c r="I767" s="30">
        <v>0.14000000000000001</v>
      </c>
      <c r="J767" s="37">
        <v>0.74</v>
      </c>
      <c r="K767" s="37">
        <v>0.13</v>
      </c>
      <c r="L767" s="37">
        <v>3</v>
      </c>
      <c r="M767" s="37">
        <v>217</v>
      </c>
      <c r="N767" s="37">
        <v>220</v>
      </c>
    </row>
    <row r="768" spans="1:14">
      <c r="A768" s="30">
        <v>767</v>
      </c>
      <c r="B768" s="31">
        <v>40578</v>
      </c>
      <c r="C768" s="30">
        <v>9</v>
      </c>
      <c r="D768" s="37" t="s">
        <v>28</v>
      </c>
      <c r="E768" s="37" t="b">
        <v>0</v>
      </c>
      <c r="F768" s="37" t="s">
        <v>24</v>
      </c>
      <c r="G768" s="37" t="s">
        <v>9</v>
      </c>
      <c r="H768" s="37">
        <v>0.18</v>
      </c>
      <c r="I768" s="30">
        <v>0.16</v>
      </c>
      <c r="J768" s="37">
        <v>0.8</v>
      </c>
      <c r="K768" s="37">
        <v>0.13</v>
      </c>
      <c r="L768" s="37">
        <v>3</v>
      </c>
      <c r="M768" s="37">
        <v>124</v>
      </c>
      <c r="N768" s="37">
        <v>127</v>
      </c>
    </row>
    <row r="769" spans="1:14">
      <c r="A769" s="30">
        <v>768</v>
      </c>
      <c r="B769" s="31">
        <v>40578</v>
      </c>
      <c r="C769" s="30">
        <v>10</v>
      </c>
      <c r="D769" s="37" t="s">
        <v>28</v>
      </c>
      <c r="E769" s="37" t="b">
        <v>0</v>
      </c>
      <c r="F769" s="37" t="s">
        <v>24</v>
      </c>
      <c r="G769" s="37" t="s">
        <v>9</v>
      </c>
      <c r="H769" s="37">
        <v>0.21</v>
      </c>
      <c r="I769" s="30">
        <v>0.2</v>
      </c>
      <c r="J769" s="37">
        <v>0.51</v>
      </c>
      <c r="K769" s="37">
        <v>0.13</v>
      </c>
      <c r="L769" s="37">
        <v>5</v>
      </c>
      <c r="M769" s="37">
        <v>46</v>
      </c>
      <c r="N769" s="37">
        <v>51</v>
      </c>
    </row>
    <row r="770" spans="1:14">
      <c r="A770" s="30">
        <v>769</v>
      </c>
      <c r="B770" s="31">
        <v>40578</v>
      </c>
      <c r="C770" s="30">
        <v>11</v>
      </c>
      <c r="D770" s="37" t="s">
        <v>28</v>
      </c>
      <c r="E770" s="37" t="b">
        <v>0</v>
      </c>
      <c r="F770" s="37" t="s">
        <v>24</v>
      </c>
      <c r="G770" s="37" t="s">
        <v>8</v>
      </c>
      <c r="H770" s="37">
        <v>0.23</v>
      </c>
      <c r="I770" s="30">
        <v>0.22</v>
      </c>
      <c r="J770" s="37">
        <v>0.51</v>
      </c>
      <c r="K770" s="37">
        <v>0.16</v>
      </c>
      <c r="L770" s="37">
        <v>3</v>
      </c>
      <c r="M770" s="37">
        <v>61</v>
      </c>
      <c r="N770" s="37">
        <v>64</v>
      </c>
    </row>
    <row r="771" spans="1:14">
      <c r="A771" s="30">
        <v>770</v>
      </c>
      <c r="B771" s="31">
        <v>40578</v>
      </c>
      <c r="C771" s="30">
        <v>12</v>
      </c>
      <c r="D771" s="37" t="s">
        <v>29</v>
      </c>
      <c r="E771" s="37" t="b">
        <v>0</v>
      </c>
      <c r="F771" s="37" t="s">
        <v>24</v>
      </c>
      <c r="G771" s="37" t="s">
        <v>9</v>
      </c>
      <c r="H771" s="37">
        <v>0.24</v>
      </c>
      <c r="I771" s="30">
        <v>0.24</v>
      </c>
      <c r="J771" s="37">
        <v>0.48</v>
      </c>
      <c r="K771" s="37">
        <v>0.16</v>
      </c>
      <c r="L771" s="37">
        <v>8</v>
      </c>
      <c r="M771" s="37">
        <v>78</v>
      </c>
      <c r="N771" s="37">
        <v>86</v>
      </c>
    </row>
    <row r="772" spans="1:14">
      <c r="A772" s="30">
        <v>771</v>
      </c>
      <c r="B772" s="31">
        <v>40578</v>
      </c>
      <c r="C772" s="30">
        <v>13</v>
      </c>
      <c r="D772" s="37" t="s">
        <v>29</v>
      </c>
      <c r="E772" s="37" t="b">
        <v>0</v>
      </c>
      <c r="F772" s="37" t="s">
        <v>24</v>
      </c>
      <c r="G772" s="37" t="s">
        <v>9</v>
      </c>
      <c r="H772" s="37">
        <v>0.26</v>
      </c>
      <c r="I772" s="30">
        <v>0.26</v>
      </c>
      <c r="J772" s="37">
        <v>0.5</v>
      </c>
      <c r="K772" s="37">
        <v>0.22</v>
      </c>
      <c r="L772" s="37">
        <v>9</v>
      </c>
      <c r="M772" s="37">
        <v>73</v>
      </c>
      <c r="N772" s="37">
        <v>82</v>
      </c>
    </row>
    <row r="773" spans="1:14">
      <c r="A773" s="30">
        <v>772</v>
      </c>
      <c r="B773" s="31">
        <v>40578</v>
      </c>
      <c r="C773" s="30">
        <v>14</v>
      </c>
      <c r="D773" s="37" t="s">
        <v>29</v>
      </c>
      <c r="E773" s="37" t="b">
        <v>0</v>
      </c>
      <c r="F773" s="37" t="s">
        <v>24</v>
      </c>
      <c r="G773" s="37" t="s">
        <v>9</v>
      </c>
      <c r="H773" s="37">
        <v>0.27</v>
      </c>
      <c r="I773" s="30">
        <v>0.28000000000000003</v>
      </c>
      <c r="J773" s="37">
        <v>0.45</v>
      </c>
      <c r="K773" s="37">
        <v>0.16</v>
      </c>
      <c r="L773" s="37">
        <v>15</v>
      </c>
      <c r="M773" s="37">
        <v>76</v>
      </c>
      <c r="N773" s="37">
        <v>91</v>
      </c>
    </row>
    <row r="774" spans="1:14">
      <c r="A774" s="30">
        <v>773</v>
      </c>
      <c r="B774" s="31">
        <v>40578</v>
      </c>
      <c r="C774" s="30">
        <v>15</v>
      </c>
      <c r="D774" s="37" t="s">
        <v>29</v>
      </c>
      <c r="E774" s="37" t="b">
        <v>0</v>
      </c>
      <c r="F774" s="37" t="s">
        <v>24</v>
      </c>
      <c r="G774" s="37" t="s">
        <v>9</v>
      </c>
      <c r="H774" s="37">
        <v>0.27</v>
      </c>
      <c r="I774" s="30">
        <v>0.28000000000000003</v>
      </c>
      <c r="J774" s="37">
        <v>0.48</v>
      </c>
      <c r="K774" s="37">
        <v>0.25</v>
      </c>
      <c r="L774" s="37">
        <v>9</v>
      </c>
      <c r="M774" s="37">
        <v>81</v>
      </c>
      <c r="N774" s="37">
        <v>90</v>
      </c>
    </row>
    <row r="775" spans="1:14">
      <c r="A775" s="30">
        <v>774</v>
      </c>
      <c r="B775" s="31">
        <v>40578</v>
      </c>
      <c r="C775" s="30">
        <v>16</v>
      </c>
      <c r="D775" s="37" t="s">
        <v>29</v>
      </c>
      <c r="E775" s="37" t="b">
        <v>0</v>
      </c>
      <c r="F775" s="37" t="s">
        <v>24</v>
      </c>
      <c r="G775" s="37" t="s">
        <v>9</v>
      </c>
      <c r="H775" s="37">
        <v>0.28999999999999998</v>
      </c>
      <c r="I775" s="30">
        <v>0.3</v>
      </c>
      <c r="J775" s="37">
        <v>0.42</v>
      </c>
      <c r="K775" s="37">
        <v>0.22</v>
      </c>
      <c r="L775" s="37">
        <v>8</v>
      </c>
      <c r="M775" s="37">
        <v>91</v>
      </c>
      <c r="N775" s="37">
        <v>99</v>
      </c>
    </row>
    <row r="776" spans="1:14">
      <c r="A776" s="30">
        <v>775</v>
      </c>
      <c r="B776" s="31">
        <v>40578</v>
      </c>
      <c r="C776" s="30">
        <v>17</v>
      </c>
      <c r="D776" s="37" t="s">
        <v>29</v>
      </c>
      <c r="E776" s="37" t="b">
        <v>0</v>
      </c>
      <c r="F776" s="37" t="s">
        <v>24</v>
      </c>
      <c r="G776" s="37" t="s">
        <v>9</v>
      </c>
      <c r="H776" s="37">
        <v>0.27</v>
      </c>
      <c r="I776" s="30">
        <v>0.26</v>
      </c>
      <c r="J776" s="37">
        <v>0.56000000000000005</v>
      </c>
      <c r="K776" s="37">
        <v>0.13</v>
      </c>
      <c r="L776" s="37">
        <v>10</v>
      </c>
      <c r="M776" s="37">
        <v>195</v>
      </c>
      <c r="N776" s="37">
        <v>205</v>
      </c>
    </row>
    <row r="777" spans="1:14">
      <c r="A777" s="30">
        <v>776</v>
      </c>
      <c r="B777" s="31">
        <v>40578</v>
      </c>
      <c r="C777" s="30">
        <v>18</v>
      </c>
      <c r="D777" s="37" t="s">
        <v>30</v>
      </c>
      <c r="E777" s="37" t="b">
        <v>0</v>
      </c>
      <c r="F777" s="37" t="s">
        <v>24</v>
      </c>
      <c r="G777" s="37" t="s">
        <v>9</v>
      </c>
      <c r="H777" s="37">
        <v>0.26</v>
      </c>
      <c r="I777" s="30">
        <v>0.24</v>
      </c>
      <c r="J777" s="37">
        <v>0.6</v>
      </c>
      <c r="K777" s="37">
        <v>0.1</v>
      </c>
      <c r="L777" s="37">
        <v>3</v>
      </c>
      <c r="M777" s="37">
        <v>152</v>
      </c>
      <c r="N777" s="37">
        <v>155</v>
      </c>
    </row>
    <row r="778" spans="1:14">
      <c r="A778" s="30">
        <v>777</v>
      </c>
      <c r="B778" s="31">
        <v>40578</v>
      </c>
      <c r="C778" s="30">
        <v>19</v>
      </c>
      <c r="D778" s="37" t="s">
        <v>30</v>
      </c>
      <c r="E778" s="37" t="b">
        <v>0</v>
      </c>
      <c r="F778" s="37" t="s">
        <v>24</v>
      </c>
      <c r="G778" s="37" t="s">
        <v>9</v>
      </c>
      <c r="H778" s="37">
        <v>0.24</v>
      </c>
      <c r="I778" s="30">
        <v>0.24</v>
      </c>
      <c r="J778" s="37">
        <v>0.65</v>
      </c>
      <c r="K778" s="37">
        <v>0.13</v>
      </c>
      <c r="L778" s="37">
        <v>1</v>
      </c>
      <c r="M778" s="37">
        <v>102</v>
      </c>
      <c r="N778" s="37">
        <v>103</v>
      </c>
    </row>
    <row r="779" spans="1:14">
      <c r="A779" s="30">
        <v>778</v>
      </c>
      <c r="B779" s="31">
        <v>40578</v>
      </c>
      <c r="C779" s="30">
        <v>20</v>
      </c>
      <c r="D779" s="37" t="s">
        <v>30</v>
      </c>
      <c r="E779" s="37" t="b">
        <v>0</v>
      </c>
      <c r="F779" s="37" t="s">
        <v>24</v>
      </c>
      <c r="G779" s="37" t="s">
        <v>9</v>
      </c>
      <c r="H779" s="37">
        <v>0.24</v>
      </c>
      <c r="I779" s="30">
        <v>0.24</v>
      </c>
      <c r="J779" s="37">
        <v>0.65</v>
      </c>
      <c r="K779" s="37">
        <v>0.16</v>
      </c>
      <c r="L779" s="37">
        <v>2</v>
      </c>
      <c r="M779" s="37">
        <v>69</v>
      </c>
      <c r="N779" s="37">
        <v>71</v>
      </c>
    </row>
    <row r="780" spans="1:14">
      <c r="A780" s="30">
        <v>779</v>
      </c>
      <c r="B780" s="31">
        <v>40578</v>
      </c>
      <c r="C780" s="30">
        <v>21</v>
      </c>
      <c r="D780" s="37" t="s">
        <v>30</v>
      </c>
      <c r="E780" s="37" t="b">
        <v>0</v>
      </c>
      <c r="F780" s="37" t="s">
        <v>24</v>
      </c>
      <c r="G780" s="37" t="s">
        <v>9</v>
      </c>
      <c r="H780" s="37">
        <v>0.24</v>
      </c>
      <c r="I780" s="30">
        <v>0.24</v>
      </c>
      <c r="J780" s="37">
        <v>0.7</v>
      </c>
      <c r="K780" s="37">
        <v>0.16</v>
      </c>
      <c r="L780" s="37">
        <v>2</v>
      </c>
      <c r="M780" s="37">
        <v>41</v>
      </c>
      <c r="N780" s="37">
        <v>43</v>
      </c>
    </row>
    <row r="781" spans="1:14">
      <c r="A781" s="30">
        <v>780</v>
      </c>
      <c r="B781" s="31">
        <v>40578</v>
      </c>
      <c r="C781" s="30">
        <v>22</v>
      </c>
      <c r="D781" s="37" t="s">
        <v>30</v>
      </c>
      <c r="E781" s="37" t="b">
        <v>0</v>
      </c>
      <c r="F781" s="37" t="s">
        <v>24</v>
      </c>
      <c r="G781" s="37" t="s">
        <v>9</v>
      </c>
      <c r="H781" s="37">
        <v>0.24</v>
      </c>
      <c r="I781" s="30">
        <v>0.24</v>
      </c>
      <c r="J781" s="37">
        <v>0.65</v>
      </c>
      <c r="K781" s="37">
        <v>0.16</v>
      </c>
      <c r="L781" s="37">
        <v>1</v>
      </c>
      <c r="M781" s="37">
        <v>45</v>
      </c>
      <c r="N781" s="37">
        <v>46</v>
      </c>
    </row>
    <row r="782" spans="1:14">
      <c r="A782" s="30">
        <v>781</v>
      </c>
      <c r="B782" s="31">
        <v>40578</v>
      </c>
      <c r="C782" s="30">
        <v>23</v>
      </c>
      <c r="D782" s="37" t="s">
        <v>30</v>
      </c>
      <c r="E782" s="37" t="b">
        <v>0</v>
      </c>
      <c r="F782" s="37" t="s">
        <v>24</v>
      </c>
      <c r="G782" s="37" t="s">
        <v>9</v>
      </c>
      <c r="H782" s="37">
        <v>0.24</v>
      </c>
      <c r="I782" s="30">
        <v>0.24</v>
      </c>
      <c r="J782" s="37">
        <v>0.7</v>
      </c>
      <c r="K782" s="37">
        <v>0.13</v>
      </c>
      <c r="L782" s="37">
        <v>1</v>
      </c>
      <c r="M782" s="37">
        <v>30</v>
      </c>
      <c r="N782" s="37">
        <v>31</v>
      </c>
    </row>
    <row r="783" spans="1:14">
      <c r="A783" s="30">
        <v>782</v>
      </c>
      <c r="B783" s="31">
        <v>40579</v>
      </c>
      <c r="C783" s="30">
        <v>0</v>
      </c>
      <c r="D783" s="37" t="s">
        <v>27</v>
      </c>
      <c r="E783" s="37" t="b">
        <v>0</v>
      </c>
      <c r="F783" s="37" t="s">
        <v>25</v>
      </c>
      <c r="G783" s="37" t="s">
        <v>9</v>
      </c>
      <c r="H783" s="37">
        <v>0.24</v>
      </c>
      <c r="I783" s="30">
        <v>0.24</v>
      </c>
      <c r="J783" s="37">
        <v>0.7</v>
      </c>
      <c r="K783" s="37">
        <v>0.16</v>
      </c>
      <c r="L783" s="37">
        <v>3</v>
      </c>
      <c r="M783" s="37">
        <v>36</v>
      </c>
      <c r="N783" s="37">
        <v>39</v>
      </c>
    </row>
    <row r="784" spans="1:14">
      <c r="A784" s="30">
        <v>783</v>
      </c>
      <c r="B784" s="31">
        <v>40579</v>
      </c>
      <c r="C784" s="30">
        <v>1</v>
      </c>
      <c r="D784" s="37" t="s">
        <v>27</v>
      </c>
      <c r="E784" s="37" t="b">
        <v>0</v>
      </c>
      <c r="F784" s="37" t="s">
        <v>25</v>
      </c>
      <c r="G784" s="37" t="s">
        <v>9</v>
      </c>
      <c r="H784" s="37">
        <v>0.24</v>
      </c>
      <c r="I784" s="30">
        <v>0.24</v>
      </c>
      <c r="J784" s="37">
        <v>0.65</v>
      </c>
      <c r="K784" s="37">
        <v>0.16</v>
      </c>
      <c r="L784" s="37">
        <v>1</v>
      </c>
      <c r="M784" s="37">
        <v>17</v>
      </c>
      <c r="N784" s="37">
        <v>18</v>
      </c>
    </row>
    <row r="785" spans="1:14">
      <c r="A785" s="30">
        <v>784</v>
      </c>
      <c r="B785" s="31">
        <v>40579</v>
      </c>
      <c r="C785" s="30">
        <v>2</v>
      </c>
      <c r="D785" s="37" t="s">
        <v>27</v>
      </c>
      <c r="E785" s="37" t="b">
        <v>0</v>
      </c>
      <c r="F785" s="37" t="s">
        <v>25</v>
      </c>
      <c r="G785" s="37" t="s">
        <v>9</v>
      </c>
      <c r="H785" s="37">
        <v>0.24</v>
      </c>
      <c r="I785" s="30">
        <v>0.24</v>
      </c>
      <c r="J785" s="37">
        <v>0.75</v>
      </c>
      <c r="K785" s="37">
        <v>0.16</v>
      </c>
      <c r="L785" s="37">
        <v>5</v>
      </c>
      <c r="M785" s="37">
        <v>12</v>
      </c>
      <c r="N785" s="37">
        <v>17</v>
      </c>
    </row>
    <row r="786" spans="1:14">
      <c r="A786" s="30">
        <v>785</v>
      </c>
      <c r="B786" s="31">
        <v>40579</v>
      </c>
      <c r="C786" s="30">
        <v>3</v>
      </c>
      <c r="D786" s="37" t="s">
        <v>27</v>
      </c>
      <c r="E786" s="37" t="b">
        <v>0</v>
      </c>
      <c r="F786" s="37" t="s">
        <v>25</v>
      </c>
      <c r="G786" s="37" t="s">
        <v>9</v>
      </c>
      <c r="H786" s="37">
        <v>0.24</v>
      </c>
      <c r="I786" s="30">
        <v>0.24</v>
      </c>
      <c r="J786" s="37">
        <v>0.75</v>
      </c>
      <c r="K786" s="37">
        <v>0.16</v>
      </c>
      <c r="L786" s="37">
        <v>1</v>
      </c>
      <c r="M786" s="37">
        <v>10</v>
      </c>
      <c r="N786" s="37">
        <v>11</v>
      </c>
    </row>
    <row r="787" spans="1:14">
      <c r="A787" s="30">
        <v>786</v>
      </c>
      <c r="B787" s="31">
        <v>40579</v>
      </c>
      <c r="C787" s="30">
        <v>4</v>
      </c>
      <c r="D787" s="37" t="s">
        <v>27</v>
      </c>
      <c r="E787" s="37" t="b">
        <v>0</v>
      </c>
      <c r="F787" s="37" t="s">
        <v>25</v>
      </c>
      <c r="G787" s="37" t="s">
        <v>10</v>
      </c>
      <c r="H787" s="37">
        <v>0.23</v>
      </c>
      <c r="I787" s="30">
        <v>0.22</v>
      </c>
      <c r="J787" s="37">
        <v>0.93</v>
      </c>
      <c r="K787" s="37">
        <v>0.13</v>
      </c>
      <c r="L787" s="37">
        <v>0</v>
      </c>
      <c r="M787" s="37">
        <v>8</v>
      </c>
      <c r="N787" s="37">
        <v>8</v>
      </c>
    </row>
    <row r="788" spans="1:14">
      <c r="A788" s="30">
        <v>787</v>
      </c>
      <c r="B788" s="31">
        <v>40579</v>
      </c>
      <c r="C788" s="30">
        <v>5</v>
      </c>
      <c r="D788" s="37" t="s">
        <v>27</v>
      </c>
      <c r="E788" s="37" t="b">
        <v>0</v>
      </c>
      <c r="F788" s="37" t="s">
        <v>25</v>
      </c>
      <c r="G788" s="37" t="s">
        <v>10</v>
      </c>
      <c r="H788" s="37">
        <v>0.23</v>
      </c>
      <c r="I788" s="30">
        <v>0.2</v>
      </c>
      <c r="J788" s="37">
        <v>1</v>
      </c>
      <c r="K788" s="37">
        <v>0.09</v>
      </c>
      <c r="L788" s="37">
        <v>0</v>
      </c>
      <c r="M788" s="37">
        <v>9</v>
      </c>
      <c r="N788" s="37">
        <v>9</v>
      </c>
    </row>
    <row r="789" spans="1:14">
      <c r="A789" s="30">
        <v>788</v>
      </c>
      <c r="B789" s="31">
        <v>40579</v>
      </c>
      <c r="C789" s="30">
        <v>6</v>
      </c>
      <c r="D789" s="37" t="s">
        <v>28</v>
      </c>
      <c r="E789" s="37" t="b">
        <v>0</v>
      </c>
      <c r="F789" s="37" t="s">
        <v>25</v>
      </c>
      <c r="G789" s="37" t="s">
        <v>10</v>
      </c>
      <c r="H789" s="37">
        <v>0.26</v>
      </c>
      <c r="I789" s="30">
        <v>0.2</v>
      </c>
      <c r="J789" s="37">
        <v>1</v>
      </c>
      <c r="K789" s="37">
        <v>0</v>
      </c>
      <c r="L789" s="37">
        <v>0</v>
      </c>
      <c r="M789" s="37">
        <v>4</v>
      </c>
      <c r="N789" s="37">
        <v>4</v>
      </c>
    </row>
    <row r="790" spans="1:14">
      <c r="A790" s="30">
        <v>789</v>
      </c>
      <c r="B790" s="31">
        <v>40579</v>
      </c>
      <c r="C790" s="30">
        <v>7</v>
      </c>
      <c r="D790" s="37" t="s">
        <v>28</v>
      </c>
      <c r="E790" s="37" t="b">
        <v>0</v>
      </c>
      <c r="F790" s="37" t="s">
        <v>25</v>
      </c>
      <c r="G790" s="37" t="s">
        <v>10</v>
      </c>
      <c r="H790" s="37">
        <v>0.26</v>
      </c>
      <c r="I790" s="30">
        <v>0.22</v>
      </c>
      <c r="J790" s="37">
        <v>0.93</v>
      </c>
      <c r="K790" s="37">
        <v>0.09</v>
      </c>
      <c r="L790" s="37">
        <v>0</v>
      </c>
      <c r="M790" s="37">
        <v>4</v>
      </c>
      <c r="N790" s="37">
        <v>4</v>
      </c>
    </row>
    <row r="791" spans="1:14">
      <c r="A791" s="30">
        <v>790</v>
      </c>
      <c r="B791" s="31">
        <v>40579</v>
      </c>
      <c r="C791" s="30">
        <v>8</v>
      </c>
      <c r="D791" s="37" t="s">
        <v>28</v>
      </c>
      <c r="E791" s="37" t="b">
        <v>0</v>
      </c>
      <c r="F791" s="37" t="s">
        <v>25</v>
      </c>
      <c r="G791" s="37" t="s">
        <v>10</v>
      </c>
      <c r="H791" s="37">
        <v>0.23</v>
      </c>
      <c r="I791" s="30">
        <v>0.2</v>
      </c>
      <c r="J791" s="37">
        <v>1</v>
      </c>
      <c r="K791" s="37">
        <v>0.09</v>
      </c>
      <c r="L791" s="37">
        <v>0</v>
      </c>
      <c r="M791" s="37">
        <v>10</v>
      </c>
      <c r="N791" s="37">
        <v>10</v>
      </c>
    </row>
    <row r="792" spans="1:14">
      <c r="A792" s="30">
        <v>791</v>
      </c>
      <c r="B792" s="31">
        <v>40579</v>
      </c>
      <c r="C792" s="30">
        <v>9</v>
      </c>
      <c r="D792" s="37" t="s">
        <v>28</v>
      </c>
      <c r="E792" s="37" t="b">
        <v>0</v>
      </c>
      <c r="F792" s="37" t="s">
        <v>25</v>
      </c>
      <c r="G792" s="37" t="s">
        <v>10</v>
      </c>
      <c r="H792" s="37">
        <v>0.23</v>
      </c>
      <c r="I792" s="30">
        <v>0.2</v>
      </c>
      <c r="J792" s="37">
        <v>1</v>
      </c>
      <c r="K792" s="37">
        <v>0.09</v>
      </c>
      <c r="L792" s="37">
        <v>3</v>
      </c>
      <c r="M792" s="37">
        <v>17</v>
      </c>
      <c r="N792" s="37">
        <v>20</v>
      </c>
    </row>
    <row r="793" spans="1:14">
      <c r="A793" s="30">
        <v>792</v>
      </c>
      <c r="B793" s="31">
        <v>40579</v>
      </c>
      <c r="C793" s="30">
        <v>10</v>
      </c>
      <c r="D793" s="37" t="s">
        <v>28</v>
      </c>
      <c r="E793" s="37" t="b">
        <v>0</v>
      </c>
      <c r="F793" s="37" t="s">
        <v>25</v>
      </c>
      <c r="G793" s="37" t="s">
        <v>10</v>
      </c>
      <c r="H793" s="37">
        <v>0.21</v>
      </c>
      <c r="I793" s="30">
        <v>0.2</v>
      </c>
      <c r="J793" s="37">
        <v>1</v>
      </c>
      <c r="K793" s="37">
        <v>0.13</v>
      </c>
      <c r="L793" s="37">
        <v>3</v>
      </c>
      <c r="M793" s="37">
        <v>31</v>
      </c>
      <c r="N793" s="37">
        <v>34</v>
      </c>
    </row>
    <row r="794" spans="1:14">
      <c r="A794" s="30">
        <v>793</v>
      </c>
      <c r="B794" s="31">
        <v>40579</v>
      </c>
      <c r="C794" s="30">
        <v>11</v>
      </c>
      <c r="D794" s="37" t="s">
        <v>28</v>
      </c>
      <c r="E794" s="37" t="b">
        <v>0</v>
      </c>
      <c r="F794" s="37" t="s">
        <v>25</v>
      </c>
      <c r="G794" s="37" t="s">
        <v>10</v>
      </c>
      <c r="H794" s="37">
        <v>0.23</v>
      </c>
      <c r="I794" s="30">
        <v>0.22</v>
      </c>
      <c r="J794" s="37">
        <v>1</v>
      </c>
      <c r="K794" s="37">
        <v>0.13</v>
      </c>
      <c r="L794" s="37">
        <v>1</v>
      </c>
      <c r="M794" s="37">
        <v>46</v>
      </c>
      <c r="N794" s="37">
        <v>47</v>
      </c>
    </row>
    <row r="795" spans="1:14">
      <c r="A795" s="30">
        <v>794</v>
      </c>
      <c r="B795" s="31">
        <v>40579</v>
      </c>
      <c r="C795" s="30">
        <v>12</v>
      </c>
      <c r="D795" s="37" t="s">
        <v>29</v>
      </c>
      <c r="E795" s="37" t="b">
        <v>0</v>
      </c>
      <c r="F795" s="37" t="s">
        <v>25</v>
      </c>
      <c r="G795" s="37" t="s">
        <v>10</v>
      </c>
      <c r="H795" s="37">
        <v>0.23</v>
      </c>
      <c r="I795" s="30">
        <v>0.22</v>
      </c>
      <c r="J795" s="37">
        <v>1</v>
      </c>
      <c r="K795" s="37">
        <v>0.16</v>
      </c>
      <c r="L795" s="37">
        <v>10</v>
      </c>
      <c r="M795" s="37">
        <v>42</v>
      </c>
      <c r="N795" s="37">
        <v>52</v>
      </c>
    </row>
    <row r="796" spans="1:14">
      <c r="A796" s="30">
        <v>795</v>
      </c>
      <c r="B796" s="31">
        <v>40579</v>
      </c>
      <c r="C796" s="30">
        <v>13</v>
      </c>
      <c r="D796" s="37" t="s">
        <v>29</v>
      </c>
      <c r="E796" s="37" t="b">
        <v>0</v>
      </c>
      <c r="F796" s="37" t="s">
        <v>25</v>
      </c>
      <c r="G796" s="37" t="s">
        <v>10</v>
      </c>
      <c r="H796" s="37">
        <v>0.23</v>
      </c>
      <c r="I796" s="30">
        <v>0.22</v>
      </c>
      <c r="J796" s="37">
        <v>1</v>
      </c>
      <c r="K796" s="37">
        <v>0.16</v>
      </c>
      <c r="L796" s="37">
        <v>10</v>
      </c>
      <c r="M796" s="37">
        <v>62</v>
      </c>
      <c r="N796" s="37">
        <v>72</v>
      </c>
    </row>
    <row r="797" spans="1:14">
      <c r="A797" s="30">
        <v>796</v>
      </c>
      <c r="B797" s="31">
        <v>40579</v>
      </c>
      <c r="C797" s="30">
        <v>14</v>
      </c>
      <c r="D797" s="37" t="s">
        <v>29</v>
      </c>
      <c r="E797" s="37" t="b">
        <v>0</v>
      </c>
      <c r="F797" s="37" t="s">
        <v>25</v>
      </c>
      <c r="G797" s="37" t="s">
        <v>10</v>
      </c>
      <c r="H797" s="37">
        <v>0.27</v>
      </c>
      <c r="I797" s="30">
        <v>0.22</v>
      </c>
      <c r="J797" s="37">
        <v>1</v>
      </c>
      <c r="K797" s="37">
        <v>0</v>
      </c>
      <c r="L797" s="37">
        <v>5</v>
      </c>
      <c r="M797" s="37">
        <v>50</v>
      </c>
      <c r="N797" s="37">
        <v>55</v>
      </c>
    </row>
    <row r="798" spans="1:14">
      <c r="A798" s="30">
        <v>797</v>
      </c>
      <c r="B798" s="31">
        <v>40579</v>
      </c>
      <c r="C798" s="30">
        <v>15</v>
      </c>
      <c r="D798" s="37" t="s">
        <v>29</v>
      </c>
      <c r="E798" s="37" t="b">
        <v>0</v>
      </c>
      <c r="F798" s="37" t="s">
        <v>25</v>
      </c>
      <c r="G798" s="37" t="s">
        <v>10</v>
      </c>
      <c r="H798" s="37">
        <v>0.27</v>
      </c>
      <c r="I798" s="30">
        <v>0.22</v>
      </c>
      <c r="J798" s="37">
        <v>1</v>
      </c>
      <c r="K798" s="37">
        <v>0</v>
      </c>
      <c r="L798" s="37">
        <v>11</v>
      </c>
      <c r="M798" s="37">
        <v>49</v>
      </c>
      <c r="N798" s="37">
        <v>60</v>
      </c>
    </row>
    <row r="799" spans="1:14">
      <c r="A799" s="30">
        <v>798</v>
      </c>
      <c r="B799" s="31">
        <v>40579</v>
      </c>
      <c r="C799" s="30">
        <v>16</v>
      </c>
      <c r="D799" s="37" t="s">
        <v>29</v>
      </c>
      <c r="E799" s="37" t="b">
        <v>0</v>
      </c>
      <c r="F799" s="37" t="s">
        <v>25</v>
      </c>
      <c r="G799" s="37" t="s">
        <v>10</v>
      </c>
      <c r="H799" s="37">
        <v>0.23</v>
      </c>
      <c r="I799" s="30">
        <v>0.22</v>
      </c>
      <c r="J799" s="37">
        <v>1</v>
      </c>
      <c r="K799" s="37">
        <v>0.13</v>
      </c>
      <c r="L799" s="37">
        <v>8</v>
      </c>
      <c r="M799" s="37">
        <v>63</v>
      </c>
      <c r="N799" s="37">
        <v>71</v>
      </c>
    </row>
    <row r="800" spans="1:14">
      <c r="A800" s="30">
        <v>799</v>
      </c>
      <c r="B800" s="31">
        <v>40579</v>
      </c>
      <c r="C800" s="30">
        <v>17</v>
      </c>
      <c r="D800" s="37" t="s">
        <v>29</v>
      </c>
      <c r="E800" s="37" t="b">
        <v>0</v>
      </c>
      <c r="F800" s="37" t="s">
        <v>25</v>
      </c>
      <c r="G800" s="37" t="s">
        <v>9</v>
      </c>
      <c r="H800" s="37">
        <v>0.21</v>
      </c>
      <c r="I800" s="30">
        <v>0.24</v>
      </c>
      <c r="J800" s="37">
        <v>1</v>
      </c>
      <c r="K800" s="37">
        <v>0.28000000000000003</v>
      </c>
      <c r="L800" s="37">
        <v>14</v>
      </c>
      <c r="M800" s="37">
        <v>64</v>
      </c>
      <c r="N800" s="37">
        <v>78</v>
      </c>
    </row>
    <row r="801" spans="1:14">
      <c r="A801" s="30">
        <v>800</v>
      </c>
      <c r="B801" s="31">
        <v>40579</v>
      </c>
      <c r="C801" s="30">
        <v>18</v>
      </c>
      <c r="D801" s="37" t="s">
        <v>30</v>
      </c>
      <c r="E801" s="37" t="b">
        <v>0</v>
      </c>
      <c r="F801" s="37" t="s">
        <v>25</v>
      </c>
      <c r="G801" s="37" t="s">
        <v>9</v>
      </c>
      <c r="H801" s="37">
        <v>0.24</v>
      </c>
      <c r="I801" s="30">
        <v>0.28000000000000003</v>
      </c>
      <c r="J801" s="37">
        <v>0.93</v>
      </c>
      <c r="K801" s="37">
        <v>0.45</v>
      </c>
      <c r="L801" s="37">
        <v>2</v>
      </c>
      <c r="M801" s="37">
        <v>81</v>
      </c>
      <c r="N801" s="37">
        <v>83</v>
      </c>
    </row>
    <row r="802" spans="1:14">
      <c r="A802" s="30">
        <v>801</v>
      </c>
      <c r="B802" s="31">
        <v>40579</v>
      </c>
      <c r="C802" s="30">
        <v>19</v>
      </c>
      <c r="D802" s="37" t="s">
        <v>30</v>
      </c>
      <c r="E802" s="37" t="b">
        <v>0</v>
      </c>
      <c r="F802" s="37" t="s">
        <v>25</v>
      </c>
      <c r="G802" s="37" t="s">
        <v>9</v>
      </c>
      <c r="H802" s="37">
        <v>0.24</v>
      </c>
      <c r="I802" s="30">
        <v>0.28000000000000003</v>
      </c>
      <c r="J802" s="37">
        <v>0.93</v>
      </c>
      <c r="K802" s="37">
        <v>0.45</v>
      </c>
      <c r="L802" s="37">
        <v>6</v>
      </c>
      <c r="M802" s="37">
        <v>78</v>
      </c>
      <c r="N802" s="37">
        <v>84</v>
      </c>
    </row>
    <row r="803" spans="1:14">
      <c r="A803" s="30">
        <v>802</v>
      </c>
      <c r="B803" s="31">
        <v>40579</v>
      </c>
      <c r="C803" s="30">
        <v>20</v>
      </c>
      <c r="D803" s="37" t="s">
        <v>30</v>
      </c>
      <c r="E803" s="37" t="b">
        <v>0</v>
      </c>
      <c r="F803" s="37" t="s">
        <v>25</v>
      </c>
      <c r="G803" s="37" t="s">
        <v>8</v>
      </c>
      <c r="H803" s="37">
        <v>0.28999999999999998</v>
      </c>
      <c r="I803" s="30">
        <v>0.3</v>
      </c>
      <c r="J803" s="37">
        <v>0.87</v>
      </c>
      <c r="K803" s="37">
        <v>0.25</v>
      </c>
      <c r="L803" s="37">
        <v>5</v>
      </c>
      <c r="M803" s="37">
        <v>64</v>
      </c>
      <c r="N803" s="37">
        <v>69</v>
      </c>
    </row>
    <row r="804" spans="1:14">
      <c r="A804" s="30">
        <v>803</v>
      </c>
      <c r="B804" s="31">
        <v>40579</v>
      </c>
      <c r="C804" s="30">
        <v>21</v>
      </c>
      <c r="D804" s="37" t="s">
        <v>30</v>
      </c>
      <c r="E804" s="37" t="b">
        <v>0</v>
      </c>
      <c r="F804" s="37" t="s">
        <v>25</v>
      </c>
      <c r="G804" s="37" t="s">
        <v>8</v>
      </c>
      <c r="H804" s="37">
        <v>0.26</v>
      </c>
      <c r="I804" s="30">
        <v>0.26</v>
      </c>
      <c r="J804" s="37">
        <v>1</v>
      </c>
      <c r="K804" s="37">
        <v>0.19</v>
      </c>
      <c r="L804" s="37">
        <v>3</v>
      </c>
      <c r="M804" s="37">
        <v>53</v>
      </c>
      <c r="N804" s="37">
        <v>56</v>
      </c>
    </row>
    <row r="805" spans="1:14">
      <c r="A805" s="30">
        <v>804</v>
      </c>
      <c r="B805" s="31">
        <v>40579</v>
      </c>
      <c r="C805" s="30">
        <v>22</v>
      </c>
      <c r="D805" s="37" t="s">
        <v>30</v>
      </c>
      <c r="E805" s="37" t="b">
        <v>0</v>
      </c>
      <c r="F805" s="37" t="s">
        <v>25</v>
      </c>
      <c r="G805" s="37" t="s">
        <v>8</v>
      </c>
      <c r="H805" s="37">
        <v>0.27</v>
      </c>
      <c r="I805" s="30">
        <v>0.26</v>
      </c>
      <c r="J805" s="37">
        <v>0.93</v>
      </c>
      <c r="K805" s="37">
        <v>0.13</v>
      </c>
      <c r="L805" s="37">
        <v>2</v>
      </c>
      <c r="M805" s="37">
        <v>43</v>
      </c>
      <c r="N805" s="37">
        <v>45</v>
      </c>
    </row>
    <row r="806" spans="1:14">
      <c r="A806" s="30">
        <v>805</v>
      </c>
      <c r="B806" s="31">
        <v>40579</v>
      </c>
      <c r="C806" s="30">
        <v>23</v>
      </c>
      <c r="D806" s="37" t="s">
        <v>30</v>
      </c>
      <c r="E806" s="37" t="b">
        <v>0</v>
      </c>
      <c r="F806" s="37" t="s">
        <v>25</v>
      </c>
      <c r="G806" s="37" t="s">
        <v>8</v>
      </c>
      <c r="H806" s="37">
        <v>0.26</v>
      </c>
      <c r="I806" s="30">
        <v>0.26</v>
      </c>
      <c r="J806" s="37">
        <v>0.93</v>
      </c>
      <c r="K806" s="37">
        <v>0.22</v>
      </c>
      <c r="L806" s="37">
        <v>7</v>
      </c>
      <c r="M806" s="37">
        <v>52</v>
      </c>
      <c r="N806" s="37">
        <v>59</v>
      </c>
    </row>
    <row r="807" spans="1:14">
      <c r="A807" s="30">
        <v>806</v>
      </c>
      <c r="B807" s="31">
        <v>40580</v>
      </c>
      <c r="C807" s="30">
        <v>0</v>
      </c>
      <c r="D807" s="37" t="s">
        <v>27</v>
      </c>
      <c r="E807" s="37" t="b">
        <v>0</v>
      </c>
      <c r="F807" s="37" t="s">
        <v>19</v>
      </c>
      <c r="G807" s="37" t="s">
        <v>8</v>
      </c>
      <c r="H807" s="37">
        <v>0.26</v>
      </c>
      <c r="I807" s="30">
        <v>0.26</v>
      </c>
      <c r="J807" s="37">
        <v>0.7</v>
      </c>
      <c r="K807" s="37">
        <v>0.19</v>
      </c>
      <c r="L807" s="37">
        <v>2</v>
      </c>
      <c r="M807" s="37">
        <v>37</v>
      </c>
      <c r="N807" s="37">
        <v>39</v>
      </c>
    </row>
    <row r="808" spans="1:14">
      <c r="A808" s="30">
        <v>807</v>
      </c>
      <c r="B808" s="31">
        <v>40580</v>
      </c>
      <c r="C808" s="30">
        <v>1</v>
      </c>
      <c r="D808" s="37" t="s">
        <v>27</v>
      </c>
      <c r="E808" s="37" t="b">
        <v>0</v>
      </c>
      <c r="F808" s="37" t="s">
        <v>19</v>
      </c>
      <c r="G808" s="37" t="s">
        <v>8</v>
      </c>
      <c r="H808" s="37">
        <v>0.23</v>
      </c>
      <c r="I808" s="30">
        <v>0.26</v>
      </c>
      <c r="J808" s="37">
        <v>0.65</v>
      </c>
      <c r="K808" s="37">
        <v>0.42</v>
      </c>
      <c r="L808" s="37">
        <v>4</v>
      </c>
      <c r="M808" s="37">
        <v>40</v>
      </c>
      <c r="N808" s="37">
        <v>44</v>
      </c>
    </row>
    <row r="809" spans="1:14">
      <c r="A809" s="30">
        <v>808</v>
      </c>
      <c r="B809" s="31">
        <v>40580</v>
      </c>
      <c r="C809" s="30">
        <v>2</v>
      </c>
      <c r="D809" s="37" t="s">
        <v>27</v>
      </c>
      <c r="E809" s="37" t="b">
        <v>0</v>
      </c>
      <c r="F809" s="37" t="s">
        <v>19</v>
      </c>
      <c r="G809" s="37" t="s">
        <v>8</v>
      </c>
      <c r="H809" s="37">
        <v>0.23</v>
      </c>
      <c r="I809" s="30">
        <v>0.26</v>
      </c>
      <c r="J809" s="37">
        <v>0.6</v>
      </c>
      <c r="K809" s="37">
        <v>0.33</v>
      </c>
      <c r="L809" s="37">
        <v>0</v>
      </c>
      <c r="M809" s="37">
        <v>20</v>
      </c>
      <c r="N809" s="37">
        <v>20</v>
      </c>
    </row>
    <row r="810" spans="1:14">
      <c r="A810" s="30">
        <v>809</v>
      </c>
      <c r="B810" s="31">
        <v>40580</v>
      </c>
      <c r="C810" s="30">
        <v>3</v>
      </c>
      <c r="D810" s="37" t="s">
        <v>27</v>
      </c>
      <c r="E810" s="37" t="b">
        <v>0</v>
      </c>
      <c r="F810" s="37" t="s">
        <v>19</v>
      </c>
      <c r="G810" s="37" t="s">
        <v>8</v>
      </c>
      <c r="H810" s="37">
        <v>0.28999999999999998</v>
      </c>
      <c r="I810" s="30">
        <v>0.26</v>
      </c>
      <c r="J810" s="37">
        <v>0.6</v>
      </c>
      <c r="K810" s="37">
        <v>0.09</v>
      </c>
      <c r="L810" s="37">
        <v>3</v>
      </c>
      <c r="M810" s="37">
        <v>10</v>
      </c>
      <c r="N810" s="37">
        <v>13</v>
      </c>
    </row>
    <row r="811" spans="1:14">
      <c r="A811" s="30">
        <v>810</v>
      </c>
      <c r="B811" s="31">
        <v>40580</v>
      </c>
      <c r="C811" s="30">
        <v>4</v>
      </c>
      <c r="D811" s="37" t="s">
        <v>27</v>
      </c>
      <c r="E811" s="37" t="b">
        <v>0</v>
      </c>
      <c r="F811" s="37" t="s">
        <v>19</v>
      </c>
      <c r="G811" s="37" t="s">
        <v>8</v>
      </c>
      <c r="H811" s="37">
        <v>0.23</v>
      </c>
      <c r="I811" s="30">
        <v>0.26</v>
      </c>
      <c r="J811" s="37">
        <v>0.6</v>
      </c>
      <c r="K811" s="37">
        <v>0.36</v>
      </c>
      <c r="L811" s="37">
        <v>0</v>
      </c>
      <c r="M811" s="37">
        <v>2</v>
      </c>
      <c r="N811" s="37">
        <v>2</v>
      </c>
    </row>
    <row r="812" spans="1:14">
      <c r="A812" s="30">
        <v>811</v>
      </c>
      <c r="B812" s="31">
        <v>40580</v>
      </c>
      <c r="C812" s="30">
        <v>5</v>
      </c>
      <c r="D812" s="37" t="s">
        <v>27</v>
      </c>
      <c r="E812" s="37" t="b">
        <v>0</v>
      </c>
      <c r="F812" s="37" t="s">
        <v>19</v>
      </c>
      <c r="G812" s="37" t="s">
        <v>8</v>
      </c>
      <c r="H812" s="37">
        <v>0.26</v>
      </c>
      <c r="I812" s="30">
        <v>0.26</v>
      </c>
      <c r="J812" s="37">
        <v>0.6</v>
      </c>
      <c r="K812" s="37">
        <v>0.22</v>
      </c>
      <c r="L812" s="37">
        <v>0</v>
      </c>
      <c r="M812" s="37">
        <v>1</v>
      </c>
      <c r="N812" s="37">
        <v>1</v>
      </c>
    </row>
    <row r="813" spans="1:14">
      <c r="A813" s="30">
        <v>812</v>
      </c>
      <c r="B813" s="31">
        <v>40580</v>
      </c>
      <c r="C813" s="30">
        <v>6</v>
      </c>
      <c r="D813" s="37" t="s">
        <v>28</v>
      </c>
      <c r="E813" s="37" t="b">
        <v>0</v>
      </c>
      <c r="F813" s="37" t="s">
        <v>19</v>
      </c>
      <c r="G813" s="37" t="s">
        <v>8</v>
      </c>
      <c r="H813" s="37">
        <v>0.26</v>
      </c>
      <c r="I813" s="30">
        <v>0.26</v>
      </c>
      <c r="J813" s="37">
        <v>0.6</v>
      </c>
      <c r="K813" s="37">
        <v>0.22</v>
      </c>
      <c r="L813" s="37">
        <v>0</v>
      </c>
      <c r="M813" s="37">
        <v>1</v>
      </c>
      <c r="N813" s="37">
        <v>1</v>
      </c>
    </row>
    <row r="814" spans="1:14">
      <c r="A814" s="30">
        <v>813</v>
      </c>
      <c r="B814" s="31">
        <v>40580</v>
      </c>
      <c r="C814" s="30">
        <v>7</v>
      </c>
      <c r="D814" s="37" t="s">
        <v>28</v>
      </c>
      <c r="E814" s="37" t="b">
        <v>0</v>
      </c>
      <c r="F814" s="37" t="s">
        <v>19</v>
      </c>
      <c r="G814" s="37" t="s">
        <v>8</v>
      </c>
      <c r="H814" s="37">
        <v>0.24</v>
      </c>
      <c r="I814" s="30">
        <v>0.24</v>
      </c>
      <c r="J814" s="37">
        <v>0.65</v>
      </c>
      <c r="K814" s="37">
        <v>0.16</v>
      </c>
      <c r="L814" s="37">
        <v>0</v>
      </c>
      <c r="M814" s="37">
        <v>8</v>
      </c>
      <c r="N814" s="37">
        <v>8</v>
      </c>
    </row>
    <row r="815" spans="1:14">
      <c r="A815" s="30">
        <v>814</v>
      </c>
      <c r="B815" s="31">
        <v>40580</v>
      </c>
      <c r="C815" s="30">
        <v>8</v>
      </c>
      <c r="D815" s="37" t="s">
        <v>28</v>
      </c>
      <c r="E815" s="37" t="b">
        <v>0</v>
      </c>
      <c r="F815" s="37" t="s">
        <v>19</v>
      </c>
      <c r="G815" s="37" t="s">
        <v>8</v>
      </c>
      <c r="H815" s="37">
        <v>0.26</v>
      </c>
      <c r="I815" s="30">
        <v>0.24</v>
      </c>
      <c r="J815" s="37">
        <v>0.65</v>
      </c>
      <c r="K815" s="37">
        <v>0.1</v>
      </c>
      <c r="L815" s="37">
        <v>2</v>
      </c>
      <c r="M815" s="37">
        <v>21</v>
      </c>
      <c r="N815" s="37">
        <v>23</v>
      </c>
    </row>
    <row r="816" spans="1:14">
      <c r="A816" s="30">
        <v>815</v>
      </c>
      <c r="B816" s="31">
        <v>40580</v>
      </c>
      <c r="C816" s="30">
        <v>9</v>
      </c>
      <c r="D816" s="37" t="s">
        <v>28</v>
      </c>
      <c r="E816" s="37" t="b">
        <v>0</v>
      </c>
      <c r="F816" s="37" t="s">
        <v>19</v>
      </c>
      <c r="G816" s="37" t="s">
        <v>8</v>
      </c>
      <c r="H816" s="37">
        <v>0.28999999999999998</v>
      </c>
      <c r="I816" s="30">
        <v>0.28000000000000003</v>
      </c>
      <c r="J816" s="37">
        <v>0.56000000000000005</v>
      </c>
      <c r="K816" s="37">
        <v>0.1</v>
      </c>
      <c r="L816" s="37">
        <v>7</v>
      </c>
      <c r="M816" s="37">
        <v>38</v>
      </c>
      <c r="N816" s="37">
        <v>45</v>
      </c>
    </row>
    <row r="817" spans="1:14">
      <c r="A817" s="30">
        <v>816</v>
      </c>
      <c r="B817" s="31">
        <v>40580</v>
      </c>
      <c r="C817" s="30">
        <v>10</v>
      </c>
      <c r="D817" s="37" t="s">
        <v>28</v>
      </c>
      <c r="E817" s="37" t="b">
        <v>0</v>
      </c>
      <c r="F817" s="37" t="s">
        <v>19</v>
      </c>
      <c r="G817" s="37" t="s">
        <v>8</v>
      </c>
      <c r="H817" s="37">
        <v>0.28999999999999998</v>
      </c>
      <c r="I817" s="30">
        <v>0.3</v>
      </c>
      <c r="J817" s="37">
        <v>0.52</v>
      </c>
      <c r="K817" s="37">
        <v>0.25</v>
      </c>
      <c r="L817" s="37">
        <v>15</v>
      </c>
      <c r="M817" s="37">
        <v>74</v>
      </c>
      <c r="N817" s="37">
        <v>89</v>
      </c>
    </row>
    <row r="818" spans="1:14">
      <c r="A818" s="30">
        <v>817</v>
      </c>
      <c r="B818" s="31">
        <v>40580</v>
      </c>
      <c r="C818" s="30">
        <v>11</v>
      </c>
      <c r="D818" s="37" t="s">
        <v>28</v>
      </c>
      <c r="E818" s="37" t="b">
        <v>0</v>
      </c>
      <c r="F818" s="37" t="s">
        <v>19</v>
      </c>
      <c r="G818" s="37" t="s">
        <v>8</v>
      </c>
      <c r="H818" s="37">
        <v>0.3</v>
      </c>
      <c r="I818" s="30">
        <v>0.32</v>
      </c>
      <c r="J818" s="37">
        <v>0.49</v>
      </c>
      <c r="K818" s="37">
        <v>0.25</v>
      </c>
      <c r="L818" s="37">
        <v>28</v>
      </c>
      <c r="M818" s="37">
        <v>89</v>
      </c>
      <c r="N818" s="37">
        <v>117</v>
      </c>
    </row>
    <row r="819" spans="1:14">
      <c r="A819" s="30">
        <v>818</v>
      </c>
      <c r="B819" s="31">
        <v>40580</v>
      </c>
      <c r="C819" s="30">
        <v>12</v>
      </c>
      <c r="D819" s="37" t="s">
        <v>29</v>
      </c>
      <c r="E819" s="37" t="b">
        <v>0</v>
      </c>
      <c r="F819" s="37" t="s">
        <v>19</v>
      </c>
      <c r="G819" s="37" t="s">
        <v>8</v>
      </c>
      <c r="H819" s="37">
        <v>0.33</v>
      </c>
      <c r="I819" s="30">
        <v>0.34</v>
      </c>
      <c r="J819" s="37">
        <v>0.46</v>
      </c>
      <c r="K819" s="37">
        <v>0</v>
      </c>
      <c r="L819" s="37">
        <v>48</v>
      </c>
      <c r="M819" s="37">
        <v>126</v>
      </c>
      <c r="N819" s="37">
        <v>174</v>
      </c>
    </row>
    <row r="820" spans="1:14">
      <c r="A820" s="30">
        <v>819</v>
      </c>
      <c r="B820" s="31">
        <v>40580</v>
      </c>
      <c r="C820" s="30">
        <v>13</v>
      </c>
      <c r="D820" s="37" t="s">
        <v>29</v>
      </c>
      <c r="E820" s="37" t="b">
        <v>0</v>
      </c>
      <c r="F820" s="37" t="s">
        <v>19</v>
      </c>
      <c r="G820" s="37" t="s">
        <v>8</v>
      </c>
      <c r="H820" s="37">
        <v>0.36</v>
      </c>
      <c r="I820" s="30">
        <v>0.34</v>
      </c>
      <c r="J820" s="37">
        <v>0.46</v>
      </c>
      <c r="K820" s="37">
        <v>0</v>
      </c>
      <c r="L820" s="37">
        <v>47</v>
      </c>
      <c r="M820" s="37">
        <v>135</v>
      </c>
      <c r="N820" s="37">
        <v>182</v>
      </c>
    </row>
    <row r="821" spans="1:14">
      <c r="A821" s="30">
        <v>820</v>
      </c>
      <c r="B821" s="31">
        <v>40580</v>
      </c>
      <c r="C821" s="30">
        <v>14</v>
      </c>
      <c r="D821" s="37" t="s">
        <v>29</v>
      </c>
      <c r="E821" s="37" t="b">
        <v>0</v>
      </c>
      <c r="F821" s="37" t="s">
        <v>19</v>
      </c>
      <c r="G821" s="37" t="s">
        <v>8</v>
      </c>
      <c r="H821" s="37">
        <v>0.35</v>
      </c>
      <c r="I821" s="30">
        <v>0.34</v>
      </c>
      <c r="J821" s="37">
        <v>0.46</v>
      </c>
      <c r="K821" s="37">
        <v>0.09</v>
      </c>
      <c r="L821" s="37">
        <v>47</v>
      </c>
      <c r="M821" s="37">
        <v>114</v>
      </c>
      <c r="N821" s="37">
        <v>161</v>
      </c>
    </row>
    <row r="822" spans="1:14">
      <c r="A822" s="30">
        <v>821</v>
      </c>
      <c r="B822" s="31">
        <v>40580</v>
      </c>
      <c r="C822" s="30">
        <v>15</v>
      </c>
      <c r="D822" s="37" t="s">
        <v>29</v>
      </c>
      <c r="E822" s="37" t="b">
        <v>0</v>
      </c>
      <c r="F822" s="37" t="s">
        <v>19</v>
      </c>
      <c r="G822" s="37" t="s">
        <v>8</v>
      </c>
      <c r="H822" s="37">
        <v>0.35</v>
      </c>
      <c r="I822" s="30">
        <v>0.34</v>
      </c>
      <c r="J822" s="37">
        <v>0.46</v>
      </c>
      <c r="K822" s="37">
        <v>0.09</v>
      </c>
      <c r="L822" s="37">
        <v>52</v>
      </c>
      <c r="M822" s="37">
        <v>130</v>
      </c>
      <c r="N822" s="37">
        <v>182</v>
      </c>
    </row>
    <row r="823" spans="1:14">
      <c r="A823" s="30">
        <v>822</v>
      </c>
      <c r="B823" s="31">
        <v>40580</v>
      </c>
      <c r="C823" s="30">
        <v>16</v>
      </c>
      <c r="D823" s="37" t="s">
        <v>29</v>
      </c>
      <c r="E823" s="37" t="b">
        <v>0</v>
      </c>
      <c r="F823" s="37" t="s">
        <v>19</v>
      </c>
      <c r="G823" s="37" t="s">
        <v>8</v>
      </c>
      <c r="H823" s="37">
        <v>0.35</v>
      </c>
      <c r="I823" s="30">
        <v>0.34</v>
      </c>
      <c r="J823" s="37">
        <v>0.49</v>
      </c>
      <c r="K823" s="37">
        <v>0.1</v>
      </c>
      <c r="L823" s="37">
        <v>42</v>
      </c>
      <c r="M823" s="37">
        <v>115</v>
      </c>
      <c r="N823" s="37">
        <v>157</v>
      </c>
    </row>
    <row r="824" spans="1:14">
      <c r="A824" s="30">
        <v>823</v>
      </c>
      <c r="B824" s="31">
        <v>40580</v>
      </c>
      <c r="C824" s="30">
        <v>17</v>
      </c>
      <c r="D824" s="37" t="s">
        <v>29</v>
      </c>
      <c r="E824" s="37" t="b">
        <v>0</v>
      </c>
      <c r="F824" s="37" t="s">
        <v>19</v>
      </c>
      <c r="G824" s="37" t="s">
        <v>8</v>
      </c>
      <c r="H824" s="37">
        <v>0.36</v>
      </c>
      <c r="I824" s="30">
        <v>0.34</v>
      </c>
      <c r="J824" s="37">
        <v>0.46</v>
      </c>
      <c r="K824" s="37">
        <v>0</v>
      </c>
      <c r="L824" s="37">
        <v>24</v>
      </c>
      <c r="M824" s="37">
        <v>97</v>
      </c>
      <c r="N824" s="37">
        <v>121</v>
      </c>
    </row>
    <row r="825" spans="1:14">
      <c r="A825" s="30">
        <v>824</v>
      </c>
      <c r="B825" s="31">
        <v>40580</v>
      </c>
      <c r="C825" s="30">
        <v>18</v>
      </c>
      <c r="D825" s="37" t="s">
        <v>30</v>
      </c>
      <c r="E825" s="37" t="b">
        <v>0</v>
      </c>
      <c r="F825" s="37" t="s">
        <v>19</v>
      </c>
      <c r="G825" s="37" t="s">
        <v>8</v>
      </c>
      <c r="H825" s="37">
        <v>0.3</v>
      </c>
      <c r="I825" s="30">
        <v>0.3</v>
      </c>
      <c r="J825" s="37">
        <v>0.56000000000000005</v>
      </c>
      <c r="K825" s="37">
        <v>0.16</v>
      </c>
      <c r="L825" s="37">
        <v>13</v>
      </c>
      <c r="M825" s="37">
        <v>65</v>
      </c>
      <c r="N825" s="37">
        <v>78</v>
      </c>
    </row>
    <row r="826" spans="1:14">
      <c r="A826" s="30">
        <v>825</v>
      </c>
      <c r="B826" s="31">
        <v>40580</v>
      </c>
      <c r="C826" s="30">
        <v>19</v>
      </c>
      <c r="D826" s="37" t="s">
        <v>30</v>
      </c>
      <c r="E826" s="37" t="b">
        <v>0</v>
      </c>
      <c r="F826" s="37" t="s">
        <v>19</v>
      </c>
      <c r="G826" s="37" t="s">
        <v>8</v>
      </c>
      <c r="H826" s="37">
        <v>0.28999999999999998</v>
      </c>
      <c r="I826" s="30">
        <v>0.28000000000000003</v>
      </c>
      <c r="J826" s="37">
        <v>0.61</v>
      </c>
      <c r="K826" s="37">
        <v>0.13</v>
      </c>
      <c r="L826" s="37">
        <v>1</v>
      </c>
      <c r="M826" s="37">
        <v>20</v>
      </c>
      <c r="N826" s="37">
        <v>21</v>
      </c>
    </row>
    <row r="827" spans="1:14">
      <c r="A827" s="30">
        <v>826</v>
      </c>
      <c r="B827" s="31">
        <v>40580</v>
      </c>
      <c r="C827" s="30">
        <v>20</v>
      </c>
      <c r="D827" s="37" t="s">
        <v>30</v>
      </c>
      <c r="E827" s="37" t="b">
        <v>0</v>
      </c>
      <c r="F827" s="37" t="s">
        <v>19</v>
      </c>
      <c r="G827" s="37" t="s">
        <v>8</v>
      </c>
      <c r="H827" s="37">
        <v>0.28999999999999998</v>
      </c>
      <c r="I827" s="30">
        <v>0.28000000000000003</v>
      </c>
      <c r="J827" s="37">
        <v>0.61</v>
      </c>
      <c r="K827" s="37">
        <v>0.1</v>
      </c>
      <c r="L827" s="37">
        <v>5</v>
      </c>
      <c r="M827" s="37">
        <v>21</v>
      </c>
      <c r="N827" s="37">
        <v>26</v>
      </c>
    </row>
    <row r="828" spans="1:14">
      <c r="A828" s="30">
        <v>827</v>
      </c>
      <c r="B828" s="31">
        <v>40580</v>
      </c>
      <c r="C828" s="30">
        <v>21</v>
      </c>
      <c r="D828" s="37" t="s">
        <v>30</v>
      </c>
      <c r="E828" s="37" t="b">
        <v>0</v>
      </c>
      <c r="F828" s="37" t="s">
        <v>19</v>
      </c>
      <c r="G828" s="37" t="s">
        <v>8</v>
      </c>
      <c r="H828" s="37">
        <v>0.3</v>
      </c>
      <c r="I828" s="30">
        <v>0.26</v>
      </c>
      <c r="J828" s="37">
        <v>0.6</v>
      </c>
      <c r="K828" s="37">
        <v>0</v>
      </c>
      <c r="L828" s="37">
        <v>5</v>
      </c>
      <c r="M828" s="37">
        <v>22</v>
      </c>
      <c r="N828" s="37">
        <v>27</v>
      </c>
    </row>
    <row r="829" spans="1:14">
      <c r="A829" s="30">
        <v>828</v>
      </c>
      <c r="B829" s="31">
        <v>40580</v>
      </c>
      <c r="C829" s="30">
        <v>22</v>
      </c>
      <c r="D829" s="37" t="s">
        <v>30</v>
      </c>
      <c r="E829" s="37" t="b">
        <v>0</v>
      </c>
      <c r="F829" s="37" t="s">
        <v>19</v>
      </c>
      <c r="G829" s="37" t="s">
        <v>8</v>
      </c>
      <c r="H829" s="37">
        <v>0.3</v>
      </c>
      <c r="I829" s="30">
        <v>0.26</v>
      </c>
      <c r="J829" s="37">
        <v>0.6</v>
      </c>
      <c r="K829" s="37">
        <v>0</v>
      </c>
      <c r="L829" s="37">
        <v>5</v>
      </c>
      <c r="M829" s="37">
        <v>57</v>
      </c>
      <c r="N829" s="37">
        <v>62</v>
      </c>
    </row>
    <row r="830" spans="1:14">
      <c r="A830" s="30">
        <v>829</v>
      </c>
      <c r="B830" s="31">
        <v>40580</v>
      </c>
      <c r="C830" s="30">
        <v>23</v>
      </c>
      <c r="D830" s="37" t="s">
        <v>30</v>
      </c>
      <c r="E830" s="37" t="b">
        <v>0</v>
      </c>
      <c r="F830" s="37" t="s">
        <v>19</v>
      </c>
      <c r="G830" s="37" t="s">
        <v>8</v>
      </c>
      <c r="H830" s="37">
        <v>0.28999999999999998</v>
      </c>
      <c r="I830" s="30">
        <v>0.24</v>
      </c>
      <c r="J830" s="37">
        <v>0.65</v>
      </c>
      <c r="K830" s="37">
        <v>0</v>
      </c>
      <c r="L830" s="37">
        <v>4</v>
      </c>
      <c r="M830" s="37">
        <v>26</v>
      </c>
      <c r="N830" s="37">
        <v>30</v>
      </c>
    </row>
    <row r="831" spans="1:14">
      <c r="A831" s="30">
        <v>830</v>
      </c>
      <c r="B831" s="31">
        <v>40581</v>
      </c>
      <c r="C831" s="30">
        <v>0</v>
      </c>
      <c r="D831" s="37" t="s">
        <v>27</v>
      </c>
      <c r="E831" s="37" t="b">
        <v>0</v>
      </c>
      <c r="F831" s="37" t="s">
        <v>20</v>
      </c>
      <c r="G831" s="37" t="s">
        <v>8</v>
      </c>
      <c r="H831" s="37">
        <v>0.28999999999999998</v>
      </c>
      <c r="I831" s="30">
        <v>0.24</v>
      </c>
      <c r="J831" s="37">
        <v>0.65</v>
      </c>
      <c r="K831" s="37">
        <v>0</v>
      </c>
      <c r="L831" s="37">
        <v>1</v>
      </c>
      <c r="M831" s="37">
        <v>14</v>
      </c>
      <c r="N831" s="37">
        <v>15</v>
      </c>
    </row>
    <row r="832" spans="1:14">
      <c r="A832" s="30">
        <v>831</v>
      </c>
      <c r="B832" s="31">
        <v>40581</v>
      </c>
      <c r="C832" s="30">
        <v>1</v>
      </c>
      <c r="D832" s="37" t="s">
        <v>27</v>
      </c>
      <c r="E832" s="37" t="b">
        <v>0</v>
      </c>
      <c r="F832" s="37" t="s">
        <v>20</v>
      </c>
      <c r="G832" s="37" t="s">
        <v>8</v>
      </c>
      <c r="H832" s="37">
        <v>0.27</v>
      </c>
      <c r="I832" s="30">
        <v>0.22</v>
      </c>
      <c r="J832" s="37">
        <v>0.75</v>
      </c>
      <c r="K832" s="37">
        <v>0</v>
      </c>
      <c r="L832" s="37">
        <v>1</v>
      </c>
      <c r="M832" s="37">
        <v>4</v>
      </c>
      <c r="N832" s="37">
        <v>5</v>
      </c>
    </row>
    <row r="833" spans="1:14">
      <c r="A833" s="30">
        <v>832</v>
      </c>
      <c r="B833" s="31">
        <v>40581</v>
      </c>
      <c r="C833" s="30">
        <v>2</v>
      </c>
      <c r="D833" s="37" t="s">
        <v>27</v>
      </c>
      <c r="E833" s="37" t="b">
        <v>0</v>
      </c>
      <c r="F833" s="37" t="s">
        <v>20</v>
      </c>
      <c r="G833" s="37" t="s">
        <v>8</v>
      </c>
      <c r="H833" s="37">
        <v>0.26</v>
      </c>
      <c r="I833" s="30">
        <v>0.2</v>
      </c>
      <c r="J833" s="37">
        <v>0.8</v>
      </c>
      <c r="K833" s="37">
        <v>0</v>
      </c>
      <c r="L833" s="37">
        <v>0</v>
      </c>
      <c r="M833" s="37">
        <v>3</v>
      </c>
      <c r="N833" s="37">
        <v>3</v>
      </c>
    </row>
    <row r="834" spans="1:14">
      <c r="A834" s="30">
        <v>833</v>
      </c>
      <c r="B834" s="31">
        <v>40581</v>
      </c>
      <c r="C834" s="30">
        <v>3</v>
      </c>
      <c r="D834" s="37" t="s">
        <v>27</v>
      </c>
      <c r="E834" s="37" t="b">
        <v>0</v>
      </c>
      <c r="F834" s="37" t="s">
        <v>20</v>
      </c>
      <c r="G834" s="37" t="s">
        <v>8</v>
      </c>
      <c r="H834" s="37">
        <v>0.26</v>
      </c>
      <c r="I834" s="30">
        <v>0.2</v>
      </c>
      <c r="J834" s="37">
        <v>0.86</v>
      </c>
      <c r="K834" s="37">
        <v>0</v>
      </c>
      <c r="L834" s="37">
        <v>0</v>
      </c>
      <c r="M834" s="37">
        <v>1</v>
      </c>
      <c r="N834" s="37">
        <v>1</v>
      </c>
    </row>
    <row r="835" spans="1:14">
      <c r="A835" s="30">
        <v>834</v>
      </c>
      <c r="B835" s="31">
        <v>40581</v>
      </c>
      <c r="C835" s="30">
        <v>4</v>
      </c>
      <c r="D835" s="37" t="s">
        <v>27</v>
      </c>
      <c r="E835" s="37" t="b">
        <v>0</v>
      </c>
      <c r="F835" s="37" t="s">
        <v>20</v>
      </c>
      <c r="G835" s="37" t="s">
        <v>8</v>
      </c>
      <c r="H835" s="37">
        <v>0.26</v>
      </c>
      <c r="I835" s="30">
        <v>0.2</v>
      </c>
      <c r="J835" s="37">
        <v>0.86</v>
      </c>
      <c r="K835" s="37">
        <v>0</v>
      </c>
      <c r="L835" s="37">
        <v>1</v>
      </c>
      <c r="M835" s="37">
        <v>1</v>
      </c>
      <c r="N835" s="37">
        <v>2</v>
      </c>
    </row>
    <row r="836" spans="1:14">
      <c r="A836" s="30">
        <v>835</v>
      </c>
      <c r="B836" s="31">
        <v>40581</v>
      </c>
      <c r="C836" s="30">
        <v>5</v>
      </c>
      <c r="D836" s="37" t="s">
        <v>27</v>
      </c>
      <c r="E836" s="37" t="b">
        <v>0</v>
      </c>
      <c r="F836" s="37" t="s">
        <v>20</v>
      </c>
      <c r="G836" s="37" t="s">
        <v>8</v>
      </c>
      <c r="H836" s="37">
        <v>0.26</v>
      </c>
      <c r="I836" s="30">
        <v>0.2</v>
      </c>
      <c r="J836" s="37">
        <v>0.86</v>
      </c>
      <c r="K836" s="37">
        <v>0</v>
      </c>
      <c r="L836" s="37">
        <v>1</v>
      </c>
      <c r="M836" s="37">
        <v>9</v>
      </c>
      <c r="N836" s="37">
        <v>10</v>
      </c>
    </row>
    <row r="837" spans="1:14">
      <c r="A837" s="30">
        <v>836</v>
      </c>
      <c r="B837" s="31">
        <v>40581</v>
      </c>
      <c r="C837" s="30">
        <v>6</v>
      </c>
      <c r="D837" s="37" t="s">
        <v>28</v>
      </c>
      <c r="E837" s="37" t="b">
        <v>0</v>
      </c>
      <c r="F837" s="37" t="s">
        <v>20</v>
      </c>
      <c r="G837" s="37" t="s">
        <v>8</v>
      </c>
      <c r="H837" s="37">
        <v>0.24</v>
      </c>
      <c r="I837" s="30">
        <v>0.18</v>
      </c>
      <c r="J837" s="37">
        <v>0.93</v>
      </c>
      <c r="K837" s="37">
        <v>0</v>
      </c>
      <c r="L837" s="37">
        <v>1</v>
      </c>
      <c r="M837" s="37">
        <v>29</v>
      </c>
      <c r="N837" s="37">
        <v>30</v>
      </c>
    </row>
    <row r="838" spans="1:14">
      <c r="A838" s="30">
        <v>837</v>
      </c>
      <c r="B838" s="31">
        <v>40581</v>
      </c>
      <c r="C838" s="30">
        <v>7</v>
      </c>
      <c r="D838" s="37" t="s">
        <v>28</v>
      </c>
      <c r="E838" s="37" t="b">
        <v>0</v>
      </c>
      <c r="F838" s="37" t="s">
        <v>20</v>
      </c>
      <c r="G838" s="37" t="s">
        <v>8</v>
      </c>
      <c r="H838" s="37">
        <v>0.24</v>
      </c>
      <c r="I838" s="30">
        <v>0.18</v>
      </c>
      <c r="J838" s="37">
        <v>0.86</v>
      </c>
      <c r="K838" s="37">
        <v>0</v>
      </c>
      <c r="L838" s="37">
        <v>6</v>
      </c>
      <c r="M838" s="37">
        <v>89</v>
      </c>
      <c r="N838" s="37">
        <v>95</v>
      </c>
    </row>
    <row r="839" spans="1:14">
      <c r="A839" s="30">
        <v>838</v>
      </c>
      <c r="B839" s="31">
        <v>40581</v>
      </c>
      <c r="C839" s="30">
        <v>8</v>
      </c>
      <c r="D839" s="37" t="s">
        <v>28</v>
      </c>
      <c r="E839" s="37" t="b">
        <v>0</v>
      </c>
      <c r="F839" s="37" t="s">
        <v>20</v>
      </c>
      <c r="G839" s="37" t="s">
        <v>9</v>
      </c>
      <c r="H839" s="37">
        <v>0.23</v>
      </c>
      <c r="I839" s="30">
        <v>0.16</v>
      </c>
      <c r="J839" s="37">
        <v>1</v>
      </c>
      <c r="K839" s="37">
        <v>0</v>
      </c>
      <c r="L839" s="37">
        <v>7</v>
      </c>
      <c r="M839" s="37">
        <v>223</v>
      </c>
      <c r="N839" s="37">
        <v>230</v>
      </c>
    </row>
    <row r="840" spans="1:14">
      <c r="A840" s="30">
        <v>839</v>
      </c>
      <c r="B840" s="31">
        <v>40581</v>
      </c>
      <c r="C840" s="30">
        <v>9</v>
      </c>
      <c r="D840" s="37" t="s">
        <v>28</v>
      </c>
      <c r="E840" s="37" t="b">
        <v>0</v>
      </c>
      <c r="F840" s="37" t="s">
        <v>20</v>
      </c>
      <c r="G840" s="37" t="s">
        <v>8</v>
      </c>
      <c r="H840" s="37">
        <v>0.27</v>
      </c>
      <c r="I840" s="30">
        <v>0.22</v>
      </c>
      <c r="J840" s="37">
        <v>0.8</v>
      </c>
      <c r="K840" s="37">
        <v>0</v>
      </c>
      <c r="L840" s="37">
        <v>3</v>
      </c>
      <c r="M840" s="37">
        <v>115</v>
      </c>
      <c r="N840" s="37">
        <v>118</v>
      </c>
    </row>
    <row r="841" spans="1:14">
      <c r="A841" s="30">
        <v>840</v>
      </c>
      <c r="B841" s="31">
        <v>40581</v>
      </c>
      <c r="C841" s="30">
        <v>10</v>
      </c>
      <c r="D841" s="37" t="s">
        <v>28</v>
      </c>
      <c r="E841" s="37" t="b">
        <v>0</v>
      </c>
      <c r="F841" s="37" t="s">
        <v>20</v>
      </c>
      <c r="G841" s="37" t="s">
        <v>8</v>
      </c>
      <c r="H841" s="37">
        <v>0.26</v>
      </c>
      <c r="I841" s="30">
        <v>0.24</v>
      </c>
      <c r="J841" s="37">
        <v>0.75</v>
      </c>
      <c r="K841" s="37">
        <v>0.1</v>
      </c>
      <c r="L841" s="37">
        <v>6</v>
      </c>
      <c r="M841" s="37">
        <v>49</v>
      </c>
      <c r="N841" s="37">
        <v>55</v>
      </c>
    </row>
    <row r="842" spans="1:14">
      <c r="A842" s="30">
        <v>841</v>
      </c>
      <c r="B842" s="31">
        <v>40581</v>
      </c>
      <c r="C842" s="30">
        <v>11</v>
      </c>
      <c r="D842" s="37" t="s">
        <v>28</v>
      </c>
      <c r="E842" s="37" t="b">
        <v>0</v>
      </c>
      <c r="F842" s="37" t="s">
        <v>20</v>
      </c>
      <c r="G842" s="37" t="s">
        <v>8</v>
      </c>
      <c r="H842" s="37">
        <v>0.32</v>
      </c>
      <c r="I842" s="30">
        <v>0.3</v>
      </c>
      <c r="J842" s="37">
        <v>0.65</v>
      </c>
      <c r="K842" s="37">
        <v>0.09</v>
      </c>
      <c r="L842" s="37">
        <v>11</v>
      </c>
      <c r="M842" s="37">
        <v>36</v>
      </c>
      <c r="N842" s="37">
        <v>47</v>
      </c>
    </row>
    <row r="843" spans="1:14">
      <c r="A843" s="30">
        <v>842</v>
      </c>
      <c r="B843" s="31">
        <v>40581</v>
      </c>
      <c r="C843" s="30">
        <v>12</v>
      </c>
      <c r="D843" s="37" t="s">
        <v>29</v>
      </c>
      <c r="E843" s="37" t="b">
        <v>0</v>
      </c>
      <c r="F843" s="37" t="s">
        <v>20</v>
      </c>
      <c r="G843" s="37" t="s">
        <v>9</v>
      </c>
      <c r="H843" s="37">
        <v>0.35</v>
      </c>
      <c r="I843" s="30">
        <v>0.32</v>
      </c>
      <c r="J843" s="37">
        <v>0.62</v>
      </c>
      <c r="K843" s="37">
        <v>0</v>
      </c>
      <c r="L843" s="37">
        <v>7</v>
      </c>
      <c r="M843" s="37">
        <v>59</v>
      </c>
      <c r="N843" s="37">
        <v>66</v>
      </c>
    </row>
    <row r="844" spans="1:14">
      <c r="A844" s="30">
        <v>843</v>
      </c>
      <c r="B844" s="31">
        <v>40581</v>
      </c>
      <c r="C844" s="30">
        <v>13</v>
      </c>
      <c r="D844" s="37" t="s">
        <v>29</v>
      </c>
      <c r="E844" s="37" t="b">
        <v>0</v>
      </c>
      <c r="F844" s="37" t="s">
        <v>20</v>
      </c>
      <c r="G844" s="37" t="s">
        <v>9</v>
      </c>
      <c r="H844" s="37">
        <v>0.36</v>
      </c>
      <c r="I844" s="30">
        <v>0.36</v>
      </c>
      <c r="J844" s="37">
        <v>0.56999999999999995</v>
      </c>
      <c r="K844" s="37">
        <v>0.09</v>
      </c>
      <c r="L844" s="37">
        <v>10</v>
      </c>
      <c r="M844" s="37">
        <v>54</v>
      </c>
      <c r="N844" s="37">
        <v>64</v>
      </c>
    </row>
    <row r="845" spans="1:14">
      <c r="A845" s="30">
        <v>844</v>
      </c>
      <c r="B845" s="31">
        <v>40581</v>
      </c>
      <c r="C845" s="30">
        <v>14</v>
      </c>
      <c r="D845" s="37" t="s">
        <v>29</v>
      </c>
      <c r="E845" s="37" t="b">
        <v>0</v>
      </c>
      <c r="F845" s="37" t="s">
        <v>20</v>
      </c>
      <c r="G845" s="37" t="s">
        <v>9</v>
      </c>
      <c r="H845" s="37">
        <v>0.36</v>
      </c>
      <c r="I845" s="30">
        <v>0.36</v>
      </c>
      <c r="J845" s="37">
        <v>0.56999999999999995</v>
      </c>
      <c r="K845" s="37">
        <v>0.09</v>
      </c>
      <c r="L845" s="37">
        <v>8</v>
      </c>
      <c r="M845" s="37">
        <v>52</v>
      </c>
      <c r="N845" s="37">
        <v>60</v>
      </c>
    </row>
    <row r="846" spans="1:14">
      <c r="A846" s="30">
        <v>845</v>
      </c>
      <c r="B846" s="31">
        <v>40581</v>
      </c>
      <c r="C846" s="30">
        <v>15</v>
      </c>
      <c r="D846" s="37" t="s">
        <v>29</v>
      </c>
      <c r="E846" s="37" t="b">
        <v>0</v>
      </c>
      <c r="F846" s="37" t="s">
        <v>20</v>
      </c>
      <c r="G846" s="37" t="s">
        <v>9</v>
      </c>
      <c r="H846" s="37">
        <v>0.39</v>
      </c>
      <c r="I846" s="30">
        <v>0.38</v>
      </c>
      <c r="J846" s="37">
        <v>0.54</v>
      </c>
      <c r="K846" s="37">
        <v>0.09</v>
      </c>
      <c r="L846" s="37">
        <v>4</v>
      </c>
      <c r="M846" s="37">
        <v>46</v>
      </c>
      <c r="N846" s="37">
        <v>50</v>
      </c>
    </row>
    <row r="847" spans="1:14">
      <c r="A847" s="30">
        <v>846</v>
      </c>
      <c r="B847" s="31">
        <v>40581</v>
      </c>
      <c r="C847" s="30">
        <v>16</v>
      </c>
      <c r="D847" s="37" t="s">
        <v>29</v>
      </c>
      <c r="E847" s="37" t="b">
        <v>0</v>
      </c>
      <c r="F847" s="37" t="s">
        <v>20</v>
      </c>
      <c r="G847" s="37" t="s">
        <v>9</v>
      </c>
      <c r="H847" s="37">
        <v>0.35</v>
      </c>
      <c r="I847" s="30">
        <v>0.36</v>
      </c>
      <c r="J847" s="37">
        <v>0.56999999999999995</v>
      </c>
      <c r="K847" s="37">
        <v>0.13</v>
      </c>
      <c r="L847" s="37">
        <v>16</v>
      </c>
      <c r="M847" s="37">
        <v>98</v>
      </c>
      <c r="N847" s="37">
        <v>114</v>
      </c>
    </row>
    <row r="848" spans="1:14">
      <c r="A848" s="30">
        <v>847</v>
      </c>
      <c r="B848" s="31">
        <v>40581</v>
      </c>
      <c r="C848" s="30">
        <v>17</v>
      </c>
      <c r="D848" s="37" t="s">
        <v>29</v>
      </c>
      <c r="E848" s="37" t="b">
        <v>0</v>
      </c>
      <c r="F848" s="37" t="s">
        <v>20</v>
      </c>
      <c r="G848" s="37" t="s">
        <v>9</v>
      </c>
      <c r="H848" s="37">
        <v>0.32</v>
      </c>
      <c r="I848" s="30">
        <v>0.32</v>
      </c>
      <c r="J848" s="37">
        <v>0.7</v>
      </c>
      <c r="K848" s="37">
        <v>0.16</v>
      </c>
      <c r="L848" s="37">
        <v>9</v>
      </c>
      <c r="M848" s="37">
        <v>207</v>
      </c>
      <c r="N848" s="37">
        <v>216</v>
      </c>
    </row>
    <row r="849" spans="1:14">
      <c r="A849" s="30">
        <v>848</v>
      </c>
      <c r="B849" s="31">
        <v>40581</v>
      </c>
      <c r="C849" s="30">
        <v>18</v>
      </c>
      <c r="D849" s="37" t="s">
        <v>30</v>
      </c>
      <c r="E849" s="37" t="b">
        <v>0</v>
      </c>
      <c r="F849" s="37" t="s">
        <v>20</v>
      </c>
      <c r="G849" s="37" t="s">
        <v>9</v>
      </c>
      <c r="H849" s="37">
        <v>0.33</v>
      </c>
      <c r="I849" s="30">
        <v>0.34</v>
      </c>
      <c r="J849" s="37">
        <v>0.66</v>
      </c>
      <c r="K849" s="37">
        <v>0.13</v>
      </c>
      <c r="L849" s="37">
        <v>5</v>
      </c>
      <c r="M849" s="37">
        <v>170</v>
      </c>
      <c r="N849" s="37">
        <v>175</v>
      </c>
    </row>
    <row r="850" spans="1:14">
      <c r="A850" s="30">
        <v>849</v>
      </c>
      <c r="B850" s="31">
        <v>40581</v>
      </c>
      <c r="C850" s="30">
        <v>19</v>
      </c>
      <c r="D850" s="37" t="s">
        <v>30</v>
      </c>
      <c r="E850" s="37" t="b">
        <v>0</v>
      </c>
      <c r="F850" s="37" t="s">
        <v>20</v>
      </c>
      <c r="G850" s="37" t="s">
        <v>9</v>
      </c>
      <c r="H850" s="37">
        <v>0.35</v>
      </c>
      <c r="I850" s="30">
        <v>0.32</v>
      </c>
      <c r="J850" s="37">
        <v>0.7</v>
      </c>
      <c r="K850" s="37">
        <v>0</v>
      </c>
      <c r="L850" s="37">
        <v>5</v>
      </c>
      <c r="M850" s="37">
        <v>123</v>
      </c>
      <c r="N850" s="37">
        <v>128</v>
      </c>
    </row>
    <row r="851" spans="1:14">
      <c r="A851" s="30">
        <v>850</v>
      </c>
      <c r="B851" s="31">
        <v>40581</v>
      </c>
      <c r="C851" s="30">
        <v>20</v>
      </c>
      <c r="D851" s="37" t="s">
        <v>30</v>
      </c>
      <c r="E851" s="37" t="b">
        <v>0</v>
      </c>
      <c r="F851" s="37" t="s">
        <v>20</v>
      </c>
      <c r="G851" s="37" t="s">
        <v>9</v>
      </c>
      <c r="H851" s="37">
        <v>0.33</v>
      </c>
      <c r="I851" s="30">
        <v>0.32</v>
      </c>
      <c r="J851" s="37">
        <v>0.7</v>
      </c>
      <c r="K851" s="37">
        <v>0.1</v>
      </c>
      <c r="L851" s="37">
        <v>6</v>
      </c>
      <c r="M851" s="37">
        <v>82</v>
      </c>
      <c r="N851" s="37">
        <v>88</v>
      </c>
    </row>
    <row r="852" spans="1:14">
      <c r="A852" s="30">
        <v>851</v>
      </c>
      <c r="B852" s="31">
        <v>40581</v>
      </c>
      <c r="C852" s="30">
        <v>21</v>
      </c>
      <c r="D852" s="37" t="s">
        <v>30</v>
      </c>
      <c r="E852" s="37" t="b">
        <v>0</v>
      </c>
      <c r="F852" s="37" t="s">
        <v>20</v>
      </c>
      <c r="G852" s="37" t="s">
        <v>8</v>
      </c>
      <c r="H852" s="37">
        <v>0.35</v>
      </c>
      <c r="I852" s="30">
        <v>0.32</v>
      </c>
      <c r="J852" s="37">
        <v>0.7</v>
      </c>
      <c r="K852" s="37">
        <v>0</v>
      </c>
      <c r="L852" s="37">
        <v>3</v>
      </c>
      <c r="M852" s="37">
        <v>75</v>
      </c>
      <c r="N852" s="37">
        <v>78</v>
      </c>
    </row>
    <row r="853" spans="1:14">
      <c r="A853" s="30">
        <v>852</v>
      </c>
      <c r="B853" s="31">
        <v>40581</v>
      </c>
      <c r="C853" s="30">
        <v>22</v>
      </c>
      <c r="D853" s="37" t="s">
        <v>30</v>
      </c>
      <c r="E853" s="37" t="b">
        <v>0</v>
      </c>
      <c r="F853" s="37" t="s">
        <v>20</v>
      </c>
      <c r="G853" s="37" t="s">
        <v>8</v>
      </c>
      <c r="H853" s="37">
        <v>0.3</v>
      </c>
      <c r="I853" s="30">
        <v>0.28000000000000003</v>
      </c>
      <c r="J853" s="37">
        <v>0.81</v>
      </c>
      <c r="K853" s="37">
        <v>0.09</v>
      </c>
      <c r="L853" s="37">
        <v>3</v>
      </c>
      <c r="M853" s="37">
        <v>34</v>
      </c>
      <c r="N853" s="37">
        <v>37</v>
      </c>
    </row>
    <row r="854" spans="1:14">
      <c r="A854" s="30">
        <v>853</v>
      </c>
      <c r="B854" s="31">
        <v>40581</v>
      </c>
      <c r="C854" s="30">
        <v>23</v>
      </c>
      <c r="D854" s="37" t="s">
        <v>30</v>
      </c>
      <c r="E854" s="37" t="b">
        <v>0</v>
      </c>
      <c r="F854" s="37" t="s">
        <v>20</v>
      </c>
      <c r="G854" s="37" t="s">
        <v>9</v>
      </c>
      <c r="H854" s="37">
        <v>0.33</v>
      </c>
      <c r="I854" s="30">
        <v>0.3</v>
      </c>
      <c r="J854" s="37">
        <v>0.81</v>
      </c>
      <c r="K854" s="37">
        <v>0</v>
      </c>
      <c r="L854" s="37">
        <v>6</v>
      </c>
      <c r="M854" s="37">
        <v>19</v>
      </c>
      <c r="N854" s="37">
        <v>25</v>
      </c>
    </row>
    <row r="855" spans="1:14">
      <c r="A855" s="30">
        <v>854</v>
      </c>
      <c r="B855" s="31">
        <v>40582</v>
      </c>
      <c r="C855" s="30">
        <v>0</v>
      </c>
      <c r="D855" s="37" t="s">
        <v>27</v>
      </c>
      <c r="E855" s="37" t="b">
        <v>0</v>
      </c>
      <c r="F855" s="37" t="s">
        <v>21</v>
      </c>
      <c r="G855" s="37" t="s">
        <v>9</v>
      </c>
      <c r="H855" s="37">
        <v>0.32</v>
      </c>
      <c r="I855" s="30">
        <v>0.28000000000000003</v>
      </c>
      <c r="J855" s="37">
        <v>0.87</v>
      </c>
      <c r="K855" s="37">
        <v>0</v>
      </c>
      <c r="L855" s="37">
        <v>4</v>
      </c>
      <c r="M855" s="37">
        <v>6</v>
      </c>
      <c r="N855" s="37">
        <v>10</v>
      </c>
    </row>
    <row r="856" spans="1:14">
      <c r="A856" s="30">
        <v>855</v>
      </c>
      <c r="B856" s="31">
        <v>40582</v>
      </c>
      <c r="C856" s="30">
        <v>1</v>
      </c>
      <c r="D856" s="37" t="s">
        <v>27</v>
      </c>
      <c r="E856" s="37" t="b">
        <v>0</v>
      </c>
      <c r="F856" s="37" t="s">
        <v>21</v>
      </c>
      <c r="G856" s="37" t="s">
        <v>9</v>
      </c>
      <c r="H856" s="37">
        <v>0.32</v>
      </c>
      <c r="I856" s="30">
        <v>0.28000000000000003</v>
      </c>
      <c r="J856" s="37">
        <v>0.87</v>
      </c>
      <c r="K856" s="37">
        <v>0</v>
      </c>
      <c r="L856" s="37">
        <v>0</v>
      </c>
      <c r="M856" s="37">
        <v>4</v>
      </c>
      <c r="N856" s="37">
        <v>4</v>
      </c>
    </row>
    <row r="857" spans="1:14">
      <c r="A857" s="30">
        <v>856</v>
      </c>
      <c r="B857" s="31">
        <v>40582</v>
      </c>
      <c r="C857" s="30">
        <v>2</v>
      </c>
      <c r="D857" s="37" t="s">
        <v>27</v>
      </c>
      <c r="E857" s="37" t="b">
        <v>0</v>
      </c>
      <c r="F857" s="37" t="s">
        <v>21</v>
      </c>
      <c r="G857" s="37" t="s">
        <v>9</v>
      </c>
      <c r="H857" s="37">
        <v>0.27</v>
      </c>
      <c r="I857" s="30">
        <v>0.26</v>
      </c>
      <c r="J857" s="37">
        <v>0.93</v>
      </c>
      <c r="K857" s="37">
        <v>0.1</v>
      </c>
      <c r="L857" s="37">
        <v>1</v>
      </c>
      <c r="M857" s="37">
        <v>1</v>
      </c>
      <c r="N857" s="37">
        <v>2</v>
      </c>
    </row>
    <row r="858" spans="1:14">
      <c r="A858" s="30">
        <v>857</v>
      </c>
      <c r="B858" s="31">
        <v>40582</v>
      </c>
      <c r="C858" s="30">
        <v>3</v>
      </c>
      <c r="D858" s="37" t="s">
        <v>27</v>
      </c>
      <c r="E858" s="37" t="b">
        <v>0</v>
      </c>
      <c r="F858" s="37" t="s">
        <v>21</v>
      </c>
      <c r="G858" s="37" t="s">
        <v>10</v>
      </c>
      <c r="H858" s="37">
        <v>0.27</v>
      </c>
      <c r="I858" s="30">
        <v>0.28000000000000003</v>
      </c>
      <c r="J858" s="37">
        <v>0.93</v>
      </c>
      <c r="K858" s="37">
        <v>0.16</v>
      </c>
      <c r="L858" s="37">
        <v>0</v>
      </c>
      <c r="M858" s="37">
        <v>1</v>
      </c>
      <c r="N858" s="37">
        <v>1</v>
      </c>
    </row>
    <row r="859" spans="1:14">
      <c r="A859" s="30">
        <v>858</v>
      </c>
      <c r="B859" s="31">
        <v>40582</v>
      </c>
      <c r="C859" s="30">
        <v>4</v>
      </c>
      <c r="D859" s="37" t="s">
        <v>27</v>
      </c>
      <c r="E859" s="37" t="b">
        <v>0</v>
      </c>
      <c r="F859" s="37" t="s">
        <v>21</v>
      </c>
      <c r="G859" s="37" t="s">
        <v>8</v>
      </c>
      <c r="H859" s="37">
        <v>0.26</v>
      </c>
      <c r="I859" s="30">
        <v>0.26</v>
      </c>
      <c r="J859" s="37">
        <v>0.93</v>
      </c>
      <c r="K859" s="37">
        <v>0.16</v>
      </c>
      <c r="L859" s="37">
        <v>0</v>
      </c>
      <c r="M859" s="37">
        <v>3</v>
      </c>
      <c r="N859" s="37">
        <v>3</v>
      </c>
    </row>
    <row r="860" spans="1:14">
      <c r="A860" s="30">
        <v>859</v>
      </c>
      <c r="B860" s="31">
        <v>40582</v>
      </c>
      <c r="C860" s="30">
        <v>5</v>
      </c>
      <c r="D860" s="37" t="s">
        <v>27</v>
      </c>
      <c r="E860" s="37" t="b">
        <v>0</v>
      </c>
      <c r="F860" s="37" t="s">
        <v>21</v>
      </c>
      <c r="G860" s="37" t="s">
        <v>8</v>
      </c>
      <c r="H860" s="37">
        <v>0.23</v>
      </c>
      <c r="I860" s="30">
        <v>0.26</v>
      </c>
      <c r="J860" s="37">
        <v>0.81</v>
      </c>
      <c r="K860" s="37">
        <v>0.33</v>
      </c>
      <c r="L860" s="37">
        <v>0</v>
      </c>
      <c r="M860" s="37">
        <v>2</v>
      </c>
      <c r="N860" s="37">
        <v>2</v>
      </c>
    </row>
    <row r="861" spans="1:14">
      <c r="A861" s="30">
        <v>860</v>
      </c>
      <c r="B861" s="31">
        <v>40582</v>
      </c>
      <c r="C861" s="30">
        <v>6</v>
      </c>
      <c r="D861" s="37" t="s">
        <v>28</v>
      </c>
      <c r="E861" s="37" t="b">
        <v>0</v>
      </c>
      <c r="F861" s="37" t="s">
        <v>21</v>
      </c>
      <c r="G861" s="37" t="s">
        <v>8</v>
      </c>
      <c r="H861" s="37">
        <v>0.23</v>
      </c>
      <c r="I861" s="30">
        <v>0.26</v>
      </c>
      <c r="J861" s="37">
        <v>0.7</v>
      </c>
      <c r="K861" s="37">
        <v>0.33</v>
      </c>
      <c r="L861" s="37">
        <v>0</v>
      </c>
      <c r="M861" s="37">
        <v>39</v>
      </c>
      <c r="N861" s="37">
        <v>39</v>
      </c>
    </row>
    <row r="862" spans="1:14">
      <c r="A862" s="30">
        <v>861</v>
      </c>
      <c r="B862" s="31">
        <v>40582</v>
      </c>
      <c r="C862" s="30">
        <v>7</v>
      </c>
      <c r="D862" s="37" t="s">
        <v>28</v>
      </c>
      <c r="E862" s="37" t="b">
        <v>0</v>
      </c>
      <c r="F862" s="37" t="s">
        <v>21</v>
      </c>
      <c r="G862" s="37" t="s">
        <v>8</v>
      </c>
      <c r="H862" s="37">
        <v>0.2</v>
      </c>
      <c r="I862" s="30">
        <v>0.24</v>
      </c>
      <c r="J862" s="37">
        <v>0.65</v>
      </c>
      <c r="K862" s="37">
        <v>0.42</v>
      </c>
      <c r="L862" s="37">
        <v>3</v>
      </c>
      <c r="M862" s="37">
        <v>97</v>
      </c>
      <c r="N862" s="37">
        <v>100</v>
      </c>
    </row>
    <row r="863" spans="1:14">
      <c r="A863" s="30">
        <v>862</v>
      </c>
      <c r="B863" s="31">
        <v>40582</v>
      </c>
      <c r="C863" s="30">
        <v>8</v>
      </c>
      <c r="D863" s="37" t="s">
        <v>28</v>
      </c>
      <c r="E863" s="37" t="b">
        <v>0</v>
      </c>
      <c r="F863" s="37" t="s">
        <v>21</v>
      </c>
      <c r="G863" s="37" t="s">
        <v>8</v>
      </c>
      <c r="H863" s="37">
        <v>0.2</v>
      </c>
      <c r="I863" s="30">
        <v>0.24</v>
      </c>
      <c r="J863" s="37">
        <v>0.56000000000000005</v>
      </c>
      <c r="K863" s="37">
        <v>0.49</v>
      </c>
      <c r="L863" s="37">
        <v>7</v>
      </c>
      <c r="M863" s="37">
        <v>236</v>
      </c>
      <c r="N863" s="37">
        <v>243</v>
      </c>
    </row>
    <row r="864" spans="1:14">
      <c r="A864" s="30">
        <v>863</v>
      </c>
      <c r="B864" s="31">
        <v>40582</v>
      </c>
      <c r="C864" s="30">
        <v>9</v>
      </c>
      <c r="D864" s="37" t="s">
        <v>28</v>
      </c>
      <c r="E864" s="37" t="b">
        <v>0</v>
      </c>
      <c r="F864" s="37" t="s">
        <v>21</v>
      </c>
      <c r="G864" s="37" t="s">
        <v>8</v>
      </c>
      <c r="H864" s="37">
        <v>0.2</v>
      </c>
      <c r="I864" s="30">
        <v>0.24</v>
      </c>
      <c r="J864" s="37">
        <v>0.52</v>
      </c>
      <c r="K864" s="37">
        <v>0.49</v>
      </c>
      <c r="L864" s="37">
        <v>7</v>
      </c>
      <c r="M864" s="37">
        <v>128</v>
      </c>
      <c r="N864" s="37">
        <v>135</v>
      </c>
    </row>
    <row r="865" spans="1:14">
      <c r="A865" s="30">
        <v>864</v>
      </c>
      <c r="B865" s="31">
        <v>40582</v>
      </c>
      <c r="C865" s="30">
        <v>10</v>
      </c>
      <c r="D865" s="37" t="s">
        <v>28</v>
      </c>
      <c r="E865" s="37" t="b">
        <v>0</v>
      </c>
      <c r="F865" s="37" t="s">
        <v>21</v>
      </c>
      <c r="G865" s="37" t="s">
        <v>8</v>
      </c>
      <c r="H865" s="37">
        <v>0.18</v>
      </c>
      <c r="I865" s="30">
        <v>0.22</v>
      </c>
      <c r="J865" s="37">
        <v>0.47</v>
      </c>
      <c r="K865" s="37">
        <v>0.55000000000000004</v>
      </c>
      <c r="L865" s="37">
        <v>4</v>
      </c>
      <c r="M865" s="37">
        <v>44</v>
      </c>
      <c r="N865" s="37">
        <v>48</v>
      </c>
    </row>
    <row r="866" spans="1:14">
      <c r="A866" s="30">
        <v>865</v>
      </c>
      <c r="B866" s="31">
        <v>40582</v>
      </c>
      <c r="C866" s="30">
        <v>11</v>
      </c>
      <c r="D866" s="37" t="s">
        <v>28</v>
      </c>
      <c r="E866" s="37" t="b">
        <v>0</v>
      </c>
      <c r="F866" s="37" t="s">
        <v>21</v>
      </c>
      <c r="G866" s="37" t="s">
        <v>8</v>
      </c>
      <c r="H866" s="37">
        <v>0.18</v>
      </c>
      <c r="I866" s="30">
        <v>0.22</v>
      </c>
      <c r="J866" s="37">
        <v>0.47</v>
      </c>
      <c r="K866" s="37">
        <v>0.46</v>
      </c>
      <c r="L866" s="37">
        <v>1</v>
      </c>
      <c r="M866" s="37">
        <v>49</v>
      </c>
      <c r="N866" s="37">
        <v>50</v>
      </c>
    </row>
    <row r="867" spans="1:14">
      <c r="A867" s="30">
        <v>866</v>
      </c>
      <c r="B867" s="31">
        <v>40582</v>
      </c>
      <c r="C867" s="30">
        <v>12</v>
      </c>
      <c r="D867" s="37" t="s">
        <v>29</v>
      </c>
      <c r="E867" s="37" t="b">
        <v>0</v>
      </c>
      <c r="F867" s="37" t="s">
        <v>21</v>
      </c>
      <c r="G867" s="37" t="s">
        <v>8</v>
      </c>
      <c r="H867" s="37">
        <v>0.2</v>
      </c>
      <c r="I867" s="30">
        <v>0.24</v>
      </c>
      <c r="J867" s="37">
        <v>0.38</v>
      </c>
      <c r="K867" s="37">
        <v>0.49</v>
      </c>
      <c r="L867" s="37">
        <v>2</v>
      </c>
      <c r="M867" s="37">
        <v>63</v>
      </c>
      <c r="N867" s="37">
        <v>65</v>
      </c>
    </row>
    <row r="868" spans="1:14">
      <c r="A868" s="30">
        <v>867</v>
      </c>
      <c r="B868" s="31">
        <v>40582</v>
      </c>
      <c r="C868" s="30">
        <v>13</v>
      </c>
      <c r="D868" s="37" t="s">
        <v>29</v>
      </c>
      <c r="E868" s="37" t="b">
        <v>0</v>
      </c>
      <c r="F868" s="37" t="s">
        <v>21</v>
      </c>
      <c r="G868" s="37" t="s">
        <v>9</v>
      </c>
      <c r="H868" s="37">
        <v>0.2</v>
      </c>
      <c r="I868" s="30">
        <v>0.24</v>
      </c>
      <c r="J868" s="37">
        <v>0.32</v>
      </c>
      <c r="K868" s="37">
        <v>0.45</v>
      </c>
      <c r="L868" s="37">
        <v>2</v>
      </c>
      <c r="M868" s="37">
        <v>48</v>
      </c>
      <c r="N868" s="37">
        <v>50</v>
      </c>
    </row>
    <row r="869" spans="1:14">
      <c r="A869" s="30">
        <v>868</v>
      </c>
      <c r="B869" s="31">
        <v>40582</v>
      </c>
      <c r="C869" s="30">
        <v>14</v>
      </c>
      <c r="D869" s="37" t="s">
        <v>29</v>
      </c>
      <c r="E869" s="37" t="b">
        <v>0</v>
      </c>
      <c r="F869" s="37" t="s">
        <v>21</v>
      </c>
      <c r="G869" s="37" t="s">
        <v>8</v>
      </c>
      <c r="H869" s="37">
        <v>0.2</v>
      </c>
      <c r="I869" s="30">
        <v>0.22</v>
      </c>
      <c r="J869" s="37">
        <v>0.37</v>
      </c>
      <c r="K869" s="37">
        <v>0.42</v>
      </c>
      <c r="L869" s="37">
        <v>3</v>
      </c>
      <c r="M869" s="37">
        <v>61</v>
      </c>
      <c r="N869" s="37">
        <v>64</v>
      </c>
    </row>
    <row r="870" spans="1:14">
      <c r="A870" s="30">
        <v>869</v>
      </c>
      <c r="B870" s="31">
        <v>40582</v>
      </c>
      <c r="C870" s="30">
        <v>15</v>
      </c>
      <c r="D870" s="37" t="s">
        <v>29</v>
      </c>
      <c r="E870" s="37" t="b">
        <v>0</v>
      </c>
      <c r="F870" s="37" t="s">
        <v>21</v>
      </c>
      <c r="G870" s="37" t="s">
        <v>8</v>
      </c>
      <c r="H870" s="37">
        <v>0.2</v>
      </c>
      <c r="I870" s="30">
        <v>0.22</v>
      </c>
      <c r="J870" s="37">
        <v>0.35</v>
      </c>
      <c r="K870" s="37">
        <v>0.39</v>
      </c>
      <c r="L870" s="37">
        <v>6</v>
      </c>
      <c r="M870" s="37">
        <v>45</v>
      </c>
      <c r="N870" s="37">
        <v>51</v>
      </c>
    </row>
    <row r="871" spans="1:14">
      <c r="A871" s="30">
        <v>870</v>
      </c>
      <c r="B871" s="31">
        <v>40582</v>
      </c>
      <c r="C871" s="30">
        <v>16</v>
      </c>
      <c r="D871" s="37" t="s">
        <v>29</v>
      </c>
      <c r="E871" s="37" t="b">
        <v>0</v>
      </c>
      <c r="F871" s="37" t="s">
        <v>21</v>
      </c>
      <c r="G871" s="37" t="s">
        <v>8</v>
      </c>
      <c r="H871" s="37">
        <v>0.18</v>
      </c>
      <c r="I871" s="30">
        <v>0.22</v>
      </c>
      <c r="J871" s="37">
        <v>0.35</v>
      </c>
      <c r="K871" s="37">
        <v>0.52</v>
      </c>
      <c r="L871" s="37">
        <v>4</v>
      </c>
      <c r="M871" s="37">
        <v>79</v>
      </c>
      <c r="N871" s="37">
        <v>83</v>
      </c>
    </row>
    <row r="872" spans="1:14">
      <c r="A872" s="30">
        <v>871</v>
      </c>
      <c r="B872" s="31">
        <v>40582</v>
      </c>
      <c r="C872" s="30">
        <v>17</v>
      </c>
      <c r="D872" s="37" t="s">
        <v>29</v>
      </c>
      <c r="E872" s="37" t="b">
        <v>0</v>
      </c>
      <c r="F872" s="37" t="s">
        <v>21</v>
      </c>
      <c r="G872" s="37" t="s">
        <v>8</v>
      </c>
      <c r="H872" s="37">
        <v>0.18</v>
      </c>
      <c r="I872" s="30">
        <v>0.22</v>
      </c>
      <c r="J872" s="37">
        <v>0.32</v>
      </c>
      <c r="K872" s="37">
        <v>0.57999999999999996</v>
      </c>
      <c r="L872" s="37">
        <v>4</v>
      </c>
      <c r="M872" s="37">
        <v>172</v>
      </c>
      <c r="N872" s="37">
        <v>176</v>
      </c>
    </row>
    <row r="873" spans="1:14">
      <c r="A873" s="30">
        <v>872</v>
      </c>
      <c r="B873" s="31">
        <v>40582</v>
      </c>
      <c r="C873" s="30">
        <v>18</v>
      </c>
      <c r="D873" s="37" t="s">
        <v>30</v>
      </c>
      <c r="E873" s="37" t="b">
        <v>0</v>
      </c>
      <c r="F873" s="37" t="s">
        <v>21</v>
      </c>
      <c r="G873" s="37" t="s">
        <v>8</v>
      </c>
      <c r="H873" s="37">
        <v>0.18</v>
      </c>
      <c r="I873" s="30">
        <v>0.2</v>
      </c>
      <c r="J873" s="37">
        <v>0.32</v>
      </c>
      <c r="K873" s="37">
        <v>0.39</v>
      </c>
      <c r="L873" s="37">
        <v>1</v>
      </c>
      <c r="M873" s="37">
        <v>151</v>
      </c>
      <c r="N873" s="37">
        <v>152</v>
      </c>
    </row>
    <row r="874" spans="1:14">
      <c r="A874" s="30">
        <v>873</v>
      </c>
      <c r="B874" s="31">
        <v>40582</v>
      </c>
      <c r="C874" s="30">
        <v>19</v>
      </c>
      <c r="D874" s="37" t="s">
        <v>30</v>
      </c>
      <c r="E874" s="37" t="b">
        <v>0</v>
      </c>
      <c r="F874" s="37" t="s">
        <v>21</v>
      </c>
      <c r="G874" s="37" t="s">
        <v>8</v>
      </c>
      <c r="H874" s="37">
        <v>0.12</v>
      </c>
      <c r="I874" s="30">
        <v>0.16</v>
      </c>
      <c r="J874" s="37">
        <v>0.4</v>
      </c>
      <c r="K874" s="37">
        <v>0.46</v>
      </c>
      <c r="L874" s="37">
        <v>1</v>
      </c>
      <c r="M874" s="37">
        <v>100</v>
      </c>
      <c r="N874" s="37">
        <v>101</v>
      </c>
    </row>
    <row r="875" spans="1:14">
      <c r="A875" s="30">
        <v>874</v>
      </c>
      <c r="B875" s="31">
        <v>40582</v>
      </c>
      <c r="C875" s="30">
        <v>20</v>
      </c>
      <c r="D875" s="37" t="s">
        <v>30</v>
      </c>
      <c r="E875" s="37" t="b">
        <v>0</v>
      </c>
      <c r="F875" s="37" t="s">
        <v>21</v>
      </c>
      <c r="G875" s="37" t="s">
        <v>8</v>
      </c>
      <c r="H875" s="37">
        <v>0.14000000000000001</v>
      </c>
      <c r="I875" s="30">
        <v>0.16</v>
      </c>
      <c r="J875" s="37">
        <v>0.4</v>
      </c>
      <c r="K875" s="37">
        <v>0.33</v>
      </c>
      <c r="L875" s="37">
        <v>3</v>
      </c>
      <c r="M875" s="37">
        <v>53</v>
      </c>
      <c r="N875" s="37">
        <v>56</v>
      </c>
    </row>
    <row r="876" spans="1:14">
      <c r="A876" s="30">
        <v>875</v>
      </c>
      <c r="B876" s="31">
        <v>40582</v>
      </c>
      <c r="C876" s="30">
        <v>21</v>
      </c>
      <c r="D876" s="37" t="s">
        <v>30</v>
      </c>
      <c r="E876" s="37" t="b">
        <v>0</v>
      </c>
      <c r="F876" s="37" t="s">
        <v>21</v>
      </c>
      <c r="G876" s="37" t="s">
        <v>8</v>
      </c>
      <c r="H876" s="37">
        <v>0.11</v>
      </c>
      <c r="I876" s="30">
        <v>0.14000000000000001</v>
      </c>
      <c r="J876" s="37">
        <v>0.33</v>
      </c>
      <c r="K876" s="37">
        <v>0.46</v>
      </c>
      <c r="L876" s="37">
        <v>8</v>
      </c>
      <c r="M876" s="37">
        <v>46</v>
      </c>
      <c r="N876" s="37">
        <v>54</v>
      </c>
    </row>
    <row r="877" spans="1:14">
      <c r="A877" s="30">
        <v>876</v>
      </c>
      <c r="B877" s="31">
        <v>40582</v>
      </c>
      <c r="C877" s="30">
        <v>22</v>
      </c>
      <c r="D877" s="37" t="s">
        <v>30</v>
      </c>
      <c r="E877" s="37" t="b">
        <v>0</v>
      </c>
      <c r="F877" s="37" t="s">
        <v>21</v>
      </c>
      <c r="G877" s="37" t="s">
        <v>8</v>
      </c>
      <c r="H877" s="37">
        <v>0.11</v>
      </c>
      <c r="I877" s="30">
        <v>0.12</v>
      </c>
      <c r="J877" s="37">
        <v>0.33</v>
      </c>
      <c r="K877" s="37">
        <v>0.36</v>
      </c>
      <c r="L877" s="37">
        <v>0</v>
      </c>
      <c r="M877" s="37">
        <v>29</v>
      </c>
      <c r="N877" s="37">
        <v>29</v>
      </c>
    </row>
    <row r="878" spans="1:14">
      <c r="A878" s="30">
        <v>877</v>
      </c>
      <c r="B878" s="31">
        <v>40582</v>
      </c>
      <c r="C878" s="30">
        <v>23</v>
      </c>
      <c r="D878" s="37" t="s">
        <v>30</v>
      </c>
      <c r="E878" s="37" t="b">
        <v>0</v>
      </c>
      <c r="F878" s="37" t="s">
        <v>21</v>
      </c>
      <c r="G878" s="37" t="s">
        <v>8</v>
      </c>
      <c r="H878" s="37">
        <v>0.11</v>
      </c>
      <c r="I878" s="30">
        <v>0.12</v>
      </c>
      <c r="J878" s="37">
        <v>0.33</v>
      </c>
      <c r="K878" s="37">
        <v>0.33</v>
      </c>
      <c r="L878" s="37">
        <v>3</v>
      </c>
      <c r="M878" s="37">
        <v>9</v>
      </c>
      <c r="N878" s="37">
        <v>12</v>
      </c>
    </row>
    <row r="879" spans="1:14">
      <c r="A879" s="30">
        <v>878</v>
      </c>
      <c r="B879" s="31">
        <v>40583</v>
      </c>
      <c r="C879" s="30">
        <v>0</v>
      </c>
      <c r="D879" s="37" t="s">
        <v>27</v>
      </c>
      <c r="E879" s="37" t="b">
        <v>0</v>
      </c>
      <c r="F879" s="37" t="s">
        <v>22</v>
      </c>
      <c r="G879" s="37" t="s">
        <v>8</v>
      </c>
      <c r="H879" s="37">
        <v>0.08</v>
      </c>
      <c r="I879" s="30">
        <v>0.1</v>
      </c>
      <c r="J879" s="37">
        <v>0.36</v>
      </c>
      <c r="K879" s="37">
        <v>0.36</v>
      </c>
      <c r="L879" s="37">
        <v>0</v>
      </c>
      <c r="M879" s="37">
        <v>17</v>
      </c>
      <c r="N879" s="37">
        <v>17</v>
      </c>
    </row>
    <row r="880" spans="1:14">
      <c r="A880" s="30">
        <v>879</v>
      </c>
      <c r="B880" s="31">
        <v>40583</v>
      </c>
      <c r="C880" s="30">
        <v>1</v>
      </c>
      <c r="D880" s="37" t="s">
        <v>27</v>
      </c>
      <c r="E880" s="37" t="b">
        <v>0</v>
      </c>
      <c r="F880" s="37" t="s">
        <v>22</v>
      </c>
      <c r="G880" s="37" t="s">
        <v>8</v>
      </c>
      <c r="H880" s="37">
        <v>0.11</v>
      </c>
      <c r="I880" s="30">
        <v>0.1</v>
      </c>
      <c r="J880" s="37">
        <v>0.36</v>
      </c>
      <c r="K880" s="37">
        <v>0.22</v>
      </c>
      <c r="L880" s="37">
        <v>0</v>
      </c>
      <c r="M880" s="37">
        <v>7</v>
      </c>
      <c r="N880" s="37">
        <v>7</v>
      </c>
    </row>
    <row r="881" spans="1:14">
      <c r="A881" s="30">
        <v>880</v>
      </c>
      <c r="B881" s="31">
        <v>40583</v>
      </c>
      <c r="C881" s="30">
        <v>2</v>
      </c>
      <c r="D881" s="37" t="s">
        <v>27</v>
      </c>
      <c r="E881" s="37" t="b">
        <v>0</v>
      </c>
      <c r="F881" s="37" t="s">
        <v>22</v>
      </c>
      <c r="G881" s="37" t="s">
        <v>8</v>
      </c>
      <c r="H881" s="37">
        <v>0.08</v>
      </c>
      <c r="I881" s="30">
        <v>0.08</v>
      </c>
      <c r="J881" s="37">
        <v>0.38</v>
      </c>
      <c r="K881" s="37">
        <v>0.28000000000000003</v>
      </c>
      <c r="L881" s="37">
        <v>1</v>
      </c>
      <c r="M881" s="37">
        <v>2</v>
      </c>
      <c r="N881" s="37">
        <v>3</v>
      </c>
    </row>
    <row r="882" spans="1:14">
      <c r="A882" s="30">
        <v>881</v>
      </c>
      <c r="B882" s="31">
        <v>40583</v>
      </c>
      <c r="C882" s="30">
        <v>3</v>
      </c>
      <c r="D882" s="37" t="s">
        <v>27</v>
      </c>
      <c r="E882" s="37" t="b">
        <v>0</v>
      </c>
      <c r="F882" s="37" t="s">
        <v>22</v>
      </c>
      <c r="G882" s="37" t="s">
        <v>8</v>
      </c>
      <c r="H882" s="37">
        <v>0.08</v>
      </c>
      <c r="I882" s="30">
        <v>0.06</v>
      </c>
      <c r="J882" s="37">
        <v>0.45</v>
      </c>
      <c r="K882" s="37">
        <v>0.13</v>
      </c>
      <c r="L882" s="37">
        <v>0</v>
      </c>
      <c r="M882" s="37">
        <v>2</v>
      </c>
      <c r="N882" s="37">
        <v>2</v>
      </c>
    </row>
    <row r="883" spans="1:14">
      <c r="A883" s="30">
        <v>882</v>
      </c>
      <c r="B883" s="31">
        <v>40583</v>
      </c>
      <c r="C883" s="30">
        <v>5</v>
      </c>
      <c r="D883" s="37" t="s">
        <v>27</v>
      </c>
      <c r="E883" s="37" t="b">
        <v>0</v>
      </c>
      <c r="F883" s="37" t="s">
        <v>22</v>
      </c>
      <c r="G883" s="37" t="s">
        <v>8</v>
      </c>
      <c r="H883" s="37">
        <v>0.11</v>
      </c>
      <c r="I883" s="30">
        <v>0.06</v>
      </c>
      <c r="J883" s="37">
        <v>0.45</v>
      </c>
      <c r="K883" s="37">
        <v>0.1</v>
      </c>
      <c r="L883" s="37">
        <v>0</v>
      </c>
      <c r="M883" s="37">
        <v>7</v>
      </c>
      <c r="N883" s="37">
        <v>7</v>
      </c>
    </row>
    <row r="884" spans="1:14">
      <c r="A884" s="30">
        <v>883</v>
      </c>
      <c r="B884" s="31">
        <v>40583</v>
      </c>
      <c r="C884" s="30">
        <v>6</v>
      </c>
      <c r="D884" s="37" t="s">
        <v>28</v>
      </c>
      <c r="E884" s="37" t="b">
        <v>0</v>
      </c>
      <c r="F884" s="37" t="s">
        <v>22</v>
      </c>
      <c r="G884" s="37" t="s">
        <v>8</v>
      </c>
      <c r="H884" s="37">
        <v>0.15</v>
      </c>
      <c r="I884" s="30">
        <v>0.06</v>
      </c>
      <c r="J884" s="37">
        <v>0.45</v>
      </c>
      <c r="K884" s="37">
        <v>0</v>
      </c>
      <c r="L884" s="37">
        <v>0</v>
      </c>
      <c r="M884" s="37">
        <v>43</v>
      </c>
      <c r="N884" s="37">
        <v>43</v>
      </c>
    </row>
    <row r="885" spans="1:14">
      <c r="A885" s="30">
        <v>884</v>
      </c>
      <c r="B885" s="31">
        <v>40583</v>
      </c>
      <c r="C885" s="30">
        <v>7</v>
      </c>
      <c r="D885" s="37" t="s">
        <v>28</v>
      </c>
      <c r="E885" s="37" t="b">
        <v>0</v>
      </c>
      <c r="F885" s="37" t="s">
        <v>22</v>
      </c>
      <c r="G885" s="37" t="s">
        <v>8</v>
      </c>
      <c r="H885" s="37">
        <v>0.11</v>
      </c>
      <c r="I885" s="30">
        <v>0.06</v>
      </c>
      <c r="J885" s="37">
        <v>0.49</v>
      </c>
      <c r="K885" s="37">
        <v>0.1</v>
      </c>
      <c r="L885" s="37">
        <v>4</v>
      </c>
      <c r="M885" s="37">
        <v>95</v>
      </c>
      <c r="N885" s="37">
        <v>99</v>
      </c>
    </row>
    <row r="886" spans="1:14">
      <c r="A886" s="30">
        <v>885</v>
      </c>
      <c r="B886" s="31">
        <v>40583</v>
      </c>
      <c r="C886" s="30">
        <v>8</v>
      </c>
      <c r="D886" s="37" t="s">
        <v>28</v>
      </c>
      <c r="E886" s="37" t="b">
        <v>0</v>
      </c>
      <c r="F886" s="37" t="s">
        <v>22</v>
      </c>
      <c r="G886" s="37" t="s">
        <v>8</v>
      </c>
      <c r="H886" s="37">
        <v>0.14000000000000001</v>
      </c>
      <c r="I886" s="30">
        <v>0.1</v>
      </c>
      <c r="J886" s="37">
        <v>0.42</v>
      </c>
      <c r="K886" s="37">
        <v>0</v>
      </c>
      <c r="L886" s="37">
        <v>1</v>
      </c>
      <c r="M886" s="37">
        <v>198</v>
      </c>
      <c r="N886" s="37">
        <v>199</v>
      </c>
    </row>
    <row r="887" spans="1:14">
      <c r="A887" s="30">
        <v>886</v>
      </c>
      <c r="B887" s="31">
        <v>40583</v>
      </c>
      <c r="C887" s="30">
        <v>9</v>
      </c>
      <c r="D887" s="37" t="s">
        <v>28</v>
      </c>
      <c r="E887" s="37" t="b">
        <v>0</v>
      </c>
      <c r="F887" s="37" t="s">
        <v>22</v>
      </c>
      <c r="G887" s="37" t="s">
        <v>8</v>
      </c>
      <c r="H887" s="37">
        <v>0.14000000000000001</v>
      </c>
      <c r="I887" s="30">
        <v>0.12</v>
      </c>
      <c r="J887" s="37">
        <v>0.39</v>
      </c>
      <c r="K887" s="37">
        <v>0.16</v>
      </c>
      <c r="L887" s="37">
        <v>4</v>
      </c>
      <c r="M887" s="37">
        <v>119</v>
      </c>
      <c r="N887" s="37">
        <v>123</v>
      </c>
    </row>
    <row r="888" spans="1:14">
      <c r="A888" s="30">
        <v>887</v>
      </c>
      <c r="B888" s="31">
        <v>40583</v>
      </c>
      <c r="C888" s="30">
        <v>10</v>
      </c>
      <c r="D888" s="37" t="s">
        <v>28</v>
      </c>
      <c r="E888" s="37" t="b">
        <v>0</v>
      </c>
      <c r="F888" s="37" t="s">
        <v>22</v>
      </c>
      <c r="G888" s="37" t="s">
        <v>8</v>
      </c>
      <c r="H888" s="37">
        <v>0.18</v>
      </c>
      <c r="I888" s="30">
        <v>0.14000000000000001</v>
      </c>
      <c r="J888" s="37">
        <v>0.36</v>
      </c>
      <c r="K888" s="37">
        <v>0</v>
      </c>
      <c r="L888" s="37">
        <v>8</v>
      </c>
      <c r="M888" s="37">
        <v>51</v>
      </c>
      <c r="N888" s="37">
        <v>59</v>
      </c>
    </row>
    <row r="889" spans="1:14">
      <c r="A889" s="30">
        <v>888</v>
      </c>
      <c r="B889" s="31">
        <v>40583</v>
      </c>
      <c r="C889" s="30">
        <v>11</v>
      </c>
      <c r="D889" s="37" t="s">
        <v>28</v>
      </c>
      <c r="E889" s="37" t="b">
        <v>0</v>
      </c>
      <c r="F889" s="37" t="s">
        <v>22</v>
      </c>
      <c r="G889" s="37" t="s">
        <v>9</v>
      </c>
      <c r="H889" s="37">
        <v>0.15</v>
      </c>
      <c r="I889" s="30">
        <v>0.14000000000000001</v>
      </c>
      <c r="J889" s="37">
        <v>0.43</v>
      </c>
      <c r="K889" s="37">
        <v>0.16</v>
      </c>
      <c r="L889" s="37">
        <v>1</v>
      </c>
      <c r="M889" s="37">
        <v>40</v>
      </c>
      <c r="N889" s="37">
        <v>41</v>
      </c>
    </row>
    <row r="890" spans="1:14">
      <c r="A890" s="30">
        <v>889</v>
      </c>
      <c r="B890" s="31">
        <v>40583</v>
      </c>
      <c r="C890" s="30">
        <v>12</v>
      </c>
      <c r="D890" s="37" t="s">
        <v>29</v>
      </c>
      <c r="E890" s="37" t="b">
        <v>0</v>
      </c>
      <c r="F890" s="37" t="s">
        <v>22</v>
      </c>
      <c r="G890" s="37" t="s">
        <v>9</v>
      </c>
      <c r="H890" s="37">
        <v>0.18</v>
      </c>
      <c r="I890" s="30">
        <v>0.18</v>
      </c>
      <c r="J890" s="37">
        <v>0.4</v>
      </c>
      <c r="K890" s="37">
        <v>0.22</v>
      </c>
      <c r="L890" s="37">
        <v>4</v>
      </c>
      <c r="M890" s="37">
        <v>57</v>
      </c>
      <c r="N890" s="37">
        <v>61</v>
      </c>
    </row>
    <row r="891" spans="1:14">
      <c r="A891" s="30">
        <v>890</v>
      </c>
      <c r="B891" s="31">
        <v>40583</v>
      </c>
      <c r="C891" s="30">
        <v>13</v>
      </c>
      <c r="D891" s="37" t="s">
        <v>29</v>
      </c>
      <c r="E891" s="37" t="b">
        <v>0</v>
      </c>
      <c r="F891" s="37" t="s">
        <v>22</v>
      </c>
      <c r="G891" s="37" t="s">
        <v>8</v>
      </c>
      <c r="H891" s="37">
        <v>0.17</v>
      </c>
      <c r="I891" s="30">
        <v>0.18</v>
      </c>
      <c r="J891" s="37">
        <v>0.4</v>
      </c>
      <c r="K891" s="37">
        <v>0.25</v>
      </c>
      <c r="L891" s="37">
        <v>2</v>
      </c>
      <c r="M891" s="37">
        <v>67</v>
      </c>
      <c r="N891" s="37">
        <v>69</v>
      </c>
    </row>
    <row r="892" spans="1:14">
      <c r="A892" s="30">
        <v>891</v>
      </c>
      <c r="B892" s="31">
        <v>40583</v>
      </c>
      <c r="C892" s="30">
        <v>14</v>
      </c>
      <c r="D892" s="37" t="s">
        <v>29</v>
      </c>
      <c r="E892" s="37" t="b">
        <v>0</v>
      </c>
      <c r="F892" s="37" t="s">
        <v>22</v>
      </c>
      <c r="G892" s="37" t="s">
        <v>8</v>
      </c>
      <c r="H892" s="37">
        <v>0.18</v>
      </c>
      <c r="I892" s="30">
        <v>0.2</v>
      </c>
      <c r="J892" s="37">
        <v>0.34</v>
      </c>
      <c r="K892" s="37">
        <v>0.3</v>
      </c>
      <c r="L892" s="37">
        <v>2</v>
      </c>
      <c r="M892" s="37">
        <v>56</v>
      </c>
      <c r="N892" s="37">
        <v>58</v>
      </c>
    </row>
    <row r="893" spans="1:14">
      <c r="A893" s="30">
        <v>892</v>
      </c>
      <c r="B893" s="31">
        <v>40583</v>
      </c>
      <c r="C893" s="30">
        <v>15</v>
      </c>
      <c r="D893" s="37" t="s">
        <v>29</v>
      </c>
      <c r="E893" s="37" t="b">
        <v>0</v>
      </c>
      <c r="F893" s="37" t="s">
        <v>22</v>
      </c>
      <c r="G893" s="37" t="s">
        <v>9</v>
      </c>
      <c r="H893" s="37">
        <v>0.18</v>
      </c>
      <c r="I893" s="30">
        <v>0.2</v>
      </c>
      <c r="J893" s="37">
        <v>0.34</v>
      </c>
      <c r="K893" s="37">
        <v>0.28000000000000003</v>
      </c>
      <c r="L893" s="37">
        <v>3</v>
      </c>
      <c r="M893" s="37">
        <v>61</v>
      </c>
      <c r="N893" s="37">
        <v>64</v>
      </c>
    </row>
    <row r="894" spans="1:14">
      <c r="A894" s="30">
        <v>893</v>
      </c>
      <c r="B894" s="31">
        <v>40583</v>
      </c>
      <c r="C894" s="30">
        <v>16</v>
      </c>
      <c r="D894" s="37" t="s">
        <v>29</v>
      </c>
      <c r="E894" s="37" t="b">
        <v>0</v>
      </c>
      <c r="F894" s="37" t="s">
        <v>22</v>
      </c>
      <c r="G894" s="37" t="s">
        <v>9</v>
      </c>
      <c r="H894" s="37">
        <v>0.2</v>
      </c>
      <c r="I894" s="30">
        <v>0.2</v>
      </c>
      <c r="J894" s="37">
        <v>0.37</v>
      </c>
      <c r="K894" s="37">
        <v>0.25</v>
      </c>
      <c r="L894" s="37">
        <v>7</v>
      </c>
      <c r="M894" s="37">
        <v>72</v>
      </c>
      <c r="N894" s="37">
        <v>79</v>
      </c>
    </row>
    <row r="895" spans="1:14">
      <c r="A895" s="30">
        <v>894</v>
      </c>
      <c r="B895" s="31">
        <v>40583</v>
      </c>
      <c r="C895" s="30">
        <v>17</v>
      </c>
      <c r="D895" s="37" t="s">
        <v>29</v>
      </c>
      <c r="E895" s="37" t="b">
        <v>0</v>
      </c>
      <c r="F895" s="37" t="s">
        <v>22</v>
      </c>
      <c r="G895" s="37" t="s">
        <v>9</v>
      </c>
      <c r="H895" s="37">
        <v>0.2</v>
      </c>
      <c r="I895" s="30">
        <v>0.2</v>
      </c>
      <c r="J895" s="37">
        <v>0.34</v>
      </c>
      <c r="K895" s="37">
        <v>0.25</v>
      </c>
      <c r="L895" s="37">
        <v>9</v>
      </c>
      <c r="M895" s="37">
        <v>157</v>
      </c>
      <c r="N895" s="37">
        <v>166</v>
      </c>
    </row>
    <row r="896" spans="1:14">
      <c r="A896" s="30">
        <v>895</v>
      </c>
      <c r="B896" s="31">
        <v>40583</v>
      </c>
      <c r="C896" s="30">
        <v>18</v>
      </c>
      <c r="D896" s="37" t="s">
        <v>30</v>
      </c>
      <c r="E896" s="37" t="b">
        <v>0</v>
      </c>
      <c r="F896" s="37" t="s">
        <v>22</v>
      </c>
      <c r="G896" s="37" t="s">
        <v>9</v>
      </c>
      <c r="H896" s="37">
        <v>0.17</v>
      </c>
      <c r="I896" s="30">
        <v>0.18</v>
      </c>
      <c r="J896" s="37">
        <v>0.47</v>
      </c>
      <c r="K896" s="37">
        <v>0.3</v>
      </c>
      <c r="L896" s="37">
        <v>2</v>
      </c>
      <c r="M896" s="37">
        <v>168</v>
      </c>
      <c r="N896" s="37">
        <v>170</v>
      </c>
    </row>
    <row r="897" spans="1:14">
      <c r="A897" s="30">
        <v>896</v>
      </c>
      <c r="B897" s="31">
        <v>40583</v>
      </c>
      <c r="C897" s="30">
        <v>19</v>
      </c>
      <c r="D897" s="37" t="s">
        <v>30</v>
      </c>
      <c r="E897" s="37" t="b">
        <v>0</v>
      </c>
      <c r="F897" s="37" t="s">
        <v>22</v>
      </c>
      <c r="G897" s="37" t="s">
        <v>10</v>
      </c>
      <c r="H897" s="37">
        <v>0.12</v>
      </c>
      <c r="I897" s="30">
        <v>0.14000000000000001</v>
      </c>
      <c r="J897" s="37">
        <v>0.86</v>
      </c>
      <c r="K897" s="37">
        <v>0.25</v>
      </c>
      <c r="L897" s="37">
        <v>1</v>
      </c>
      <c r="M897" s="37">
        <v>87</v>
      </c>
      <c r="N897" s="37">
        <v>88</v>
      </c>
    </row>
    <row r="898" spans="1:14">
      <c r="A898" s="30">
        <v>897</v>
      </c>
      <c r="B898" s="31">
        <v>40583</v>
      </c>
      <c r="C898" s="30">
        <v>20</v>
      </c>
      <c r="D898" s="37" t="s">
        <v>30</v>
      </c>
      <c r="E898" s="37" t="b">
        <v>0</v>
      </c>
      <c r="F898" s="37" t="s">
        <v>22</v>
      </c>
      <c r="G898" s="37" t="s">
        <v>10</v>
      </c>
      <c r="H898" s="37">
        <v>0.15</v>
      </c>
      <c r="I898" s="30">
        <v>0.14000000000000001</v>
      </c>
      <c r="J898" s="37">
        <v>0.86</v>
      </c>
      <c r="K898" s="37">
        <v>0.16</v>
      </c>
      <c r="L898" s="37">
        <v>0</v>
      </c>
      <c r="M898" s="37">
        <v>84</v>
      </c>
      <c r="N898" s="37">
        <v>84</v>
      </c>
    </row>
    <row r="899" spans="1:14">
      <c r="A899" s="30">
        <v>898</v>
      </c>
      <c r="B899" s="31">
        <v>40583</v>
      </c>
      <c r="C899" s="30">
        <v>21</v>
      </c>
      <c r="D899" s="37" t="s">
        <v>30</v>
      </c>
      <c r="E899" s="37" t="b">
        <v>0</v>
      </c>
      <c r="F899" s="37" t="s">
        <v>22</v>
      </c>
      <c r="G899" s="37" t="s">
        <v>9</v>
      </c>
      <c r="H899" s="37">
        <v>0.15</v>
      </c>
      <c r="I899" s="30">
        <v>0.14000000000000001</v>
      </c>
      <c r="J899" s="37">
        <v>0.86</v>
      </c>
      <c r="K899" s="37">
        <v>0.16</v>
      </c>
      <c r="L899" s="37">
        <v>0</v>
      </c>
      <c r="M899" s="37">
        <v>83</v>
      </c>
      <c r="N899" s="37">
        <v>83</v>
      </c>
    </row>
    <row r="900" spans="1:14">
      <c r="A900" s="30">
        <v>899</v>
      </c>
      <c r="B900" s="31">
        <v>40583</v>
      </c>
      <c r="C900" s="30">
        <v>22</v>
      </c>
      <c r="D900" s="37" t="s">
        <v>30</v>
      </c>
      <c r="E900" s="37" t="b">
        <v>0</v>
      </c>
      <c r="F900" s="37" t="s">
        <v>22</v>
      </c>
      <c r="G900" s="37" t="s">
        <v>10</v>
      </c>
      <c r="H900" s="37">
        <v>0.17</v>
      </c>
      <c r="I900" s="30">
        <v>0.16</v>
      </c>
      <c r="J900" s="37">
        <v>0.8</v>
      </c>
      <c r="K900" s="37">
        <v>0.16</v>
      </c>
      <c r="L900" s="37">
        <v>4</v>
      </c>
      <c r="M900" s="37">
        <v>42</v>
      </c>
      <c r="N900" s="37">
        <v>46</v>
      </c>
    </row>
    <row r="901" spans="1:14">
      <c r="A901" s="30">
        <v>900</v>
      </c>
      <c r="B901" s="31">
        <v>40583</v>
      </c>
      <c r="C901" s="30">
        <v>23</v>
      </c>
      <c r="D901" s="37" t="s">
        <v>30</v>
      </c>
      <c r="E901" s="37" t="b">
        <v>0</v>
      </c>
      <c r="F901" s="37" t="s">
        <v>22</v>
      </c>
      <c r="G901" s="37" t="s">
        <v>10</v>
      </c>
      <c r="H901" s="37">
        <v>0.15</v>
      </c>
      <c r="I901" s="30">
        <v>0.16</v>
      </c>
      <c r="J901" s="37">
        <v>0.8</v>
      </c>
      <c r="K901" s="37">
        <v>0.19</v>
      </c>
      <c r="L901" s="37">
        <v>0</v>
      </c>
      <c r="M901" s="37">
        <v>37</v>
      </c>
      <c r="N901" s="37">
        <v>37</v>
      </c>
    </row>
    <row r="902" spans="1:14">
      <c r="A902" s="30">
        <v>901</v>
      </c>
      <c r="B902" s="31">
        <v>40584</v>
      </c>
      <c r="C902" s="30">
        <v>0</v>
      </c>
      <c r="D902" s="37" t="s">
        <v>27</v>
      </c>
      <c r="E902" s="37" t="b">
        <v>0</v>
      </c>
      <c r="F902" s="37" t="s">
        <v>23</v>
      </c>
      <c r="G902" s="37" t="s">
        <v>10</v>
      </c>
      <c r="H902" s="37">
        <v>0.14000000000000001</v>
      </c>
      <c r="I902" s="30">
        <v>0.14000000000000001</v>
      </c>
      <c r="J902" s="37">
        <v>0.86</v>
      </c>
      <c r="K902" s="37">
        <v>0.19</v>
      </c>
      <c r="L902" s="37">
        <v>0</v>
      </c>
      <c r="M902" s="37">
        <v>16</v>
      </c>
      <c r="N902" s="37">
        <v>16</v>
      </c>
    </row>
    <row r="903" spans="1:14">
      <c r="A903" s="30">
        <v>902</v>
      </c>
      <c r="B903" s="31">
        <v>40584</v>
      </c>
      <c r="C903" s="30">
        <v>1</v>
      </c>
      <c r="D903" s="37" t="s">
        <v>27</v>
      </c>
      <c r="E903" s="37" t="b">
        <v>0</v>
      </c>
      <c r="F903" s="37" t="s">
        <v>23</v>
      </c>
      <c r="G903" s="37" t="s">
        <v>10</v>
      </c>
      <c r="H903" s="37">
        <v>0.15</v>
      </c>
      <c r="I903" s="30">
        <v>0.14000000000000001</v>
      </c>
      <c r="J903" s="37">
        <v>0.8</v>
      </c>
      <c r="K903" s="37">
        <v>0.13</v>
      </c>
      <c r="L903" s="37">
        <v>0</v>
      </c>
      <c r="M903" s="37">
        <v>7</v>
      </c>
      <c r="N903" s="37">
        <v>7</v>
      </c>
    </row>
    <row r="904" spans="1:14">
      <c r="A904" s="30">
        <v>903</v>
      </c>
      <c r="B904" s="31">
        <v>40584</v>
      </c>
      <c r="C904" s="30">
        <v>2</v>
      </c>
      <c r="D904" s="37" t="s">
        <v>27</v>
      </c>
      <c r="E904" s="37" t="b">
        <v>0</v>
      </c>
      <c r="F904" s="37" t="s">
        <v>23</v>
      </c>
      <c r="G904" s="37" t="s">
        <v>10</v>
      </c>
      <c r="H904" s="37">
        <v>0.15</v>
      </c>
      <c r="I904" s="30">
        <v>0.14000000000000001</v>
      </c>
      <c r="J904" s="37">
        <v>0.8</v>
      </c>
      <c r="K904" s="37">
        <v>0.13</v>
      </c>
      <c r="L904" s="37">
        <v>0</v>
      </c>
      <c r="M904" s="37">
        <v>3</v>
      </c>
      <c r="N904" s="37">
        <v>3</v>
      </c>
    </row>
    <row r="905" spans="1:14">
      <c r="A905" s="30">
        <v>904</v>
      </c>
      <c r="B905" s="31">
        <v>40584</v>
      </c>
      <c r="C905" s="30">
        <v>4</v>
      </c>
      <c r="D905" s="37" t="s">
        <v>27</v>
      </c>
      <c r="E905" s="37" t="b">
        <v>0</v>
      </c>
      <c r="F905" s="37" t="s">
        <v>23</v>
      </c>
      <c r="G905" s="37" t="s">
        <v>9</v>
      </c>
      <c r="H905" s="37">
        <v>0.14000000000000001</v>
      </c>
      <c r="I905" s="30">
        <v>0.14000000000000001</v>
      </c>
      <c r="J905" s="37">
        <v>0.59</v>
      </c>
      <c r="K905" s="37">
        <v>0.22</v>
      </c>
      <c r="L905" s="37">
        <v>0</v>
      </c>
      <c r="M905" s="37">
        <v>1</v>
      </c>
      <c r="N905" s="37">
        <v>1</v>
      </c>
    </row>
    <row r="906" spans="1:14">
      <c r="A906" s="30">
        <v>905</v>
      </c>
      <c r="B906" s="31">
        <v>40584</v>
      </c>
      <c r="C906" s="30">
        <v>5</v>
      </c>
      <c r="D906" s="37" t="s">
        <v>27</v>
      </c>
      <c r="E906" s="37" t="b">
        <v>0</v>
      </c>
      <c r="F906" s="37" t="s">
        <v>23</v>
      </c>
      <c r="G906" s="37" t="s">
        <v>9</v>
      </c>
      <c r="H906" s="37">
        <v>0.12</v>
      </c>
      <c r="I906" s="30">
        <v>0.12</v>
      </c>
      <c r="J906" s="37">
        <v>0.5</v>
      </c>
      <c r="K906" s="37">
        <v>0.22</v>
      </c>
      <c r="L906" s="37">
        <v>0</v>
      </c>
      <c r="M906" s="37">
        <v>6</v>
      </c>
      <c r="N906" s="37">
        <v>6</v>
      </c>
    </row>
    <row r="907" spans="1:14">
      <c r="A907" s="30">
        <v>906</v>
      </c>
      <c r="B907" s="31">
        <v>40584</v>
      </c>
      <c r="C907" s="30">
        <v>6</v>
      </c>
      <c r="D907" s="37" t="s">
        <v>28</v>
      </c>
      <c r="E907" s="37" t="b">
        <v>0</v>
      </c>
      <c r="F907" s="37" t="s">
        <v>23</v>
      </c>
      <c r="G907" s="37" t="s">
        <v>9</v>
      </c>
      <c r="H907" s="37">
        <v>0.12</v>
      </c>
      <c r="I907" s="30">
        <v>0.12</v>
      </c>
      <c r="J907" s="37">
        <v>0.54</v>
      </c>
      <c r="K907" s="37">
        <v>0.28000000000000003</v>
      </c>
      <c r="L907" s="37">
        <v>0</v>
      </c>
      <c r="M907" s="37">
        <v>26</v>
      </c>
      <c r="N907" s="37">
        <v>26</v>
      </c>
    </row>
    <row r="908" spans="1:14">
      <c r="A908" s="30">
        <v>907</v>
      </c>
      <c r="B908" s="31">
        <v>40584</v>
      </c>
      <c r="C908" s="30">
        <v>7</v>
      </c>
      <c r="D908" s="37" t="s">
        <v>28</v>
      </c>
      <c r="E908" s="37" t="b">
        <v>0</v>
      </c>
      <c r="F908" s="37" t="s">
        <v>23</v>
      </c>
      <c r="G908" s="37" t="s">
        <v>8</v>
      </c>
      <c r="H908" s="37">
        <v>0.08</v>
      </c>
      <c r="I908" s="30">
        <v>0.1</v>
      </c>
      <c r="J908" s="37">
        <v>0.5</v>
      </c>
      <c r="K908" s="37">
        <v>0.42</v>
      </c>
      <c r="L908" s="37">
        <v>0</v>
      </c>
      <c r="M908" s="37">
        <v>99</v>
      </c>
      <c r="N908" s="37">
        <v>99</v>
      </c>
    </row>
    <row r="909" spans="1:14">
      <c r="A909" s="30">
        <v>908</v>
      </c>
      <c r="B909" s="31">
        <v>40584</v>
      </c>
      <c r="C909" s="30">
        <v>8</v>
      </c>
      <c r="D909" s="37" t="s">
        <v>28</v>
      </c>
      <c r="E909" s="37" t="b">
        <v>0</v>
      </c>
      <c r="F909" s="37" t="s">
        <v>23</v>
      </c>
      <c r="G909" s="37" t="s">
        <v>8</v>
      </c>
      <c r="H909" s="37">
        <v>0.08</v>
      </c>
      <c r="I909" s="30">
        <v>0.1</v>
      </c>
      <c r="J909" s="37">
        <v>0.49</v>
      </c>
      <c r="K909" s="37">
        <v>0.33</v>
      </c>
      <c r="L909" s="37">
        <v>5</v>
      </c>
      <c r="M909" s="37">
        <v>173</v>
      </c>
      <c r="N909" s="37">
        <v>178</v>
      </c>
    </row>
    <row r="910" spans="1:14">
      <c r="A910" s="30">
        <v>909</v>
      </c>
      <c r="B910" s="31">
        <v>40584</v>
      </c>
      <c r="C910" s="30">
        <v>9</v>
      </c>
      <c r="D910" s="37" t="s">
        <v>28</v>
      </c>
      <c r="E910" s="37" t="b">
        <v>0</v>
      </c>
      <c r="F910" s="37" t="s">
        <v>23</v>
      </c>
      <c r="G910" s="37" t="s">
        <v>8</v>
      </c>
      <c r="H910" s="37">
        <v>0.11</v>
      </c>
      <c r="I910" s="30">
        <v>0.12</v>
      </c>
      <c r="J910" s="37">
        <v>0.42</v>
      </c>
      <c r="K910" s="37">
        <v>0.36</v>
      </c>
      <c r="L910" s="37">
        <v>1</v>
      </c>
      <c r="M910" s="37">
        <v>121</v>
      </c>
      <c r="N910" s="37">
        <v>122</v>
      </c>
    </row>
    <row r="911" spans="1:14">
      <c r="A911" s="30">
        <v>910</v>
      </c>
      <c r="B911" s="31">
        <v>40584</v>
      </c>
      <c r="C911" s="30">
        <v>10</v>
      </c>
      <c r="D911" s="37" t="s">
        <v>28</v>
      </c>
      <c r="E911" s="37" t="b">
        <v>0</v>
      </c>
      <c r="F911" s="37" t="s">
        <v>23</v>
      </c>
      <c r="G911" s="37" t="s">
        <v>8</v>
      </c>
      <c r="H911" s="37">
        <v>0.11</v>
      </c>
      <c r="I911" s="30">
        <v>0.12</v>
      </c>
      <c r="J911" s="37">
        <v>0.42</v>
      </c>
      <c r="K911" s="37">
        <v>0.3</v>
      </c>
      <c r="L911" s="37">
        <v>1</v>
      </c>
      <c r="M911" s="37">
        <v>34</v>
      </c>
      <c r="N911" s="37">
        <v>35</v>
      </c>
    </row>
    <row r="912" spans="1:14">
      <c r="A912" s="30">
        <v>911</v>
      </c>
      <c r="B912" s="31">
        <v>40584</v>
      </c>
      <c r="C912" s="30">
        <v>11</v>
      </c>
      <c r="D912" s="37" t="s">
        <v>28</v>
      </c>
      <c r="E912" s="37" t="b">
        <v>0</v>
      </c>
      <c r="F912" s="37" t="s">
        <v>23</v>
      </c>
      <c r="G912" s="37" t="s">
        <v>8</v>
      </c>
      <c r="H912" s="37">
        <v>0.12</v>
      </c>
      <c r="I912" s="30">
        <v>0.14000000000000001</v>
      </c>
      <c r="J912" s="37">
        <v>0.39</v>
      </c>
      <c r="K912" s="37">
        <v>0.36</v>
      </c>
      <c r="L912" s="37">
        <v>1</v>
      </c>
      <c r="M912" s="37">
        <v>44</v>
      </c>
      <c r="N912" s="37">
        <v>45</v>
      </c>
    </row>
    <row r="913" spans="1:14">
      <c r="A913" s="30">
        <v>912</v>
      </c>
      <c r="B913" s="31">
        <v>40584</v>
      </c>
      <c r="C913" s="30">
        <v>12</v>
      </c>
      <c r="D913" s="37" t="s">
        <v>29</v>
      </c>
      <c r="E913" s="37" t="b">
        <v>0</v>
      </c>
      <c r="F913" s="37" t="s">
        <v>23</v>
      </c>
      <c r="G913" s="37" t="s">
        <v>8</v>
      </c>
      <c r="H913" s="37">
        <v>0.14000000000000001</v>
      </c>
      <c r="I913" s="30">
        <v>0.16</v>
      </c>
      <c r="J913" s="37">
        <v>0.34</v>
      </c>
      <c r="K913" s="37">
        <v>0.39</v>
      </c>
      <c r="L913" s="37">
        <v>4</v>
      </c>
      <c r="M913" s="37">
        <v>65</v>
      </c>
      <c r="N913" s="37">
        <v>69</v>
      </c>
    </row>
    <row r="914" spans="1:14">
      <c r="A914" s="30">
        <v>913</v>
      </c>
      <c r="B914" s="31">
        <v>40584</v>
      </c>
      <c r="C914" s="30">
        <v>13</v>
      </c>
      <c r="D914" s="37" t="s">
        <v>29</v>
      </c>
      <c r="E914" s="37" t="b">
        <v>0</v>
      </c>
      <c r="F914" s="37" t="s">
        <v>23</v>
      </c>
      <c r="G914" s="37" t="s">
        <v>8</v>
      </c>
      <c r="H914" s="37">
        <v>0.17</v>
      </c>
      <c r="I914" s="30">
        <v>0.18</v>
      </c>
      <c r="J914" s="37">
        <v>0.28999999999999998</v>
      </c>
      <c r="K914" s="37">
        <v>0.3</v>
      </c>
      <c r="L914" s="37">
        <v>3</v>
      </c>
      <c r="M914" s="37">
        <v>59</v>
      </c>
      <c r="N914" s="37">
        <v>62</v>
      </c>
    </row>
    <row r="915" spans="1:14">
      <c r="A915" s="30">
        <v>914</v>
      </c>
      <c r="B915" s="31">
        <v>40584</v>
      </c>
      <c r="C915" s="30">
        <v>14</v>
      </c>
      <c r="D915" s="37" t="s">
        <v>29</v>
      </c>
      <c r="E915" s="37" t="b">
        <v>0</v>
      </c>
      <c r="F915" s="37" t="s">
        <v>23</v>
      </c>
      <c r="G915" s="37" t="s">
        <v>8</v>
      </c>
      <c r="H915" s="37">
        <v>0.18</v>
      </c>
      <c r="I915" s="30">
        <v>0.2</v>
      </c>
      <c r="J915" s="37">
        <v>0.27</v>
      </c>
      <c r="K915" s="37">
        <v>0.28000000000000003</v>
      </c>
      <c r="L915" s="37">
        <v>6</v>
      </c>
      <c r="M915" s="37">
        <v>42</v>
      </c>
      <c r="N915" s="37">
        <v>48</v>
      </c>
    </row>
    <row r="916" spans="1:14">
      <c r="A916" s="30">
        <v>915</v>
      </c>
      <c r="B916" s="31">
        <v>40584</v>
      </c>
      <c r="C916" s="30">
        <v>15</v>
      </c>
      <c r="D916" s="37" t="s">
        <v>29</v>
      </c>
      <c r="E916" s="37" t="b">
        <v>0</v>
      </c>
      <c r="F916" s="37" t="s">
        <v>23</v>
      </c>
      <c r="G916" s="37" t="s">
        <v>8</v>
      </c>
      <c r="H916" s="37">
        <v>0.2</v>
      </c>
      <c r="I916" s="30">
        <v>0.2</v>
      </c>
      <c r="J916" s="37">
        <v>0.25</v>
      </c>
      <c r="K916" s="37">
        <v>0.25</v>
      </c>
      <c r="L916" s="37">
        <v>0</v>
      </c>
      <c r="M916" s="37">
        <v>50</v>
      </c>
      <c r="N916" s="37">
        <v>50</v>
      </c>
    </row>
    <row r="917" spans="1:14">
      <c r="A917" s="30">
        <v>916</v>
      </c>
      <c r="B917" s="31">
        <v>40584</v>
      </c>
      <c r="C917" s="30">
        <v>16</v>
      </c>
      <c r="D917" s="37" t="s">
        <v>29</v>
      </c>
      <c r="E917" s="37" t="b">
        <v>0</v>
      </c>
      <c r="F917" s="37" t="s">
        <v>23</v>
      </c>
      <c r="G917" s="37" t="s">
        <v>8</v>
      </c>
      <c r="H917" s="37">
        <v>0.18</v>
      </c>
      <c r="I917" s="30">
        <v>0.2</v>
      </c>
      <c r="J917" s="37">
        <v>0.27</v>
      </c>
      <c r="K917" s="37">
        <v>0.3</v>
      </c>
      <c r="L917" s="37">
        <v>4</v>
      </c>
      <c r="M917" s="37">
        <v>76</v>
      </c>
      <c r="N917" s="37">
        <v>80</v>
      </c>
    </row>
    <row r="918" spans="1:14">
      <c r="A918" s="30">
        <v>917</v>
      </c>
      <c r="B918" s="31">
        <v>40584</v>
      </c>
      <c r="C918" s="30">
        <v>17</v>
      </c>
      <c r="D918" s="37" t="s">
        <v>29</v>
      </c>
      <c r="E918" s="37" t="b">
        <v>0</v>
      </c>
      <c r="F918" s="37" t="s">
        <v>23</v>
      </c>
      <c r="G918" s="37" t="s">
        <v>8</v>
      </c>
      <c r="H918" s="37">
        <v>0.18</v>
      </c>
      <c r="I918" s="30">
        <v>0.18</v>
      </c>
      <c r="J918" s="37">
        <v>0.26</v>
      </c>
      <c r="K918" s="37">
        <v>0.19</v>
      </c>
      <c r="L918" s="37">
        <v>6</v>
      </c>
      <c r="M918" s="37">
        <v>159</v>
      </c>
      <c r="N918" s="37">
        <v>165</v>
      </c>
    </row>
    <row r="919" spans="1:14">
      <c r="A919" s="30">
        <v>918</v>
      </c>
      <c r="B919" s="31">
        <v>40584</v>
      </c>
      <c r="C919" s="30">
        <v>18</v>
      </c>
      <c r="D919" s="37" t="s">
        <v>30</v>
      </c>
      <c r="E919" s="37" t="b">
        <v>0</v>
      </c>
      <c r="F919" s="37" t="s">
        <v>23</v>
      </c>
      <c r="G919" s="37" t="s">
        <v>8</v>
      </c>
      <c r="H919" s="37">
        <v>0.18</v>
      </c>
      <c r="I919" s="30">
        <v>0.16</v>
      </c>
      <c r="J919" s="37">
        <v>0.28000000000000003</v>
      </c>
      <c r="K919" s="37">
        <v>0.13</v>
      </c>
      <c r="L919" s="37">
        <v>3</v>
      </c>
      <c r="M919" s="37">
        <v>157</v>
      </c>
      <c r="N919" s="37">
        <v>160</v>
      </c>
    </row>
    <row r="920" spans="1:14">
      <c r="A920" s="30">
        <v>919</v>
      </c>
      <c r="B920" s="31">
        <v>40584</v>
      </c>
      <c r="C920" s="30">
        <v>19</v>
      </c>
      <c r="D920" s="37" t="s">
        <v>30</v>
      </c>
      <c r="E920" s="37" t="b">
        <v>0</v>
      </c>
      <c r="F920" s="37" t="s">
        <v>23</v>
      </c>
      <c r="G920" s="37" t="s">
        <v>8</v>
      </c>
      <c r="H920" s="37">
        <v>0.17</v>
      </c>
      <c r="I920" s="30">
        <v>0.14000000000000001</v>
      </c>
      <c r="J920" s="37">
        <v>0.28000000000000003</v>
      </c>
      <c r="K920" s="37">
        <v>0.1</v>
      </c>
      <c r="L920" s="37">
        <v>2</v>
      </c>
      <c r="M920" s="37">
        <v>110</v>
      </c>
      <c r="N920" s="37">
        <v>112</v>
      </c>
    </row>
    <row r="921" spans="1:14">
      <c r="A921" s="30">
        <v>920</v>
      </c>
      <c r="B921" s="31">
        <v>40584</v>
      </c>
      <c r="C921" s="30">
        <v>20</v>
      </c>
      <c r="D921" s="37" t="s">
        <v>30</v>
      </c>
      <c r="E921" s="37" t="b">
        <v>0</v>
      </c>
      <c r="F921" s="37" t="s">
        <v>23</v>
      </c>
      <c r="G921" s="37" t="s">
        <v>8</v>
      </c>
      <c r="H921" s="37">
        <v>0.18</v>
      </c>
      <c r="I921" s="30">
        <v>0.14000000000000001</v>
      </c>
      <c r="J921" s="37">
        <v>0.31</v>
      </c>
      <c r="K921" s="37">
        <v>0.09</v>
      </c>
      <c r="L921" s="37">
        <v>4</v>
      </c>
      <c r="M921" s="37">
        <v>93</v>
      </c>
      <c r="N921" s="37">
        <v>97</v>
      </c>
    </row>
    <row r="922" spans="1:14">
      <c r="A922" s="30">
        <v>921</v>
      </c>
      <c r="B922" s="31">
        <v>40584</v>
      </c>
      <c r="C922" s="30">
        <v>21</v>
      </c>
      <c r="D922" s="37" t="s">
        <v>30</v>
      </c>
      <c r="E922" s="37" t="b">
        <v>0</v>
      </c>
      <c r="F922" s="37" t="s">
        <v>23</v>
      </c>
      <c r="G922" s="37" t="s">
        <v>8</v>
      </c>
      <c r="H922" s="37">
        <v>0.21</v>
      </c>
      <c r="I922" s="30">
        <v>0.14000000000000001</v>
      </c>
      <c r="J922" s="37">
        <v>0.39</v>
      </c>
      <c r="K922" s="37">
        <v>0</v>
      </c>
      <c r="L922" s="37">
        <v>2</v>
      </c>
      <c r="M922" s="37">
        <v>70</v>
      </c>
      <c r="N922" s="37">
        <v>72</v>
      </c>
    </row>
    <row r="923" spans="1:14">
      <c r="A923" s="30">
        <v>922</v>
      </c>
      <c r="B923" s="31">
        <v>40584</v>
      </c>
      <c r="C923" s="30">
        <v>22</v>
      </c>
      <c r="D923" s="37" t="s">
        <v>30</v>
      </c>
      <c r="E923" s="37" t="b">
        <v>0</v>
      </c>
      <c r="F923" s="37" t="s">
        <v>23</v>
      </c>
      <c r="G923" s="37" t="s">
        <v>8</v>
      </c>
      <c r="H923" s="37">
        <v>0.2</v>
      </c>
      <c r="I923" s="30">
        <v>0.12</v>
      </c>
      <c r="J923" s="37">
        <v>0.39</v>
      </c>
      <c r="K923" s="37">
        <v>0</v>
      </c>
      <c r="L923" s="37">
        <v>4</v>
      </c>
      <c r="M923" s="37">
        <v>47</v>
      </c>
      <c r="N923" s="37">
        <v>51</v>
      </c>
    </row>
    <row r="924" spans="1:14">
      <c r="A924" s="30">
        <v>923</v>
      </c>
      <c r="B924" s="31">
        <v>40584</v>
      </c>
      <c r="C924" s="30">
        <v>23</v>
      </c>
      <c r="D924" s="37" t="s">
        <v>30</v>
      </c>
      <c r="E924" s="37" t="b">
        <v>0</v>
      </c>
      <c r="F924" s="37" t="s">
        <v>23</v>
      </c>
      <c r="G924" s="37" t="s">
        <v>8</v>
      </c>
      <c r="H924" s="37">
        <v>0.15</v>
      </c>
      <c r="I924" s="30">
        <v>0.12</v>
      </c>
      <c r="J924" s="37">
        <v>0.42</v>
      </c>
      <c r="K924" s="37">
        <v>0.1</v>
      </c>
      <c r="L924" s="37">
        <v>1</v>
      </c>
      <c r="M924" s="37">
        <v>33</v>
      </c>
      <c r="N924" s="37">
        <v>34</v>
      </c>
    </row>
    <row r="925" spans="1:14">
      <c r="A925" s="30">
        <v>924</v>
      </c>
      <c r="B925" s="31">
        <v>40585</v>
      </c>
      <c r="C925" s="30">
        <v>0</v>
      </c>
      <c r="D925" s="37" t="s">
        <v>27</v>
      </c>
      <c r="E925" s="37" t="b">
        <v>0</v>
      </c>
      <c r="F925" s="37" t="s">
        <v>24</v>
      </c>
      <c r="G925" s="37" t="s">
        <v>8</v>
      </c>
      <c r="H925" s="37">
        <v>0.14000000000000001</v>
      </c>
      <c r="I925" s="30">
        <v>0.1</v>
      </c>
      <c r="J925" s="37">
        <v>0.49</v>
      </c>
      <c r="K925" s="37">
        <v>0.1</v>
      </c>
      <c r="L925" s="37">
        <v>2</v>
      </c>
      <c r="M925" s="37">
        <v>12</v>
      </c>
      <c r="N925" s="37">
        <v>14</v>
      </c>
    </row>
    <row r="926" spans="1:14">
      <c r="A926" s="30">
        <v>925</v>
      </c>
      <c r="B926" s="31">
        <v>40585</v>
      </c>
      <c r="C926" s="30">
        <v>1</v>
      </c>
      <c r="D926" s="37" t="s">
        <v>27</v>
      </c>
      <c r="E926" s="37" t="b">
        <v>0</v>
      </c>
      <c r="F926" s="37" t="s">
        <v>24</v>
      </c>
      <c r="G926" s="37" t="s">
        <v>8</v>
      </c>
      <c r="H926" s="37">
        <v>0.14000000000000001</v>
      </c>
      <c r="I926" s="30">
        <v>0.1</v>
      </c>
      <c r="J926" s="37">
        <v>0.54</v>
      </c>
      <c r="K926" s="37">
        <v>0.09</v>
      </c>
      <c r="L926" s="37">
        <v>1</v>
      </c>
      <c r="M926" s="37">
        <v>6</v>
      </c>
      <c r="N926" s="37">
        <v>7</v>
      </c>
    </row>
    <row r="927" spans="1:14">
      <c r="A927" s="30">
        <v>926</v>
      </c>
      <c r="B927" s="31">
        <v>40585</v>
      </c>
      <c r="C927" s="30">
        <v>2</v>
      </c>
      <c r="D927" s="37" t="s">
        <v>27</v>
      </c>
      <c r="E927" s="37" t="b">
        <v>0</v>
      </c>
      <c r="F927" s="37" t="s">
        <v>24</v>
      </c>
      <c r="G927" s="37" t="s">
        <v>8</v>
      </c>
      <c r="H927" s="37">
        <v>0.14000000000000001</v>
      </c>
      <c r="I927" s="30">
        <v>0.1</v>
      </c>
      <c r="J927" s="37">
        <v>0.54</v>
      </c>
      <c r="K927" s="37">
        <v>0.09</v>
      </c>
      <c r="L927" s="37">
        <v>0</v>
      </c>
      <c r="M927" s="37">
        <v>3</v>
      </c>
      <c r="N927" s="37">
        <v>3</v>
      </c>
    </row>
    <row r="928" spans="1:14">
      <c r="A928" s="30">
        <v>927</v>
      </c>
      <c r="B928" s="31">
        <v>40585</v>
      </c>
      <c r="C928" s="30">
        <v>5</v>
      </c>
      <c r="D928" s="37" t="s">
        <v>27</v>
      </c>
      <c r="E928" s="37" t="b">
        <v>0</v>
      </c>
      <c r="F928" s="37" t="s">
        <v>24</v>
      </c>
      <c r="G928" s="37" t="s">
        <v>8</v>
      </c>
      <c r="H928" s="37">
        <v>0.12</v>
      </c>
      <c r="I928" s="30">
        <v>0.08</v>
      </c>
      <c r="J928" s="37">
        <v>0.63</v>
      </c>
      <c r="K928" s="37">
        <v>0.09</v>
      </c>
      <c r="L928" s="37">
        <v>0</v>
      </c>
      <c r="M928" s="37">
        <v>4</v>
      </c>
      <c r="N928" s="37">
        <v>4</v>
      </c>
    </row>
    <row r="929" spans="1:14">
      <c r="A929" s="30">
        <v>928</v>
      </c>
      <c r="B929" s="31">
        <v>40585</v>
      </c>
      <c r="C929" s="30">
        <v>6</v>
      </c>
      <c r="D929" s="37" t="s">
        <v>28</v>
      </c>
      <c r="E929" s="37" t="b">
        <v>0</v>
      </c>
      <c r="F929" s="37" t="s">
        <v>24</v>
      </c>
      <c r="G929" s="37" t="s">
        <v>8</v>
      </c>
      <c r="H929" s="37">
        <v>0.18</v>
      </c>
      <c r="I929" s="30">
        <v>0.1</v>
      </c>
      <c r="J929" s="37">
        <v>0.68</v>
      </c>
      <c r="K929" s="37">
        <v>0</v>
      </c>
      <c r="L929" s="37">
        <v>1</v>
      </c>
      <c r="M929" s="37">
        <v>23</v>
      </c>
      <c r="N929" s="37">
        <v>24</v>
      </c>
    </row>
    <row r="930" spans="1:14">
      <c r="A930" s="30">
        <v>929</v>
      </c>
      <c r="B930" s="31">
        <v>40585</v>
      </c>
      <c r="C930" s="30">
        <v>7</v>
      </c>
      <c r="D930" s="37" t="s">
        <v>28</v>
      </c>
      <c r="E930" s="37" t="b">
        <v>0</v>
      </c>
      <c r="F930" s="37" t="s">
        <v>24</v>
      </c>
      <c r="G930" s="37" t="s">
        <v>8</v>
      </c>
      <c r="H930" s="37">
        <v>0.17</v>
      </c>
      <c r="I930" s="30">
        <v>0.08</v>
      </c>
      <c r="J930" s="37">
        <v>0.73</v>
      </c>
      <c r="K930" s="37">
        <v>0</v>
      </c>
      <c r="L930" s="37">
        <v>1</v>
      </c>
      <c r="M930" s="37">
        <v>73</v>
      </c>
      <c r="N930" s="37">
        <v>74</v>
      </c>
    </row>
    <row r="931" spans="1:14">
      <c r="A931" s="30">
        <v>930</v>
      </c>
      <c r="B931" s="31">
        <v>40585</v>
      </c>
      <c r="C931" s="30">
        <v>8</v>
      </c>
      <c r="D931" s="37" t="s">
        <v>28</v>
      </c>
      <c r="E931" s="37" t="b">
        <v>0</v>
      </c>
      <c r="F931" s="37" t="s">
        <v>24</v>
      </c>
      <c r="G931" s="37" t="s">
        <v>8</v>
      </c>
      <c r="H931" s="37">
        <v>0.12</v>
      </c>
      <c r="I931" s="30">
        <v>0.1</v>
      </c>
      <c r="J931" s="37">
        <v>0.74</v>
      </c>
      <c r="K931" s="37">
        <v>0.16</v>
      </c>
      <c r="L931" s="37">
        <v>4</v>
      </c>
      <c r="M931" s="37">
        <v>212</v>
      </c>
      <c r="N931" s="37">
        <v>216</v>
      </c>
    </row>
    <row r="932" spans="1:14">
      <c r="A932" s="30">
        <v>931</v>
      </c>
      <c r="B932" s="31">
        <v>40585</v>
      </c>
      <c r="C932" s="30">
        <v>9</v>
      </c>
      <c r="D932" s="37" t="s">
        <v>28</v>
      </c>
      <c r="E932" s="37" t="b">
        <v>0</v>
      </c>
      <c r="F932" s="37" t="s">
        <v>24</v>
      </c>
      <c r="G932" s="37" t="s">
        <v>8</v>
      </c>
      <c r="H932" s="37">
        <v>0.12</v>
      </c>
      <c r="I932" s="30">
        <v>0.12</v>
      </c>
      <c r="J932" s="37">
        <v>0.74</v>
      </c>
      <c r="K932" s="37">
        <v>0.22</v>
      </c>
      <c r="L932" s="37">
        <v>8</v>
      </c>
      <c r="M932" s="37">
        <v>132</v>
      </c>
      <c r="N932" s="37">
        <v>140</v>
      </c>
    </row>
    <row r="933" spans="1:14">
      <c r="A933" s="30">
        <v>932</v>
      </c>
      <c r="B933" s="31">
        <v>40585</v>
      </c>
      <c r="C933" s="30">
        <v>10</v>
      </c>
      <c r="D933" s="37" t="s">
        <v>28</v>
      </c>
      <c r="E933" s="37" t="b">
        <v>0</v>
      </c>
      <c r="F933" s="37" t="s">
        <v>24</v>
      </c>
      <c r="G933" s="37" t="s">
        <v>8</v>
      </c>
      <c r="H933" s="37">
        <v>0.14000000000000001</v>
      </c>
      <c r="I933" s="30">
        <v>0.14000000000000001</v>
      </c>
      <c r="J933" s="37">
        <v>0.69</v>
      </c>
      <c r="K933" s="37">
        <v>0.19</v>
      </c>
      <c r="L933" s="37">
        <v>5</v>
      </c>
      <c r="M933" s="37">
        <v>39</v>
      </c>
      <c r="N933" s="37">
        <v>44</v>
      </c>
    </row>
    <row r="934" spans="1:14">
      <c r="A934" s="30">
        <v>933</v>
      </c>
      <c r="B934" s="31">
        <v>40585</v>
      </c>
      <c r="C934" s="30">
        <v>11</v>
      </c>
      <c r="D934" s="37" t="s">
        <v>28</v>
      </c>
      <c r="E934" s="37" t="b">
        <v>0</v>
      </c>
      <c r="F934" s="37" t="s">
        <v>24</v>
      </c>
      <c r="G934" s="37" t="s">
        <v>8</v>
      </c>
      <c r="H934" s="37">
        <v>0.23</v>
      </c>
      <c r="I934" s="30">
        <v>0.22</v>
      </c>
      <c r="J934" s="37">
        <v>0.47</v>
      </c>
      <c r="K934" s="37">
        <v>0.13</v>
      </c>
      <c r="L934" s="37">
        <v>12</v>
      </c>
      <c r="M934" s="37">
        <v>52</v>
      </c>
      <c r="N934" s="37">
        <v>64</v>
      </c>
    </row>
    <row r="935" spans="1:14">
      <c r="A935" s="30">
        <v>934</v>
      </c>
      <c r="B935" s="31">
        <v>40585</v>
      </c>
      <c r="C935" s="30">
        <v>12</v>
      </c>
      <c r="D935" s="37" t="s">
        <v>29</v>
      </c>
      <c r="E935" s="37" t="b">
        <v>0</v>
      </c>
      <c r="F935" s="37" t="s">
        <v>24</v>
      </c>
      <c r="G935" s="37" t="s">
        <v>8</v>
      </c>
      <c r="H935" s="37">
        <v>0.23</v>
      </c>
      <c r="I935" s="30">
        <v>0.22</v>
      </c>
      <c r="J935" s="37">
        <v>0.47</v>
      </c>
      <c r="K935" s="37">
        <v>0.13</v>
      </c>
      <c r="L935" s="37">
        <v>7</v>
      </c>
      <c r="M935" s="37">
        <v>64</v>
      </c>
      <c r="N935" s="37">
        <v>71</v>
      </c>
    </row>
    <row r="936" spans="1:14">
      <c r="A936" s="30">
        <v>935</v>
      </c>
      <c r="B936" s="31">
        <v>40585</v>
      </c>
      <c r="C936" s="30">
        <v>13</v>
      </c>
      <c r="D936" s="37" t="s">
        <v>29</v>
      </c>
      <c r="E936" s="37" t="b">
        <v>0</v>
      </c>
      <c r="F936" s="37" t="s">
        <v>24</v>
      </c>
      <c r="G936" s="37" t="s">
        <v>8</v>
      </c>
      <c r="H936" s="37">
        <v>0.23</v>
      </c>
      <c r="I936" s="30">
        <v>0.24</v>
      </c>
      <c r="J936" s="37">
        <v>0.35</v>
      </c>
      <c r="K936" s="37">
        <v>0.19</v>
      </c>
      <c r="L936" s="37">
        <v>21</v>
      </c>
      <c r="M936" s="37">
        <v>89</v>
      </c>
      <c r="N936" s="37">
        <v>110</v>
      </c>
    </row>
    <row r="937" spans="1:14">
      <c r="A937" s="30">
        <v>936</v>
      </c>
      <c r="B937" s="31">
        <v>40585</v>
      </c>
      <c r="C937" s="30">
        <v>14</v>
      </c>
      <c r="D937" s="37" t="s">
        <v>29</v>
      </c>
      <c r="E937" s="37" t="b">
        <v>0</v>
      </c>
      <c r="F937" s="37" t="s">
        <v>24</v>
      </c>
      <c r="G937" s="37" t="s">
        <v>8</v>
      </c>
      <c r="H937" s="37">
        <v>0.28999999999999998</v>
      </c>
      <c r="I937" s="30">
        <v>0.3</v>
      </c>
      <c r="J937" s="37">
        <v>0.26</v>
      </c>
      <c r="K937" s="37">
        <v>0.25</v>
      </c>
      <c r="L937" s="37">
        <v>17</v>
      </c>
      <c r="M937" s="37">
        <v>67</v>
      </c>
      <c r="N937" s="37">
        <v>84</v>
      </c>
    </row>
    <row r="938" spans="1:14">
      <c r="A938" s="30">
        <v>937</v>
      </c>
      <c r="B938" s="31">
        <v>40585</v>
      </c>
      <c r="C938" s="30">
        <v>15</v>
      </c>
      <c r="D938" s="37" t="s">
        <v>29</v>
      </c>
      <c r="E938" s="37" t="b">
        <v>0</v>
      </c>
      <c r="F938" s="37" t="s">
        <v>24</v>
      </c>
      <c r="G938" s="37" t="s">
        <v>8</v>
      </c>
      <c r="H938" s="37">
        <v>0.32</v>
      </c>
      <c r="I938" s="30">
        <v>0.32</v>
      </c>
      <c r="J938" s="37">
        <v>0.21</v>
      </c>
      <c r="K938" s="37">
        <v>0.16</v>
      </c>
      <c r="L938" s="37">
        <v>12</v>
      </c>
      <c r="M938" s="37">
        <v>62</v>
      </c>
      <c r="N938" s="37">
        <v>74</v>
      </c>
    </row>
    <row r="939" spans="1:14">
      <c r="A939" s="30">
        <v>938</v>
      </c>
      <c r="B939" s="31">
        <v>40585</v>
      </c>
      <c r="C939" s="30">
        <v>16</v>
      </c>
      <c r="D939" s="37" t="s">
        <v>29</v>
      </c>
      <c r="E939" s="37" t="b">
        <v>0</v>
      </c>
      <c r="F939" s="37" t="s">
        <v>24</v>
      </c>
      <c r="G939" s="37" t="s">
        <v>8</v>
      </c>
      <c r="H939" s="37">
        <v>0.28999999999999998</v>
      </c>
      <c r="I939" s="30">
        <v>0.3</v>
      </c>
      <c r="J939" s="37">
        <v>0.28000000000000003</v>
      </c>
      <c r="K939" s="37">
        <v>0.19</v>
      </c>
      <c r="L939" s="37">
        <v>14</v>
      </c>
      <c r="M939" s="37">
        <v>111</v>
      </c>
      <c r="N939" s="37">
        <v>125</v>
      </c>
    </row>
    <row r="940" spans="1:14">
      <c r="A940" s="30">
        <v>939</v>
      </c>
      <c r="B940" s="31">
        <v>40585</v>
      </c>
      <c r="C940" s="30">
        <v>17</v>
      </c>
      <c r="D940" s="37" t="s">
        <v>29</v>
      </c>
      <c r="E940" s="37" t="b">
        <v>0</v>
      </c>
      <c r="F940" s="37" t="s">
        <v>24</v>
      </c>
      <c r="G940" s="37" t="s">
        <v>8</v>
      </c>
      <c r="H940" s="37">
        <v>0.33</v>
      </c>
      <c r="I940" s="30">
        <v>0.3</v>
      </c>
      <c r="J940" s="37">
        <v>0.24</v>
      </c>
      <c r="K940" s="37">
        <v>0</v>
      </c>
      <c r="L940" s="37">
        <v>18</v>
      </c>
      <c r="M940" s="37">
        <v>193</v>
      </c>
      <c r="N940" s="37">
        <v>211</v>
      </c>
    </row>
    <row r="941" spans="1:14">
      <c r="A941" s="30">
        <v>940</v>
      </c>
      <c r="B941" s="31">
        <v>40585</v>
      </c>
      <c r="C941" s="30">
        <v>18</v>
      </c>
      <c r="D941" s="37" t="s">
        <v>30</v>
      </c>
      <c r="E941" s="37" t="b">
        <v>0</v>
      </c>
      <c r="F941" s="37" t="s">
        <v>24</v>
      </c>
      <c r="G941" s="37" t="s">
        <v>8</v>
      </c>
      <c r="H941" s="37">
        <v>0.32</v>
      </c>
      <c r="I941" s="30">
        <v>0.28000000000000003</v>
      </c>
      <c r="J941" s="37">
        <v>0.28000000000000003</v>
      </c>
      <c r="K941" s="37">
        <v>0</v>
      </c>
      <c r="L941" s="37">
        <v>9</v>
      </c>
      <c r="M941" s="37">
        <v>165</v>
      </c>
      <c r="N941" s="37">
        <v>174</v>
      </c>
    </row>
    <row r="942" spans="1:14">
      <c r="A942" s="30">
        <v>941</v>
      </c>
      <c r="B942" s="31">
        <v>40585</v>
      </c>
      <c r="C942" s="30">
        <v>19</v>
      </c>
      <c r="D942" s="37" t="s">
        <v>30</v>
      </c>
      <c r="E942" s="37" t="b">
        <v>0</v>
      </c>
      <c r="F942" s="37" t="s">
        <v>24</v>
      </c>
      <c r="G942" s="37" t="s">
        <v>8</v>
      </c>
      <c r="H942" s="37">
        <v>0.3</v>
      </c>
      <c r="I942" s="30">
        <v>0.26</v>
      </c>
      <c r="J942" s="37">
        <v>0.33</v>
      </c>
      <c r="K942" s="37">
        <v>0</v>
      </c>
      <c r="L942" s="37">
        <v>7</v>
      </c>
      <c r="M942" s="37">
        <v>94</v>
      </c>
      <c r="N942" s="37">
        <v>101</v>
      </c>
    </row>
    <row r="943" spans="1:14">
      <c r="A943" s="30">
        <v>942</v>
      </c>
      <c r="B943" s="31">
        <v>40585</v>
      </c>
      <c r="C943" s="30">
        <v>20</v>
      </c>
      <c r="D943" s="37" t="s">
        <v>30</v>
      </c>
      <c r="E943" s="37" t="b">
        <v>0</v>
      </c>
      <c r="F943" s="37" t="s">
        <v>24</v>
      </c>
      <c r="G943" s="37" t="s">
        <v>8</v>
      </c>
      <c r="H943" s="37">
        <v>0.23</v>
      </c>
      <c r="I943" s="30">
        <v>0.22</v>
      </c>
      <c r="J943" s="37">
        <v>0.55000000000000004</v>
      </c>
      <c r="K943" s="37">
        <v>0.13</v>
      </c>
      <c r="L943" s="37">
        <v>2</v>
      </c>
      <c r="M943" s="37">
        <v>61</v>
      </c>
      <c r="N943" s="37">
        <v>63</v>
      </c>
    </row>
    <row r="944" spans="1:14">
      <c r="A944" s="30">
        <v>943</v>
      </c>
      <c r="B944" s="31">
        <v>40585</v>
      </c>
      <c r="C944" s="30">
        <v>21</v>
      </c>
      <c r="D944" s="37" t="s">
        <v>30</v>
      </c>
      <c r="E944" s="37" t="b">
        <v>0</v>
      </c>
      <c r="F944" s="37" t="s">
        <v>24</v>
      </c>
      <c r="G944" s="37" t="s">
        <v>8</v>
      </c>
      <c r="H944" s="37">
        <v>0.21</v>
      </c>
      <c r="I944" s="30">
        <v>0.2</v>
      </c>
      <c r="J944" s="37">
        <v>0.59</v>
      </c>
      <c r="K944" s="37">
        <v>0.13</v>
      </c>
      <c r="L944" s="37">
        <v>1</v>
      </c>
      <c r="M944" s="37">
        <v>46</v>
      </c>
      <c r="N944" s="37">
        <v>47</v>
      </c>
    </row>
    <row r="945" spans="1:14">
      <c r="A945" s="30">
        <v>944</v>
      </c>
      <c r="B945" s="31">
        <v>40585</v>
      </c>
      <c r="C945" s="30">
        <v>22</v>
      </c>
      <c r="D945" s="37" t="s">
        <v>30</v>
      </c>
      <c r="E945" s="37" t="b">
        <v>0</v>
      </c>
      <c r="F945" s="37" t="s">
        <v>24</v>
      </c>
      <c r="G945" s="37" t="s">
        <v>8</v>
      </c>
      <c r="H945" s="37">
        <v>0.23</v>
      </c>
      <c r="I945" s="30">
        <v>0.2</v>
      </c>
      <c r="J945" s="37">
        <v>0.64</v>
      </c>
      <c r="K945" s="37">
        <v>0.09</v>
      </c>
      <c r="L945" s="37">
        <v>2</v>
      </c>
      <c r="M945" s="37">
        <v>41</v>
      </c>
      <c r="N945" s="37">
        <v>43</v>
      </c>
    </row>
    <row r="946" spans="1:14">
      <c r="A946" s="30">
        <v>945</v>
      </c>
      <c r="B946" s="31">
        <v>40585</v>
      </c>
      <c r="C946" s="30">
        <v>23</v>
      </c>
      <c r="D946" s="37" t="s">
        <v>30</v>
      </c>
      <c r="E946" s="37" t="b">
        <v>0</v>
      </c>
      <c r="F946" s="37" t="s">
        <v>24</v>
      </c>
      <c r="G946" s="37" t="s">
        <v>8</v>
      </c>
      <c r="H946" s="37">
        <v>0.24</v>
      </c>
      <c r="I946" s="30">
        <v>0.18</v>
      </c>
      <c r="J946" s="37">
        <v>0.69</v>
      </c>
      <c r="K946" s="37">
        <v>0</v>
      </c>
      <c r="L946" s="37">
        <v>5</v>
      </c>
      <c r="M946" s="37">
        <v>48</v>
      </c>
      <c r="N946" s="37">
        <v>53</v>
      </c>
    </row>
    <row r="947" spans="1:14">
      <c r="A947" s="30">
        <v>946</v>
      </c>
      <c r="B947" s="31">
        <v>40586</v>
      </c>
      <c r="C947" s="30">
        <v>0</v>
      </c>
      <c r="D947" s="37" t="s">
        <v>27</v>
      </c>
      <c r="E947" s="37" t="b">
        <v>0</v>
      </c>
      <c r="F947" s="37" t="s">
        <v>25</v>
      </c>
      <c r="G947" s="37" t="s">
        <v>8</v>
      </c>
      <c r="H947" s="37">
        <v>0.2</v>
      </c>
      <c r="I947" s="30">
        <v>0.16</v>
      </c>
      <c r="J947" s="37">
        <v>0.69</v>
      </c>
      <c r="K947" s="37">
        <v>0.09</v>
      </c>
      <c r="L947" s="37">
        <v>3</v>
      </c>
      <c r="M947" s="37">
        <v>27</v>
      </c>
      <c r="N947" s="37">
        <v>30</v>
      </c>
    </row>
    <row r="948" spans="1:14">
      <c r="A948" s="30">
        <v>947</v>
      </c>
      <c r="B948" s="31">
        <v>40586</v>
      </c>
      <c r="C948" s="30">
        <v>1</v>
      </c>
      <c r="D948" s="37" t="s">
        <v>27</v>
      </c>
      <c r="E948" s="37" t="b">
        <v>0</v>
      </c>
      <c r="F948" s="37" t="s">
        <v>25</v>
      </c>
      <c r="G948" s="37" t="s">
        <v>8</v>
      </c>
      <c r="H948" s="37">
        <v>0.21</v>
      </c>
      <c r="I948" s="30">
        <v>0.14000000000000001</v>
      </c>
      <c r="J948" s="37">
        <v>0.86</v>
      </c>
      <c r="K948" s="37">
        <v>0</v>
      </c>
      <c r="L948" s="37">
        <v>2</v>
      </c>
      <c r="M948" s="37">
        <v>22</v>
      </c>
      <c r="N948" s="37">
        <v>24</v>
      </c>
    </row>
    <row r="949" spans="1:14">
      <c r="A949" s="30">
        <v>948</v>
      </c>
      <c r="B949" s="31">
        <v>40586</v>
      </c>
      <c r="C949" s="30">
        <v>2</v>
      </c>
      <c r="D949" s="37" t="s">
        <v>27</v>
      </c>
      <c r="E949" s="37" t="b">
        <v>0</v>
      </c>
      <c r="F949" s="37" t="s">
        <v>25</v>
      </c>
      <c r="G949" s="37" t="s">
        <v>8</v>
      </c>
      <c r="H949" s="37">
        <v>0.21</v>
      </c>
      <c r="I949" s="30">
        <v>0.14000000000000001</v>
      </c>
      <c r="J949" s="37">
        <v>0.8</v>
      </c>
      <c r="K949" s="37">
        <v>0</v>
      </c>
      <c r="L949" s="37">
        <v>2</v>
      </c>
      <c r="M949" s="37">
        <v>13</v>
      </c>
      <c r="N949" s="37">
        <v>15</v>
      </c>
    </row>
    <row r="950" spans="1:14">
      <c r="A950" s="30">
        <v>949</v>
      </c>
      <c r="B950" s="31">
        <v>40586</v>
      </c>
      <c r="C950" s="30">
        <v>3</v>
      </c>
      <c r="D950" s="37" t="s">
        <v>27</v>
      </c>
      <c r="E950" s="37" t="b">
        <v>0</v>
      </c>
      <c r="F950" s="37" t="s">
        <v>25</v>
      </c>
      <c r="G950" s="37" t="s">
        <v>8</v>
      </c>
      <c r="H950" s="37">
        <v>0.2</v>
      </c>
      <c r="I950" s="30">
        <v>0.12</v>
      </c>
      <c r="J950" s="37">
        <v>0.8</v>
      </c>
      <c r="K950" s="37">
        <v>0</v>
      </c>
      <c r="L950" s="37">
        <v>3</v>
      </c>
      <c r="M950" s="37">
        <v>7</v>
      </c>
      <c r="N950" s="37">
        <v>10</v>
      </c>
    </row>
    <row r="951" spans="1:14">
      <c r="A951" s="30">
        <v>950</v>
      </c>
      <c r="B951" s="31">
        <v>40586</v>
      </c>
      <c r="C951" s="30">
        <v>4</v>
      </c>
      <c r="D951" s="37" t="s">
        <v>27</v>
      </c>
      <c r="E951" s="37" t="b">
        <v>0</v>
      </c>
      <c r="F951" s="37" t="s">
        <v>25</v>
      </c>
      <c r="G951" s="37" t="s">
        <v>8</v>
      </c>
      <c r="H951" s="37">
        <v>0.17</v>
      </c>
      <c r="I951" s="30">
        <v>0.12</v>
      </c>
      <c r="J951" s="37">
        <v>0.74</v>
      </c>
      <c r="K951" s="37">
        <v>0.09</v>
      </c>
      <c r="L951" s="37">
        <v>0</v>
      </c>
      <c r="M951" s="37">
        <v>4</v>
      </c>
      <c r="N951" s="37">
        <v>4</v>
      </c>
    </row>
    <row r="952" spans="1:14">
      <c r="A952" s="30">
        <v>951</v>
      </c>
      <c r="B952" s="31">
        <v>40586</v>
      </c>
      <c r="C952" s="30">
        <v>5</v>
      </c>
      <c r="D952" s="37" t="s">
        <v>27</v>
      </c>
      <c r="E952" s="37" t="b">
        <v>0</v>
      </c>
      <c r="F952" s="37" t="s">
        <v>25</v>
      </c>
      <c r="G952" s="37" t="s">
        <v>8</v>
      </c>
      <c r="H952" s="37">
        <v>0.17</v>
      </c>
      <c r="I952" s="30">
        <v>0.12</v>
      </c>
      <c r="J952" s="37">
        <v>0.74</v>
      </c>
      <c r="K952" s="37">
        <v>0.09</v>
      </c>
      <c r="L952" s="37">
        <v>0</v>
      </c>
      <c r="M952" s="37">
        <v>1</v>
      </c>
      <c r="N952" s="37">
        <v>1</v>
      </c>
    </row>
    <row r="953" spans="1:14">
      <c r="A953" s="30">
        <v>952</v>
      </c>
      <c r="B953" s="31">
        <v>40586</v>
      </c>
      <c r="C953" s="30">
        <v>6</v>
      </c>
      <c r="D953" s="37" t="s">
        <v>28</v>
      </c>
      <c r="E953" s="37" t="b">
        <v>0</v>
      </c>
      <c r="F953" s="37" t="s">
        <v>25</v>
      </c>
      <c r="G953" s="37" t="s">
        <v>8</v>
      </c>
      <c r="H953" s="37">
        <v>0.14000000000000001</v>
      </c>
      <c r="I953" s="30">
        <v>0.12</v>
      </c>
      <c r="J953" s="37">
        <v>0.93</v>
      </c>
      <c r="K953" s="37">
        <v>0.19</v>
      </c>
      <c r="L953" s="37">
        <v>1</v>
      </c>
      <c r="M953" s="37">
        <v>1</v>
      </c>
      <c r="N953" s="37">
        <v>2</v>
      </c>
    </row>
    <row r="954" spans="1:14">
      <c r="A954" s="30">
        <v>953</v>
      </c>
      <c r="B954" s="31">
        <v>40586</v>
      </c>
      <c r="C954" s="30">
        <v>7</v>
      </c>
      <c r="D954" s="37" t="s">
        <v>28</v>
      </c>
      <c r="E954" s="37" t="b">
        <v>0</v>
      </c>
      <c r="F954" s="37" t="s">
        <v>25</v>
      </c>
      <c r="G954" s="37" t="s">
        <v>8</v>
      </c>
      <c r="H954" s="37">
        <v>0.15</v>
      </c>
      <c r="I954" s="30">
        <v>0.12</v>
      </c>
      <c r="J954" s="37">
        <v>0.8</v>
      </c>
      <c r="K954" s="37">
        <v>0.1</v>
      </c>
      <c r="L954" s="37">
        <v>2</v>
      </c>
      <c r="M954" s="37">
        <v>9</v>
      </c>
      <c r="N954" s="37">
        <v>11</v>
      </c>
    </row>
    <row r="955" spans="1:14">
      <c r="A955" s="30">
        <v>954</v>
      </c>
      <c r="B955" s="31">
        <v>40586</v>
      </c>
      <c r="C955" s="30">
        <v>8</v>
      </c>
      <c r="D955" s="37" t="s">
        <v>28</v>
      </c>
      <c r="E955" s="37" t="b">
        <v>0</v>
      </c>
      <c r="F955" s="37" t="s">
        <v>25</v>
      </c>
      <c r="G955" s="37" t="s">
        <v>8</v>
      </c>
      <c r="H955" s="37">
        <v>0.15</v>
      </c>
      <c r="I955" s="30">
        <v>0.14000000000000001</v>
      </c>
      <c r="J955" s="37">
        <v>0.86</v>
      </c>
      <c r="K955" s="37">
        <v>0.13</v>
      </c>
      <c r="L955" s="37">
        <v>2</v>
      </c>
      <c r="M955" s="37">
        <v>28</v>
      </c>
      <c r="N955" s="37">
        <v>30</v>
      </c>
    </row>
    <row r="956" spans="1:14">
      <c r="A956" s="30">
        <v>955</v>
      </c>
      <c r="B956" s="31">
        <v>40586</v>
      </c>
      <c r="C956" s="30">
        <v>9</v>
      </c>
      <c r="D956" s="37" t="s">
        <v>28</v>
      </c>
      <c r="E956" s="37" t="b">
        <v>0</v>
      </c>
      <c r="F956" s="37" t="s">
        <v>25</v>
      </c>
      <c r="G956" s="37" t="s">
        <v>8</v>
      </c>
      <c r="H956" s="37">
        <v>0.18</v>
      </c>
      <c r="I956" s="30">
        <v>0.16</v>
      </c>
      <c r="J956" s="37">
        <v>0.64</v>
      </c>
      <c r="K956" s="37">
        <v>0.13</v>
      </c>
      <c r="L956" s="37">
        <v>5</v>
      </c>
      <c r="M956" s="37">
        <v>38</v>
      </c>
      <c r="N956" s="37">
        <v>43</v>
      </c>
    </row>
    <row r="957" spans="1:14">
      <c r="A957" s="30">
        <v>956</v>
      </c>
      <c r="B957" s="31">
        <v>40586</v>
      </c>
      <c r="C957" s="30">
        <v>10</v>
      </c>
      <c r="D957" s="37" t="s">
        <v>28</v>
      </c>
      <c r="E957" s="37" t="b">
        <v>0</v>
      </c>
      <c r="F957" s="37" t="s">
        <v>25</v>
      </c>
      <c r="G957" s="37" t="s">
        <v>8</v>
      </c>
      <c r="H957" s="37">
        <v>0.21</v>
      </c>
      <c r="I957" s="30">
        <v>0.22</v>
      </c>
      <c r="J957" s="37">
        <v>0.41</v>
      </c>
      <c r="K957" s="37">
        <v>0.25</v>
      </c>
      <c r="L957" s="37">
        <v>13</v>
      </c>
      <c r="M957" s="37">
        <v>71</v>
      </c>
      <c r="N957" s="37">
        <v>84</v>
      </c>
    </row>
    <row r="958" spans="1:14">
      <c r="A958" s="30">
        <v>957</v>
      </c>
      <c r="B958" s="31">
        <v>40586</v>
      </c>
      <c r="C958" s="30">
        <v>11</v>
      </c>
      <c r="D958" s="37" t="s">
        <v>28</v>
      </c>
      <c r="E958" s="37" t="b">
        <v>0</v>
      </c>
      <c r="F958" s="37" t="s">
        <v>25</v>
      </c>
      <c r="G958" s="37" t="s">
        <v>8</v>
      </c>
      <c r="H958" s="37">
        <v>0.27</v>
      </c>
      <c r="I958" s="30">
        <v>0.3</v>
      </c>
      <c r="J958" s="37">
        <v>0.28000000000000003</v>
      </c>
      <c r="K958" s="37">
        <v>0.33</v>
      </c>
      <c r="L958" s="37">
        <v>30</v>
      </c>
      <c r="M958" s="37">
        <v>84</v>
      </c>
      <c r="N958" s="37">
        <v>114</v>
      </c>
    </row>
    <row r="959" spans="1:14">
      <c r="A959" s="30">
        <v>958</v>
      </c>
      <c r="B959" s="31">
        <v>40586</v>
      </c>
      <c r="C959" s="30">
        <v>12</v>
      </c>
      <c r="D959" s="37" t="s">
        <v>29</v>
      </c>
      <c r="E959" s="37" t="b">
        <v>0</v>
      </c>
      <c r="F959" s="37" t="s">
        <v>25</v>
      </c>
      <c r="G959" s="37" t="s">
        <v>8</v>
      </c>
      <c r="H959" s="37">
        <v>0.27</v>
      </c>
      <c r="I959" s="30">
        <v>0.3</v>
      </c>
      <c r="J959" s="37">
        <v>0.39</v>
      </c>
      <c r="K959" s="37">
        <v>0.46</v>
      </c>
      <c r="L959" s="37">
        <v>27</v>
      </c>
      <c r="M959" s="37">
        <v>93</v>
      </c>
      <c r="N959" s="37">
        <v>120</v>
      </c>
    </row>
    <row r="960" spans="1:14">
      <c r="A960" s="30">
        <v>959</v>
      </c>
      <c r="B960" s="31">
        <v>40586</v>
      </c>
      <c r="C960" s="30">
        <v>13</v>
      </c>
      <c r="D960" s="37" t="s">
        <v>29</v>
      </c>
      <c r="E960" s="37" t="b">
        <v>0</v>
      </c>
      <c r="F960" s="37" t="s">
        <v>25</v>
      </c>
      <c r="G960" s="37" t="s">
        <v>8</v>
      </c>
      <c r="H960" s="37">
        <v>0.27</v>
      </c>
      <c r="I960" s="30">
        <v>0.3</v>
      </c>
      <c r="J960" s="37">
        <v>0.39</v>
      </c>
      <c r="K960" s="37">
        <v>0.42</v>
      </c>
      <c r="L960" s="37">
        <v>32</v>
      </c>
      <c r="M960" s="37">
        <v>103</v>
      </c>
      <c r="N960" s="37">
        <v>135</v>
      </c>
    </row>
    <row r="961" spans="1:14">
      <c r="A961" s="30">
        <v>960</v>
      </c>
      <c r="B961" s="31">
        <v>40586</v>
      </c>
      <c r="C961" s="30">
        <v>14</v>
      </c>
      <c r="D961" s="37" t="s">
        <v>29</v>
      </c>
      <c r="E961" s="37" t="b">
        <v>0</v>
      </c>
      <c r="F961" s="37" t="s">
        <v>25</v>
      </c>
      <c r="G961" s="37" t="s">
        <v>8</v>
      </c>
      <c r="H961" s="37">
        <v>0.32</v>
      </c>
      <c r="I961" s="30">
        <v>0.34</v>
      </c>
      <c r="J961" s="37">
        <v>0.31</v>
      </c>
      <c r="K961" s="37">
        <v>0.28000000000000003</v>
      </c>
      <c r="L961" s="37">
        <v>30</v>
      </c>
      <c r="M961" s="37">
        <v>90</v>
      </c>
      <c r="N961" s="37">
        <v>120</v>
      </c>
    </row>
    <row r="962" spans="1:14">
      <c r="A962" s="30">
        <v>961</v>
      </c>
      <c r="B962" s="31">
        <v>40586</v>
      </c>
      <c r="C962" s="30">
        <v>15</v>
      </c>
      <c r="D962" s="37" t="s">
        <v>29</v>
      </c>
      <c r="E962" s="37" t="b">
        <v>0</v>
      </c>
      <c r="F962" s="37" t="s">
        <v>25</v>
      </c>
      <c r="G962" s="37" t="s">
        <v>8</v>
      </c>
      <c r="H962" s="37">
        <v>0.3</v>
      </c>
      <c r="I962" s="30">
        <v>0.34</v>
      </c>
      <c r="J962" s="37">
        <v>0.28999999999999998</v>
      </c>
      <c r="K962" s="37">
        <v>0.42</v>
      </c>
      <c r="L962" s="37">
        <v>47</v>
      </c>
      <c r="M962" s="37">
        <v>127</v>
      </c>
      <c r="N962" s="37">
        <v>174</v>
      </c>
    </row>
    <row r="963" spans="1:14">
      <c r="A963" s="30">
        <v>962</v>
      </c>
      <c r="B963" s="31">
        <v>40586</v>
      </c>
      <c r="C963" s="30">
        <v>16</v>
      </c>
      <c r="D963" s="37" t="s">
        <v>29</v>
      </c>
      <c r="E963" s="37" t="b">
        <v>0</v>
      </c>
      <c r="F963" s="37" t="s">
        <v>25</v>
      </c>
      <c r="G963" s="37" t="s">
        <v>8</v>
      </c>
      <c r="H963" s="37">
        <v>0.3</v>
      </c>
      <c r="I963" s="30">
        <v>0.34</v>
      </c>
      <c r="J963" s="37">
        <v>0.28999999999999998</v>
      </c>
      <c r="K963" s="37">
        <v>0.42</v>
      </c>
      <c r="L963" s="37">
        <v>42</v>
      </c>
      <c r="M963" s="37">
        <v>103</v>
      </c>
      <c r="N963" s="37">
        <v>145</v>
      </c>
    </row>
    <row r="964" spans="1:14">
      <c r="A964" s="30">
        <v>963</v>
      </c>
      <c r="B964" s="31">
        <v>40586</v>
      </c>
      <c r="C964" s="30">
        <v>17</v>
      </c>
      <c r="D964" s="37" t="s">
        <v>29</v>
      </c>
      <c r="E964" s="37" t="b">
        <v>0</v>
      </c>
      <c r="F964" s="37" t="s">
        <v>25</v>
      </c>
      <c r="G964" s="37" t="s">
        <v>8</v>
      </c>
      <c r="H964" s="37">
        <v>0.28999999999999998</v>
      </c>
      <c r="I964" s="30">
        <v>0.32</v>
      </c>
      <c r="J964" s="37">
        <v>0.31</v>
      </c>
      <c r="K964" s="37">
        <v>0.52</v>
      </c>
      <c r="L964" s="37">
        <v>24</v>
      </c>
      <c r="M964" s="37">
        <v>113</v>
      </c>
      <c r="N964" s="37">
        <v>137</v>
      </c>
    </row>
    <row r="965" spans="1:14">
      <c r="A965" s="30">
        <v>964</v>
      </c>
      <c r="B965" s="31">
        <v>40586</v>
      </c>
      <c r="C965" s="30">
        <v>18</v>
      </c>
      <c r="D965" s="37" t="s">
        <v>30</v>
      </c>
      <c r="E965" s="37" t="b">
        <v>0</v>
      </c>
      <c r="F965" s="37" t="s">
        <v>25</v>
      </c>
      <c r="G965" s="37" t="s">
        <v>8</v>
      </c>
      <c r="H965" s="37">
        <v>0.26</v>
      </c>
      <c r="I965" s="30">
        <v>0.28000000000000003</v>
      </c>
      <c r="J965" s="37">
        <v>0.38</v>
      </c>
      <c r="K965" s="37">
        <v>0.33</v>
      </c>
      <c r="L965" s="37">
        <v>4</v>
      </c>
      <c r="M965" s="37">
        <v>60</v>
      </c>
      <c r="N965" s="37">
        <v>64</v>
      </c>
    </row>
    <row r="966" spans="1:14">
      <c r="A966" s="30">
        <v>965</v>
      </c>
      <c r="B966" s="31">
        <v>40586</v>
      </c>
      <c r="C966" s="30">
        <v>19</v>
      </c>
      <c r="D966" s="37" t="s">
        <v>30</v>
      </c>
      <c r="E966" s="37" t="b">
        <v>0</v>
      </c>
      <c r="F966" s="37" t="s">
        <v>25</v>
      </c>
      <c r="G966" s="37" t="s">
        <v>8</v>
      </c>
      <c r="H966" s="37">
        <v>0.27</v>
      </c>
      <c r="I966" s="30">
        <v>0.28000000000000003</v>
      </c>
      <c r="J966" s="37">
        <v>0.38</v>
      </c>
      <c r="K966" s="37">
        <v>0.16</v>
      </c>
      <c r="L966" s="37">
        <v>2</v>
      </c>
      <c r="M966" s="37">
        <v>39</v>
      </c>
      <c r="N966" s="37">
        <v>41</v>
      </c>
    </row>
    <row r="967" spans="1:14">
      <c r="A967" s="30">
        <v>966</v>
      </c>
      <c r="B967" s="31">
        <v>40586</v>
      </c>
      <c r="C967" s="30">
        <v>20</v>
      </c>
      <c r="D967" s="37" t="s">
        <v>30</v>
      </c>
      <c r="E967" s="37" t="b">
        <v>0</v>
      </c>
      <c r="F967" s="37" t="s">
        <v>25</v>
      </c>
      <c r="G967" s="37" t="s">
        <v>8</v>
      </c>
      <c r="H967" s="37">
        <v>0.26</v>
      </c>
      <c r="I967" s="30">
        <v>0.26</v>
      </c>
      <c r="J967" s="37">
        <v>0.41</v>
      </c>
      <c r="K967" s="37">
        <v>0.22</v>
      </c>
      <c r="L967" s="37">
        <v>1</v>
      </c>
      <c r="M967" s="37">
        <v>39</v>
      </c>
      <c r="N967" s="37">
        <v>40</v>
      </c>
    </row>
    <row r="968" spans="1:14">
      <c r="A968" s="30">
        <v>967</v>
      </c>
      <c r="B968" s="31">
        <v>40586</v>
      </c>
      <c r="C968" s="30">
        <v>21</v>
      </c>
      <c r="D968" s="37" t="s">
        <v>30</v>
      </c>
      <c r="E968" s="37" t="b">
        <v>0</v>
      </c>
      <c r="F968" s="37" t="s">
        <v>25</v>
      </c>
      <c r="G968" s="37" t="s">
        <v>8</v>
      </c>
      <c r="H968" s="37">
        <v>0.3</v>
      </c>
      <c r="I968" s="30">
        <v>0.26</v>
      </c>
      <c r="J968" s="37">
        <v>0.41</v>
      </c>
      <c r="K968" s="37">
        <v>0</v>
      </c>
      <c r="L968" s="37">
        <v>9</v>
      </c>
      <c r="M968" s="37">
        <v>42</v>
      </c>
      <c r="N968" s="37">
        <v>51</v>
      </c>
    </row>
    <row r="969" spans="1:14">
      <c r="A969" s="30">
        <v>968</v>
      </c>
      <c r="B969" s="31">
        <v>40586</v>
      </c>
      <c r="C969" s="30">
        <v>22</v>
      </c>
      <c r="D969" s="37" t="s">
        <v>30</v>
      </c>
      <c r="E969" s="37" t="b">
        <v>0</v>
      </c>
      <c r="F969" s="37" t="s">
        <v>25</v>
      </c>
      <c r="G969" s="37" t="s">
        <v>8</v>
      </c>
      <c r="H969" s="37">
        <v>0.26</v>
      </c>
      <c r="I969" s="30">
        <v>0.24</v>
      </c>
      <c r="J969" s="37">
        <v>0.44</v>
      </c>
      <c r="K969" s="37">
        <v>0.09</v>
      </c>
      <c r="L969" s="37">
        <v>6</v>
      </c>
      <c r="M969" s="37">
        <v>39</v>
      </c>
      <c r="N969" s="37">
        <v>45</v>
      </c>
    </row>
    <row r="970" spans="1:14">
      <c r="A970" s="30">
        <v>969</v>
      </c>
      <c r="B970" s="31">
        <v>40586</v>
      </c>
      <c r="C970" s="30">
        <v>23</v>
      </c>
      <c r="D970" s="37" t="s">
        <v>30</v>
      </c>
      <c r="E970" s="37" t="b">
        <v>0</v>
      </c>
      <c r="F970" s="37" t="s">
        <v>25</v>
      </c>
      <c r="G970" s="37" t="s">
        <v>8</v>
      </c>
      <c r="H970" s="37">
        <v>0.23</v>
      </c>
      <c r="I970" s="30">
        <v>0.22</v>
      </c>
      <c r="J970" s="37">
        <v>0.51</v>
      </c>
      <c r="K970" s="37">
        <v>0.13</v>
      </c>
      <c r="L970" s="37">
        <v>1</v>
      </c>
      <c r="M970" s="37">
        <v>31</v>
      </c>
      <c r="N970" s="37">
        <v>32</v>
      </c>
    </row>
    <row r="971" spans="1:14">
      <c r="A971" s="30">
        <v>970</v>
      </c>
      <c r="B971" s="31">
        <v>40587</v>
      </c>
      <c r="C971" s="30">
        <v>0</v>
      </c>
      <c r="D971" s="37" t="s">
        <v>27</v>
      </c>
      <c r="E971" s="37" t="b">
        <v>0</v>
      </c>
      <c r="F971" s="37" t="s">
        <v>19</v>
      </c>
      <c r="G971" s="37" t="s">
        <v>8</v>
      </c>
      <c r="H971" s="37">
        <v>0.23</v>
      </c>
      <c r="I971" s="30">
        <v>0.2</v>
      </c>
      <c r="J971" s="37">
        <v>0.64</v>
      </c>
      <c r="K971" s="37">
        <v>0.1</v>
      </c>
      <c r="L971" s="37">
        <v>5</v>
      </c>
      <c r="M971" s="37">
        <v>34</v>
      </c>
      <c r="N971" s="37">
        <v>39</v>
      </c>
    </row>
    <row r="972" spans="1:14">
      <c r="A972" s="30">
        <v>971</v>
      </c>
      <c r="B972" s="31">
        <v>40587</v>
      </c>
      <c r="C972" s="30">
        <v>1</v>
      </c>
      <c r="D972" s="37" t="s">
        <v>27</v>
      </c>
      <c r="E972" s="37" t="b">
        <v>0</v>
      </c>
      <c r="F972" s="37" t="s">
        <v>19</v>
      </c>
      <c r="G972" s="37" t="s">
        <v>8</v>
      </c>
      <c r="H972" s="37">
        <v>0.23</v>
      </c>
      <c r="I972" s="30">
        <v>0.2</v>
      </c>
      <c r="J972" s="37">
        <v>0.59</v>
      </c>
      <c r="K972" s="37">
        <v>0.09</v>
      </c>
      <c r="L972" s="37">
        <v>1</v>
      </c>
      <c r="M972" s="37">
        <v>23</v>
      </c>
      <c r="N972" s="37">
        <v>24</v>
      </c>
    </row>
    <row r="973" spans="1:14">
      <c r="A973" s="30">
        <v>972</v>
      </c>
      <c r="B973" s="31">
        <v>40587</v>
      </c>
      <c r="C973" s="30">
        <v>2</v>
      </c>
      <c r="D973" s="37" t="s">
        <v>27</v>
      </c>
      <c r="E973" s="37" t="b">
        <v>0</v>
      </c>
      <c r="F973" s="37" t="s">
        <v>19</v>
      </c>
      <c r="G973" s="37" t="s">
        <v>9</v>
      </c>
      <c r="H973" s="37">
        <v>0.23</v>
      </c>
      <c r="I973" s="30">
        <v>0.2</v>
      </c>
      <c r="J973" s="37">
        <v>0.75</v>
      </c>
      <c r="K973" s="37">
        <v>0.09</v>
      </c>
      <c r="L973" s="37">
        <v>1</v>
      </c>
      <c r="M973" s="37">
        <v>19</v>
      </c>
      <c r="N973" s="37">
        <v>20</v>
      </c>
    </row>
    <row r="974" spans="1:14">
      <c r="A974" s="30">
        <v>973</v>
      </c>
      <c r="B974" s="31">
        <v>40587</v>
      </c>
      <c r="C974" s="30">
        <v>3</v>
      </c>
      <c r="D974" s="37" t="s">
        <v>27</v>
      </c>
      <c r="E974" s="37" t="b">
        <v>0</v>
      </c>
      <c r="F974" s="37" t="s">
        <v>19</v>
      </c>
      <c r="G974" s="37" t="s">
        <v>9</v>
      </c>
      <c r="H974" s="37">
        <v>0.23</v>
      </c>
      <c r="I974" s="30">
        <v>0.2</v>
      </c>
      <c r="J974" s="37">
        <v>0.69</v>
      </c>
      <c r="K974" s="37">
        <v>0.1</v>
      </c>
      <c r="L974" s="37">
        <v>4</v>
      </c>
      <c r="M974" s="37">
        <v>8</v>
      </c>
      <c r="N974" s="37">
        <v>12</v>
      </c>
    </row>
    <row r="975" spans="1:14">
      <c r="A975" s="30">
        <v>974</v>
      </c>
      <c r="B975" s="31">
        <v>40587</v>
      </c>
      <c r="C975" s="30">
        <v>4</v>
      </c>
      <c r="D975" s="37" t="s">
        <v>27</v>
      </c>
      <c r="E975" s="37" t="b">
        <v>0</v>
      </c>
      <c r="F975" s="37" t="s">
        <v>19</v>
      </c>
      <c r="G975" s="37" t="s">
        <v>9</v>
      </c>
      <c r="H975" s="37">
        <v>0.21</v>
      </c>
      <c r="I975" s="30">
        <v>0.2</v>
      </c>
      <c r="J975" s="37">
        <v>0.69</v>
      </c>
      <c r="K975" s="37">
        <v>0.16</v>
      </c>
      <c r="L975" s="37">
        <v>0</v>
      </c>
      <c r="M975" s="37">
        <v>2</v>
      </c>
      <c r="N975" s="37">
        <v>2</v>
      </c>
    </row>
    <row r="976" spans="1:14">
      <c r="A976" s="30">
        <v>975</v>
      </c>
      <c r="B976" s="31">
        <v>40587</v>
      </c>
      <c r="C976" s="30">
        <v>6</v>
      </c>
      <c r="D976" s="37" t="s">
        <v>28</v>
      </c>
      <c r="E976" s="37" t="b">
        <v>0</v>
      </c>
      <c r="F976" s="37" t="s">
        <v>19</v>
      </c>
      <c r="G976" s="37" t="s">
        <v>9</v>
      </c>
      <c r="H976" s="37">
        <v>0.21</v>
      </c>
      <c r="I976" s="30">
        <v>0.2</v>
      </c>
      <c r="J976" s="37">
        <v>0.69</v>
      </c>
      <c r="K976" s="37">
        <v>0.13</v>
      </c>
      <c r="L976" s="37">
        <v>2</v>
      </c>
      <c r="M976" s="37">
        <v>3</v>
      </c>
      <c r="N976" s="37">
        <v>5</v>
      </c>
    </row>
    <row r="977" spans="1:14">
      <c r="A977" s="30">
        <v>976</v>
      </c>
      <c r="B977" s="31">
        <v>40587</v>
      </c>
      <c r="C977" s="30">
        <v>7</v>
      </c>
      <c r="D977" s="37" t="s">
        <v>28</v>
      </c>
      <c r="E977" s="37" t="b">
        <v>0</v>
      </c>
      <c r="F977" s="37" t="s">
        <v>19</v>
      </c>
      <c r="G977" s="37" t="s">
        <v>9</v>
      </c>
      <c r="H977" s="37">
        <v>0.27</v>
      </c>
      <c r="I977" s="30">
        <v>0.22</v>
      </c>
      <c r="J977" s="37">
        <v>0.55000000000000004</v>
      </c>
      <c r="K977" s="37">
        <v>0</v>
      </c>
      <c r="L977" s="37">
        <v>0</v>
      </c>
      <c r="M977" s="37">
        <v>3</v>
      </c>
      <c r="N977" s="37">
        <v>3</v>
      </c>
    </row>
    <row r="978" spans="1:14">
      <c r="A978" s="30">
        <v>977</v>
      </c>
      <c r="B978" s="31">
        <v>40587</v>
      </c>
      <c r="C978" s="30">
        <v>8</v>
      </c>
      <c r="D978" s="37" t="s">
        <v>28</v>
      </c>
      <c r="E978" s="37" t="b">
        <v>0</v>
      </c>
      <c r="F978" s="37" t="s">
        <v>19</v>
      </c>
      <c r="G978" s="37" t="s">
        <v>9</v>
      </c>
      <c r="H978" s="37">
        <v>0.23</v>
      </c>
      <c r="I978" s="30">
        <v>0.22</v>
      </c>
      <c r="J978" s="37">
        <v>0.64</v>
      </c>
      <c r="K978" s="37">
        <v>0.19</v>
      </c>
      <c r="L978" s="37">
        <v>1</v>
      </c>
      <c r="M978" s="37">
        <v>11</v>
      </c>
      <c r="N978" s="37">
        <v>12</v>
      </c>
    </row>
    <row r="979" spans="1:14">
      <c r="A979" s="30">
        <v>978</v>
      </c>
      <c r="B979" s="31">
        <v>40587</v>
      </c>
      <c r="C979" s="30">
        <v>9</v>
      </c>
      <c r="D979" s="37" t="s">
        <v>28</v>
      </c>
      <c r="E979" s="37" t="b">
        <v>0</v>
      </c>
      <c r="F979" s="37" t="s">
        <v>19</v>
      </c>
      <c r="G979" s="37" t="s">
        <v>9</v>
      </c>
      <c r="H979" s="37">
        <v>0.23</v>
      </c>
      <c r="I979" s="30">
        <v>0.24</v>
      </c>
      <c r="J979" s="37">
        <v>0.6</v>
      </c>
      <c r="K979" s="37">
        <v>0.22</v>
      </c>
      <c r="L979" s="37">
        <v>12</v>
      </c>
      <c r="M979" s="37">
        <v>35</v>
      </c>
      <c r="N979" s="37">
        <v>47</v>
      </c>
    </row>
    <row r="980" spans="1:14">
      <c r="A980" s="30">
        <v>979</v>
      </c>
      <c r="B980" s="31">
        <v>40587</v>
      </c>
      <c r="C980" s="30">
        <v>10</v>
      </c>
      <c r="D980" s="37" t="s">
        <v>28</v>
      </c>
      <c r="E980" s="37" t="b">
        <v>0</v>
      </c>
      <c r="F980" s="37" t="s">
        <v>19</v>
      </c>
      <c r="G980" s="37" t="s">
        <v>8</v>
      </c>
      <c r="H980" s="37">
        <v>0.27</v>
      </c>
      <c r="I980" s="30">
        <v>0.3</v>
      </c>
      <c r="J980" s="37">
        <v>0.45</v>
      </c>
      <c r="K980" s="37">
        <v>0.33</v>
      </c>
      <c r="L980" s="37">
        <v>19</v>
      </c>
      <c r="M980" s="37">
        <v>86</v>
      </c>
      <c r="N980" s="37">
        <v>105</v>
      </c>
    </row>
    <row r="981" spans="1:14">
      <c r="A981" s="30">
        <v>980</v>
      </c>
      <c r="B981" s="31">
        <v>40587</v>
      </c>
      <c r="C981" s="30">
        <v>11</v>
      </c>
      <c r="D981" s="37" t="s">
        <v>28</v>
      </c>
      <c r="E981" s="37" t="b">
        <v>0</v>
      </c>
      <c r="F981" s="37" t="s">
        <v>19</v>
      </c>
      <c r="G981" s="37" t="s">
        <v>8</v>
      </c>
      <c r="H981" s="37">
        <v>0.28999999999999998</v>
      </c>
      <c r="I981" s="30">
        <v>0.32</v>
      </c>
      <c r="J981" s="37">
        <v>0.39</v>
      </c>
      <c r="K981" s="37">
        <v>0.45</v>
      </c>
      <c r="L981" s="37">
        <v>26</v>
      </c>
      <c r="M981" s="37">
        <v>86</v>
      </c>
      <c r="N981" s="37">
        <v>112</v>
      </c>
    </row>
    <row r="982" spans="1:14">
      <c r="A982" s="30">
        <v>981</v>
      </c>
      <c r="B982" s="31">
        <v>40587</v>
      </c>
      <c r="C982" s="30">
        <v>12</v>
      </c>
      <c r="D982" s="37" t="s">
        <v>29</v>
      </c>
      <c r="E982" s="37" t="b">
        <v>0</v>
      </c>
      <c r="F982" s="37" t="s">
        <v>19</v>
      </c>
      <c r="G982" s="37" t="s">
        <v>8</v>
      </c>
      <c r="H982" s="37">
        <v>0.32</v>
      </c>
      <c r="I982" s="30">
        <v>0.36</v>
      </c>
      <c r="J982" s="37">
        <v>0.32</v>
      </c>
      <c r="K982" s="37">
        <v>0.46</v>
      </c>
      <c r="L982" s="37">
        <v>58</v>
      </c>
      <c r="M982" s="37">
        <v>94</v>
      </c>
      <c r="N982" s="37">
        <v>152</v>
      </c>
    </row>
    <row r="983" spans="1:14">
      <c r="A983" s="30">
        <v>982</v>
      </c>
      <c r="B983" s="31">
        <v>40587</v>
      </c>
      <c r="C983" s="30">
        <v>13</v>
      </c>
      <c r="D983" s="37" t="s">
        <v>29</v>
      </c>
      <c r="E983" s="37" t="b">
        <v>0</v>
      </c>
      <c r="F983" s="37" t="s">
        <v>19</v>
      </c>
      <c r="G983" s="37" t="s">
        <v>8</v>
      </c>
      <c r="H983" s="37">
        <v>0.39</v>
      </c>
      <c r="I983" s="30">
        <v>0.38</v>
      </c>
      <c r="J983" s="37">
        <v>0.28999999999999998</v>
      </c>
      <c r="K983" s="37">
        <v>0.36</v>
      </c>
      <c r="L983" s="37">
        <v>62</v>
      </c>
      <c r="M983" s="37">
        <v>92</v>
      </c>
      <c r="N983" s="37">
        <v>154</v>
      </c>
    </row>
    <row r="984" spans="1:14">
      <c r="A984" s="30">
        <v>983</v>
      </c>
      <c r="B984" s="31">
        <v>40587</v>
      </c>
      <c r="C984" s="30">
        <v>14</v>
      </c>
      <c r="D984" s="37" t="s">
        <v>29</v>
      </c>
      <c r="E984" s="37" t="b">
        <v>0</v>
      </c>
      <c r="F984" s="37" t="s">
        <v>19</v>
      </c>
      <c r="G984" s="37" t="s">
        <v>9</v>
      </c>
      <c r="H984" s="37">
        <v>0.41</v>
      </c>
      <c r="I984" s="30">
        <v>0.4</v>
      </c>
      <c r="J984" s="37">
        <v>0.3</v>
      </c>
      <c r="K984" s="37">
        <v>0.42</v>
      </c>
      <c r="L984" s="37">
        <v>51</v>
      </c>
      <c r="M984" s="37">
        <v>110</v>
      </c>
      <c r="N984" s="37">
        <v>161</v>
      </c>
    </row>
    <row r="985" spans="1:14">
      <c r="A985" s="30">
        <v>984</v>
      </c>
      <c r="B985" s="31">
        <v>40587</v>
      </c>
      <c r="C985" s="30">
        <v>15</v>
      </c>
      <c r="D985" s="37" t="s">
        <v>29</v>
      </c>
      <c r="E985" s="37" t="b">
        <v>0</v>
      </c>
      <c r="F985" s="37" t="s">
        <v>19</v>
      </c>
      <c r="G985" s="37" t="s">
        <v>9</v>
      </c>
      <c r="H985" s="37">
        <v>0.41</v>
      </c>
      <c r="I985" s="30">
        <v>0.4</v>
      </c>
      <c r="J985" s="37">
        <v>0.3</v>
      </c>
      <c r="K985" s="37">
        <v>0.3</v>
      </c>
      <c r="L985" s="37">
        <v>40</v>
      </c>
      <c r="M985" s="37">
        <v>122</v>
      </c>
      <c r="N985" s="37">
        <v>162</v>
      </c>
    </row>
    <row r="986" spans="1:14">
      <c r="A986" s="30">
        <v>985</v>
      </c>
      <c r="B986" s="31">
        <v>40587</v>
      </c>
      <c r="C986" s="30">
        <v>16</v>
      </c>
      <c r="D986" s="37" t="s">
        <v>29</v>
      </c>
      <c r="E986" s="37" t="b">
        <v>0</v>
      </c>
      <c r="F986" s="37" t="s">
        <v>19</v>
      </c>
      <c r="G986" s="37" t="s">
        <v>9</v>
      </c>
      <c r="H986" s="37">
        <v>0.42</v>
      </c>
      <c r="I986" s="30">
        <v>0.42</v>
      </c>
      <c r="J986" s="37">
        <v>0.28000000000000003</v>
      </c>
      <c r="K986" s="37">
        <v>0.33</v>
      </c>
      <c r="L986" s="37">
        <v>28</v>
      </c>
      <c r="M986" s="37">
        <v>106</v>
      </c>
      <c r="N986" s="37">
        <v>134</v>
      </c>
    </row>
    <row r="987" spans="1:14">
      <c r="A987" s="30">
        <v>986</v>
      </c>
      <c r="B987" s="31">
        <v>40587</v>
      </c>
      <c r="C987" s="30">
        <v>17</v>
      </c>
      <c r="D987" s="37" t="s">
        <v>29</v>
      </c>
      <c r="E987" s="37" t="b">
        <v>0</v>
      </c>
      <c r="F987" s="37" t="s">
        <v>19</v>
      </c>
      <c r="G987" s="37" t="s">
        <v>8</v>
      </c>
      <c r="H987" s="37">
        <v>0.42</v>
      </c>
      <c r="I987" s="30">
        <v>0.42</v>
      </c>
      <c r="J987" s="37">
        <v>0.28000000000000003</v>
      </c>
      <c r="K987" s="37">
        <v>0.33</v>
      </c>
      <c r="L987" s="37">
        <v>30</v>
      </c>
      <c r="M987" s="37">
        <v>95</v>
      </c>
      <c r="N987" s="37">
        <v>125</v>
      </c>
    </row>
    <row r="988" spans="1:14">
      <c r="A988" s="30">
        <v>987</v>
      </c>
      <c r="B988" s="31">
        <v>40587</v>
      </c>
      <c r="C988" s="30">
        <v>18</v>
      </c>
      <c r="D988" s="37" t="s">
        <v>30</v>
      </c>
      <c r="E988" s="37" t="b">
        <v>0</v>
      </c>
      <c r="F988" s="37" t="s">
        <v>19</v>
      </c>
      <c r="G988" s="37" t="s">
        <v>8</v>
      </c>
      <c r="H988" s="37">
        <v>0.41</v>
      </c>
      <c r="I988" s="30">
        <v>0.4</v>
      </c>
      <c r="J988" s="37">
        <v>0.32</v>
      </c>
      <c r="K988" s="37">
        <v>0.3</v>
      </c>
      <c r="L988" s="37">
        <v>17</v>
      </c>
      <c r="M988" s="37">
        <v>78</v>
      </c>
      <c r="N988" s="37">
        <v>95</v>
      </c>
    </row>
    <row r="989" spans="1:14">
      <c r="A989" s="30">
        <v>988</v>
      </c>
      <c r="B989" s="31">
        <v>40587</v>
      </c>
      <c r="C989" s="30">
        <v>19</v>
      </c>
      <c r="D989" s="37" t="s">
        <v>30</v>
      </c>
      <c r="E989" s="37" t="b">
        <v>0</v>
      </c>
      <c r="F989" s="37" t="s">
        <v>19</v>
      </c>
      <c r="G989" s="37" t="s">
        <v>8</v>
      </c>
      <c r="H989" s="37">
        <v>0.41</v>
      </c>
      <c r="I989" s="30">
        <v>0.4</v>
      </c>
      <c r="J989" s="37">
        <v>0.35</v>
      </c>
      <c r="K989" s="37">
        <v>0.28000000000000003</v>
      </c>
      <c r="L989" s="37">
        <v>11</v>
      </c>
      <c r="M989" s="37">
        <v>50</v>
      </c>
      <c r="N989" s="37">
        <v>61</v>
      </c>
    </row>
    <row r="990" spans="1:14">
      <c r="A990" s="30">
        <v>989</v>
      </c>
      <c r="B990" s="31">
        <v>40587</v>
      </c>
      <c r="C990" s="30">
        <v>20</v>
      </c>
      <c r="D990" s="37" t="s">
        <v>30</v>
      </c>
      <c r="E990" s="37" t="b">
        <v>0</v>
      </c>
      <c r="F990" s="37" t="s">
        <v>19</v>
      </c>
      <c r="G990" s="37" t="s">
        <v>8</v>
      </c>
      <c r="H990" s="37">
        <v>0.41</v>
      </c>
      <c r="I990" s="30">
        <v>0.4</v>
      </c>
      <c r="J990" s="37">
        <v>0.35</v>
      </c>
      <c r="K990" s="37">
        <v>0.33</v>
      </c>
      <c r="L990" s="37">
        <v>15</v>
      </c>
      <c r="M990" s="37">
        <v>32</v>
      </c>
      <c r="N990" s="37">
        <v>47</v>
      </c>
    </row>
    <row r="991" spans="1:14">
      <c r="A991" s="30">
        <v>990</v>
      </c>
      <c r="B991" s="31">
        <v>40587</v>
      </c>
      <c r="C991" s="30">
        <v>21</v>
      </c>
      <c r="D991" s="37" t="s">
        <v>30</v>
      </c>
      <c r="E991" s="37" t="b">
        <v>0</v>
      </c>
      <c r="F991" s="37" t="s">
        <v>19</v>
      </c>
      <c r="G991" s="37" t="s">
        <v>8</v>
      </c>
      <c r="H991" s="37">
        <v>0.41</v>
      </c>
      <c r="I991" s="30">
        <v>0.4</v>
      </c>
      <c r="J991" s="37">
        <v>0.35</v>
      </c>
      <c r="K991" s="37">
        <v>0.36</v>
      </c>
      <c r="L991" s="37">
        <v>6</v>
      </c>
      <c r="M991" s="37">
        <v>45</v>
      </c>
      <c r="N991" s="37">
        <v>51</v>
      </c>
    </row>
    <row r="992" spans="1:14">
      <c r="A992" s="30">
        <v>991</v>
      </c>
      <c r="B992" s="31">
        <v>40587</v>
      </c>
      <c r="C992" s="30">
        <v>22</v>
      </c>
      <c r="D992" s="37" t="s">
        <v>30</v>
      </c>
      <c r="E992" s="37" t="b">
        <v>0</v>
      </c>
      <c r="F992" s="37" t="s">
        <v>19</v>
      </c>
      <c r="G992" s="37" t="s">
        <v>8</v>
      </c>
      <c r="H992" s="37">
        <v>0.41</v>
      </c>
      <c r="I992" s="30">
        <v>0.4</v>
      </c>
      <c r="J992" s="37">
        <v>0.35</v>
      </c>
      <c r="K992" s="37">
        <v>0.3</v>
      </c>
      <c r="L992" s="37">
        <v>5</v>
      </c>
      <c r="M992" s="37">
        <v>31</v>
      </c>
      <c r="N992" s="37">
        <v>36</v>
      </c>
    </row>
    <row r="993" spans="1:14">
      <c r="A993" s="30">
        <v>992</v>
      </c>
      <c r="B993" s="31">
        <v>40587</v>
      </c>
      <c r="C993" s="30">
        <v>23</v>
      </c>
      <c r="D993" s="37" t="s">
        <v>30</v>
      </c>
      <c r="E993" s="37" t="b">
        <v>0</v>
      </c>
      <c r="F993" s="37" t="s">
        <v>19</v>
      </c>
      <c r="G993" s="37" t="s">
        <v>8</v>
      </c>
      <c r="H993" s="37">
        <v>0.41</v>
      </c>
      <c r="I993" s="30">
        <v>0.4</v>
      </c>
      <c r="J993" s="37">
        <v>0.35</v>
      </c>
      <c r="K993" s="37">
        <v>0.36</v>
      </c>
      <c r="L993" s="37">
        <v>3</v>
      </c>
      <c r="M993" s="37">
        <v>27</v>
      </c>
      <c r="N993" s="37">
        <v>30</v>
      </c>
    </row>
    <row r="994" spans="1:14">
      <c r="A994" s="30">
        <v>993</v>
      </c>
      <c r="B994" s="31">
        <v>40588</v>
      </c>
      <c r="C994" s="30">
        <v>0</v>
      </c>
      <c r="D994" s="37" t="s">
        <v>27</v>
      </c>
      <c r="E994" s="37" t="b">
        <v>0</v>
      </c>
      <c r="F994" s="37" t="s">
        <v>20</v>
      </c>
      <c r="G994" s="37" t="s">
        <v>8</v>
      </c>
      <c r="H994" s="37">
        <v>0.39</v>
      </c>
      <c r="I994" s="30">
        <v>0.38</v>
      </c>
      <c r="J994" s="37">
        <v>0.37</v>
      </c>
      <c r="K994" s="37">
        <v>0.36</v>
      </c>
      <c r="L994" s="37">
        <v>3</v>
      </c>
      <c r="M994" s="37">
        <v>8</v>
      </c>
      <c r="N994" s="37">
        <v>11</v>
      </c>
    </row>
    <row r="995" spans="1:14">
      <c r="A995" s="30">
        <v>994</v>
      </c>
      <c r="B995" s="31">
        <v>40588</v>
      </c>
      <c r="C995" s="30">
        <v>1</v>
      </c>
      <c r="D995" s="37" t="s">
        <v>27</v>
      </c>
      <c r="E995" s="37" t="b">
        <v>0</v>
      </c>
      <c r="F995" s="37" t="s">
        <v>20</v>
      </c>
      <c r="G995" s="37" t="s">
        <v>8</v>
      </c>
      <c r="H995" s="37">
        <v>0.39</v>
      </c>
      <c r="I995" s="30">
        <v>0.38</v>
      </c>
      <c r="J995" s="37">
        <v>0.37</v>
      </c>
      <c r="K995" s="37">
        <v>0.36</v>
      </c>
      <c r="L995" s="37">
        <v>1</v>
      </c>
      <c r="M995" s="37">
        <v>6</v>
      </c>
      <c r="N995" s="37">
        <v>7</v>
      </c>
    </row>
    <row r="996" spans="1:14">
      <c r="A996" s="30">
        <v>995</v>
      </c>
      <c r="B996" s="31">
        <v>40588</v>
      </c>
      <c r="C996" s="30">
        <v>2</v>
      </c>
      <c r="D996" s="37" t="s">
        <v>27</v>
      </c>
      <c r="E996" s="37" t="b">
        <v>0</v>
      </c>
      <c r="F996" s="37" t="s">
        <v>20</v>
      </c>
      <c r="G996" s="37" t="s">
        <v>8</v>
      </c>
      <c r="H996" s="37">
        <v>0.33</v>
      </c>
      <c r="I996" s="30">
        <v>0.36</v>
      </c>
      <c r="J996" s="37">
        <v>0.4</v>
      </c>
      <c r="K996" s="37">
        <v>0.3</v>
      </c>
      <c r="L996" s="37">
        <v>0</v>
      </c>
      <c r="M996" s="37">
        <v>2</v>
      </c>
      <c r="N996" s="37">
        <v>2</v>
      </c>
    </row>
    <row r="997" spans="1:14">
      <c r="A997" s="30">
        <v>996</v>
      </c>
      <c r="B997" s="31">
        <v>40588</v>
      </c>
      <c r="C997" s="30">
        <v>3</v>
      </c>
      <c r="D997" s="37" t="s">
        <v>27</v>
      </c>
      <c r="E997" s="37" t="b">
        <v>0</v>
      </c>
      <c r="F997" s="37" t="s">
        <v>20</v>
      </c>
      <c r="G997" s="37" t="s">
        <v>8</v>
      </c>
      <c r="H997" s="37">
        <v>0.32</v>
      </c>
      <c r="I997" s="30">
        <v>0.34</v>
      </c>
      <c r="J997" s="37">
        <v>0.46</v>
      </c>
      <c r="K997" s="37">
        <v>0.22</v>
      </c>
      <c r="L997" s="37">
        <v>1</v>
      </c>
      <c r="M997" s="37">
        <v>1</v>
      </c>
      <c r="N997" s="37">
        <v>2</v>
      </c>
    </row>
    <row r="998" spans="1:14">
      <c r="A998" s="30">
        <v>997</v>
      </c>
      <c r="B998" s="31">
        <v>40588</v>
      </c>
      <c r="C998" s="30">
        <v>4</v>
      </c>
      <c r="D998" s="37" t="s">
        <v>27</v>
      </c>
      <c r="E998" s="37" t="b">
        <v>0</v>
      </c>
      <c r="F998" s="37" t="s">
        <v>20</v>
      </c>
      <c r="G998" s="37" t="s">
        <v>8</v>
      </c>
      <c r="H998" s="37">
        <v>0.3</v>
      </c>
      <c r="I998" s="30">
        <v>0.32</v>
      </c>
      <c r="J998" s="37">
        <v>0.53</v>
      </c>
      <c r="K998" s="37">
        <v>0.28000000000000003</v>
      </c>
      <c r="L998" s="37">
        <v>0</v>
      </c>
      <c r="M998" s="37">
        <v>2</v>
      </c>
      <c r="N998" s="37">
        <v>2</v>
      </c>
    </row>
    <row r="999" spans="1:14">
      <c r="A999" s="30">
        <v>998</v>
      </c>
      <c r="B999" s="31">
        <v>40588</v>
      </c>
      <c r="C999" s="30">
        <v>5</v>
      </c>
      <c r="D999" s="37" t="s">
        <v>27</v>
      </c>
      <c r="E999" s="37" t="b">
        <v>0</v>
      </c>
      <c r="F999" s="37" t="s">
        <v>20</v>
      </c>
      <c r="G999" s="37" t="s">
        <v>8</v>
      </c>
      <c r="H999" s="37">
        <v>0.3</v>
      </c>
      <c r="I999" s="30">
        <v>0.32</v>
      </c>
      <c r="J999" s="37">
        <v>0.53</v>
      </c>
      <c r="K999" s="37">
        <v>0.28000000000000003</v>
      </c>
      <c r="L999" s="37">
        <v>0</v>
      </c>
      <c r="M999" s="37">
        <v>3</v>
      </c>
      <c r="N999" s="37">
        <v>3</v>
      </c>
    </row>
    <row r="1000" spans="1:14">
      <c r="A1000" s="30">
        <v>999</v>
      </c>
      <c r="B1000" s="31">
        <v>40588</v>
      </c>
      <c r="C1000" s="30">
        <v>6</v>
      </c>
      <c r="D1000" s="37" t="s">
        <v>28</v>
      </c>
      <c r="E1000" s="37" t="b">
        <v>0</v>
      </c>
      <c r="F1000" s="37" t="s">
        <v>20</v>
      </c>
      <c r="G1000" s="37" t="s">
        <v>8</v>
      </c>
      <c r="H1000" s="37">
        <v>0.3</v>
      </c>
      <c r="I1000" s="30">
        <v>0.34</v>
      </c>
      <c r="J1000" s="37">
        <v>0.46</v>
      </c>
      <c r="K1000" s="37">
        <v>0.3</v>
      </c>
      <c r="L1000" s="37">
        <v>1</v>
      </c>
      <c r="M1000" s="37">
        <v>25</v>
      </c>
      <c r="N1000" s="37">
        <v>26</v>
      </c>
    </row>
    <row r="1001" spans="1:14">
      <c r="A1001" s="30">
        <v>1000</v>
      </c>
      <c r="B1001" s="31">
        <v>40588</v>
      </c>
      <c r="C1001" s="30">
        <v>7</v>
      </c>
      <c r="D1001" s="37" t="s">
        <v>28</v>
      </c>
      <c r="E1001" s="37" t="b">
        <v>0</v>
      </c>
      <c r="F1001" s="37" t="s">
        <v>20</v>
      </c>
      <c r="G1001" s="37" t="s">
        <v>8</v>
      </c>
      <c r="H1001" s="37">
        <v>0.3</v>
      </c>
      <c r="I1001" s="30">
        <v>0.34</v>
      </c>
      <c r="J1001" s="37">
        <v>0.46</v>
      </c>
      <c r="K1001" s="37">
        <v>0.3</v>
      </c>
      <c r="L1001" s="37">
        <v>2</v>
      </c>
      <c r="M1001" s="37">
        <v>96</v>
      </c>
      <c r="N1001" s="37">
        <v>98</v>
      </c>
    </row>
  </sheetData>
  <mergeCells count="3">
    <mergeCell ref="P9:R9"/>
    <mergeCell ref="T9:V9"/>
    <mergeCell ref="T2:V2"/>
  </mergeCells>
  <conditionalFormatting sqref="J2:J1001">
    <cfRule type="dataBar" priority="2">
      <dataBar>
        <cfvo type="min"/>
        <cfvo type="max"/>
        <color rgb="FFFFB628"/>
      </dataBar>
      <extLst>
        <ext xmlns:x14="http://schemas.microsoft.com/office/spreadsheetml/2009/9/main" uri="{B025F937-C7B1-47D3-B67F-A62EFF666E3E}">
          <x14:id>{57CEE38A-FF10-4C81-8D56-A28E6751CD0E}</x14:id>
        </ext>
      </extLst>
    </cfRule>
  </conditionalFormatting>
  <conditionalFormatting sqref="K2:K1001">
    <cfRule type="dataBar" priority="1">
      <dataBar>
        <cfvo type="min"/>
        <cfvo type="max"/>
        <color rgb="FF63C384"/>
      </dataBar>
      <extLst>
        <ext xmlns:x14="http://schemas.microsoft.com/office/spreadsheetml/2009/9/main" uri="{B025F937-C7B1-47D3-B67F-A62EFF666E3E}">
          <x14:id>{EA76D863-6A5F-4C61-994E-B7427C678D1B}</x14:id>
        </ext>
      </extLst>
    </cfRule>
  </conditionalFormatting>
  <conditionalFormatting sqref="N1:N1048576">
    <cfRule type="dataBar" priority="3">
      <dataBar>
        <cfvo type="min"/>
        <cfvo type="max"/>
        <color rgb="FF638EC6"/>
      </dataBar>
      <extLst>
        <ext xmlns:x14="http://schemas.microsoft.com/office/spreadsheetml/2009/9/main" uri="{B025F937-C7B1-47D3-B67F-A62EFF666E3E}">
          <x14:id>{A9A72C78-5DD3-44B1-B33D-9DAE7A90418F}</x14:id>
        </ext>
      </extLst>
    </cfRule>
  </conditionalFormatting>
  <conditionalFormatting sqref="N1002:N1048576">
    <cfRule type="dataBar" priority="5">
      <dataBar>
        <cfvo type="min"/>
        <cfvo type="max"/>
        <color rgb="FF63C384"/>
      </dataBar>
      <extLst>
        <ext xmlns:x14="http://schemas.microsoft.com/office/spreadsheetml/2009/9/main" uri="{B025F937-C7B1-47D3-B67F-A62EFF666E3E}">
          <x14:id>{A51C1D1A-BDEA-49C3-A12F-593825C30989}</x14:id>
        </ext>
      </extLst>
    </cfRule>
    <cfRule type="dataBar" priority="7">
      <dataBar>
        <cfvo type="min"/>
        <cfvo type="max"/>
        <color rgb="FF63C384"/>
      </dataBar>
      <extLst>
        <ext xmlns:x14="http://schemas.microsoft.com/office/spreadsheetml/2009/9/main" uri="{B025F937-C7B1-47D3-B67F-A62EFF666E3E}">
          <x14:id>{070BDB6D-EC4F-46D1-884F-63411216B172}</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 operator="containsText" id="{A30643C5-F2B4-443C-AA1F-AC3E21CCA9AF}">
            <xm:f>NOT(ISERROR(SEARCH($G$587,G1)))</xm:f>
            <xm:f>$G$587</xm:f>
            <x14:dxf>
              <fill>
                <patternFill>
                  <bgColor rgb="FFFF0000"/>
                </patternFill>
              </fill>
            </x14:dxf>
          </x14:cfRule>
          <x14:cfRule type="containsText" priority="10" operator="containsText" id="{2B3ACA37-C001-4F30-BD48-0C956FABDBAF}">
            <xm:f>NOT(ISERROR(SEARCH($G$576,G1)))</xm:f>
            <xm:f>$G$576</xm:f>
            <x14:dxf>
              <font>
                <color rgb="FF9C0006"/>
              </font>
              <fill>
                <patternFill>
                  <bgColor rgb="FFFFC7CE"/>
                </patternFill>
              </fill>
            </x14:dxf>
          </x14:cfRule>
          <x14:cfRule type="containsText" priority="11" operator="containsText" id="{6A829B6E-69DA-41AC-A843-4198BC07AB43}">
            <xm:f>NOT(ISERROR(SEARCH($G$15,G1)))</xm:f>
            <xm:f>$G$15</xm:f>
            <x14:dxf>
              <font>
                <color rgb="FF9C5700"/>
              </font>
              <fill>
                <patternFill>
                  <bgColor rgb="FFFFEB9C"/>
                </patternFill>
              </fill>
            </x14:dxf>
          </x14:cfRule>
          <x14:cfRule type="containsText" priority="12" operator="containsText" id="{B01FC30C-FA5E-48CD-A7D8-901C3131F8EB}">
            <xm:f>NOT(ISERROR(SEARCH($G$2,G1)))</xm:f>
            <xm:f>$G$2</xm:f>
            <x14:dxf>
              <font>
                <color rgb="FF006100"/>
              </font>
              <fill>
                <patternFill>
                  <bgColor rgb="FFC6EFCE"/>
                </patternFill>
              </fill>
            </x14:dxf>
          </x14:cfRule>
          <xm:sqref>G1:H1 G2:G1001 G1002:H1048576</xm:sqref>
        </x14:conditionalFormatting>
        <x14:conditionalFormatting xmlns:xm="http://schemas.microsoft.com/office/excel/2006/main">
          <x14:cfRule type="dataBar" id="{57CEE38A-FF10-4C81-8D56-A28E6751CD0E}">
            <x14:dataBar minLength="0" maxLength="100" gradient="0">
              <x14:cfvo type="autoMin"/>
              <x14:cfvo type="autoMax"/>
              <x14:negativeFillColor rgb="FFFF0000"/>
              <x14:axisColor rgb="FF000000"/>
            </x14:dataBar>
          </x14:cfRule>
          <xm:sqref>J2:J1001</xm:sqref>
        </x14:conditionalFormatting>
        <x14:conditionalFormatting xmlns:xm="http://schemas.microsoft.com/office/excel/2006/main">
          <x14:cfRule type="dataBar" id="{EA76D863-6A5F-4C61-994E-B7427C678D1B}">
            <x14:dataBar minLength="0" maxLength="100" gradient="0">
              <x14:cfvo type="autoMin"/>
              <x14:cfvo type="autoMax"/>
              <x14:negativeFillColor rgb="FFFF0000"/>
              <x14:axisColor rgb="FF000000"/>
            </x14:dataBar>
          </x14:cfRule>
          <xm:sqref>K2:K1001</xm:sqref>
        </x14:conditionalFormatting>
        <x14:conditionalFormatting xmlns:xm="http://schemas.microsoft.com/office/excel/2006/main">
          <x14:cfRule type="dataBar" id="{A9A72C78-5DD3-44B1-B33D-9DAE7A90418F}">
            <x14:dataBar minLength="0" maxLength="100" gradient="0">
              <x14:cfvo type="autoMin"/>
              <x14:cfvo type="autoMax"/>
              <x14:negativeFillColor rgb="FFFF0000"/>
              <x14:axisColor rgb="FF000000"/>
            </x14:dataBar>
          </x14:cfRule>
          <xm:sqref>N1:N1048576</xm:sqref>
        </x14:conditionalFormatting>
        <x14:conditionalFormatting xmlns:xm="http://schemas.microsoft.com/office/excel/2006/main">
          <x14:cfRule type="dataBar" id="{A51C1D1A-BDEA-49C3-A12F-593825C3098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70BDB6D-EC4F-46D1-884F-63411216B172}">
            <x14:dataBar minLength="0" maxLength="100" border="1" negativeBarBorderColorSameAsPositive="0">
              <x14:cfvo type="autoMin"/>
              <x14:cfvo type="autoMax"/>
              <x14:borderColor rgb="FF63C384"/>
              <x14:negativeFillColor rgb="FFFF0000"/>
              <x14:negativeBorderColor rgb="FFFF0000"/>
              <x14:axisColor rgb="FF000000"/>
            </x14:dataBar>
          </x14:cfRule>
          <xm:sqref>N1002:N1048576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B55E-BAE0-4F78-8779-ED3B9AA82711}">
  <sheetPr codeName="Sheet5"/>
  <dimension ref="A1:R611"/>
  <sheetViews>
    <sheetView zoomScale="60" zoomScaleNormal="60" workbookViewId="0">
      <selection activeCell="D1" sqref="D1"/>
    </sheetView>
  </sheetViews>
  <sheetFormatPr defaultRowHeight="12.5"/>
  <cols>
    <col min="1" max="1" width="10.26953125" customWidth="1"/>
    <col min="2" max="2" width="12.26953125" customWidth="1"/>
    <col min="3" max="3" width="7.453125" customWidth="1"/>
    <col min="4" max="4" width="12.54296875" customWidth="1"/>
    <col min="5" max="5" width="10.54296875" customWidth="1"/>
    <col min="6" max="6" width="14.1796875" customWidth="1"/>
    <col min="7" max="7" width="17.36328125" customWidth="1"/>
    <col min="8" max="8" width="18" customWidth="1"/>
    <col min="9" max="9" width="19.1796875" customWidth="1"/>
    <col min="10" max="10" width="12" customWidth="1"/>
    <col min="11" max="11" width="11.453125" customWidth="1"/>
    <col min="12" max="12" width="7.453125" customWidth="1"/>
    <col min="13" max="13" width="10.1796875" customWidth="1"/>
    <col min="14" max="14" width="9.81640625" customWidth="1"/>
    <col min="16" max="16" width="26.81640625" customWidth="1"/>
    <col min="17" max="17" width="31.1796875" customWidth="1"/>
    <col min="18" max="18" width="29.26953125" customWidth="1"/>
  </cols>
  <sheetData>
    <row r="1" spans="1:18" s="39" customFormat="1">
      <c r="A1" s="39" t="s">
        <v>7</v>
      </c>
      <c r="B1" s="39" t="s">
        <v>32</v>
      </c>
      <c r="C1" s="39" t="s">
        <v>33</v>
      </c>
      <c r="D1" s="39" t="s">
        <v>26</v>
      </c>
      <c r="E1" s="39" t="s">
        <v>34</v>
      </c>
      <c r="F1" s="39" t="s">
        <v>35</v>
      </c>
      <c r="G1" s="39" t="s">
        <v>36</v>
      </c>
      <c r="H1" s="38" t="s">
        <v>37</v>
      </c>
      <c r="I1" s="35" t="s">
        <v>43</v>
      </c>
      <c r="J1" s="39" t="s">
        <v>38</v>
      </c>
      <c r="K1" s="39" t="s">
        <v>39</v>
      </c>
      <c r="L1" s="39" t="s">
        <v>40</v>
      </c>
      <c r="M1" s="39" t="s">
        <v>41</v>
      </c>
      <c r="N1" s="39" t="s">
        <v>42</v>
      </c>
    </row>
    <row r="2" spans="1:18">
      <c r="A2" s="30">
        <v>1</v>
      </c>
      <c r="B2" s="31">
        <v>40544</v>
      </c>
      <c r="C2" s="30">
        <v>0</v>
      </c>
      <c r="D2" s="37" t="s">
        <v>27</v>
      </c>
      <c r="E2" s="30" t="b">
        <v>0</v>
      </c>
      <c r="F2" s="37" t="s">
        <v>25</v>
      </c>
      <c r="G2" s="37" t="s">
        <v>8</v>
      </c>
      <c r="H2" s="30">
        <v>0.24</v>
      </c>
      <c r="I2" s="30">
        <v>0.28999999999999998</v>
      </c>
      <c r="J2" s="30">
        <v>0.81</v>
      </c>
      <c r="K2" s="30">
        <v>0</v>
      </c>
      <c r="L2" s="30">
        <v>3</v>
      </c>
      <c r="M2" s="30">
        <v>13</v>
      </c>
      <c r="N2" s="30">
        <v>16</v>
      </c>
    </row>
    <row r="3" spans="1:18" ht="13">
      <c r="A3" s="30">
        <v>2</v>
      </c>
      <c r="B3" s="31">
        <v>40544</v>
      </c>
      <c r="C3" s="30">
        <v>1</v>
      </c>
      <c r="D3" s="37" t="s">
        <v>27</v>
      </c>
      <c r="E3" s="30" t="b">
        <v>0</v>
      </c>
      <c r="F3" s="37" t="s">
        <v>25</v>
      </c>
      <c r="G3" s="37" t="s">
        <v>8</v>
      </c>
      <c r="H3" s="30">
        <v>0.22</v>
      </c>
      <c r="I3" s="30">
        <v>0.27</v>
      </c>
      <c r="J3" s="30">
        <v>0.8</v>
      </c>
      <c r="K3" s="30">
        <v>0</v>
      </c>
      <c r="L3" s="30">
        <v>8</v>
      </c>
      <c r="M3" s="30">
        <v>32</v>
      </c>
      <c r="N3" s="30">
        <v>40</v>
      </c>
      <c r="P3" s="88" t="s">
        <v>65</v>
      </c>
      <c r="Q3" s="88"/>
      <c r="R3" s="88"/>
    </row>
    <row r="4" spans="1:18" ht="13">
      <c r="A4" s="30">
        <v>3</v>
      </c>
      <c r="B4" s="31">
        <v>40544</v>
      </c>
      <c r="C4" s="30">
        <v>2</v>
      </c>
      <c r="D4" s="37" t="s">
        <v>27</v>
      </c>
      <c r="E4" s="30" t="b">
        <v>0</v>
      </c>
      <c r="F4" s="37" t="s">
        <v>25</v>
      </c>
      <c r="G4" s="37" t="s">
        <v>8</v>
      </c>
      <c r="H4" s="30">
        <v>0.22</v>
      </c>
      <c r="I4" s="30">
        <v>0.27</v>
      </c>
      <c r="J4" s="30">
        <v>0.8</v>
      </c>
      <c r="K4" s="30">
        <v>0</v>
      </c>
      <c r="L4" s="30">
        <v>5</v>
      </c>
      <c r="M4" s="30">
        <v>27</v>
      </c>
      <c r="N4" s="30">
        <v>32</v>
      </c>
      <c r="P4" s="52" t="s">
        <v>49</v>
      </c>
      <c r="Q4" s="52" t="s">
        <v>50</v>
      </c>
      <c r="R4" s="53" t="s">
        <v>51</v>
      </c>
    </row>
    <row r="5" spans="1:18">
      <c r="A5" s="30">
        <v>4</v>
      </c>
      <c r="B5" s="31">
        <v>40544</v>
      </c>
      <c r="C5" s="30">
        <v>3</v>
      </c>
      <c r="D5" s="37" t="s">
        <v>27</v>
      </c>
      <c r="E5" s="30" t="b">
        <v>0</v>
      </c>
      <c r="F5" s="37" t="s">
        <v>25</v>
      </c>
      <c r="G5" s="37" t="s">
        <v>8</v>
      </c>
      <c r="H5" s="30">
        <v>0.24</v>
      </c>
      <c r="I5" s="30">
        <v>0.28999999999999998</v>
      </c>
      <c r="J5" s="30">
        <v>0.75</v>
      </c>
      <c r="K5" s="30">
        <v>0</v>
      </c>
      <c r="L5" s="30">
        <v>3</v>
      </c>
      <c r="M5" s="30">
        <v>10</v>
      </c>
      <c r="N5" s="30">
        <v>13</v>
      </c>
      <c r="P5" s="49">
        <f>SUM(L:L)</f>
        <v>2746</v>
      </c>
      <c r="Q5" s="49">
        <f>SUM(M:M)</f>
        <v>31152</v>
      </c>
      <c r="R5" s="49">
        <f>SUM(N:N)</f>
        <v>33898</v>
      </c>
    </row>
    <row r="6" spans="1:18" ht="13">
      <c r="A6" s="30">
        <v>5</v>
      </c>
      <c r="B6" s="31">
        <v>40544</v>
      </c>
      <c r="C6" s="30">
        <v>4</v>
      </c>
      <c r="D6" s="37" t="s">
        <v>27</v>
      </c>
      <c r="E6" s="30" t="b">
        <v>0</v>
      </c>
      <c r="F6" s="37" t="s">
        <v>25</v>
      </c>
      <c r="G6" s="37" t="s">
        <v>8</v>
      </c>
      <c r="H6" s="30">
        <v>0.24</v>
      </c>
      <c r="I6" s="30">
        <v>0.28999999999999998</v>
      </c>
      <c r="J6" s="30">
        <v>0.75</v>
      </c>
      <c r="K6" s="30">
        <v>0</v>
      </c>
      <c r="L6" s="30">
        <v>0</v>
      </c>
      <c r="M6" s="30">
        <v>1</v>
      </c>
      <c r="N6" s="30">
        <v>1</v>
      </c>
      <c r="P6" s="53" t="s">
        <v>69</v>
      </c>
      <c r="Q6" s="53" t="s">
        <v>52</v>
      </c>
      <c r="R6" s="53" t="s">
        <v>53</v>
      </c>
    </row>
    <row r="7" spans="1:18">
      <c r="A7" s="30">
        <v>6</v>
      </c>
      <c r="B7" s="31">
        <v>40544</v>
      </c>
      <c r="C7" s="30">
        <v>5</v>
      </c>
      <c r="D7" s="37" t="s">
        <v>27</v>
      </c>
      <c r="E7" s="30" t="b">
        <v>0</v>
      </c>
      <c r="F7" s="37" t="s">
        <v>25</v>
      </c>
      <c r="G7" s="37" t="s">
        <v>9</v>
      </c>
      <c r="H7" s="30">
        <v>0.24</v>
      </c>
      <c r="I7" s="30">
        <v>0.26</v>
      </c>
      <c r="J7" s="30">
        <v>0.75</v>
      </c>
      <c r="K7" s="30">
        <v>0.09</v>
      </c>
      <c r="L7" s="30">
        <v>0</v>
      </c>
      <c r="M7" s="30">
        <v>1</v>
      </c>
      <c r="N7" s="30">
        <v>1</v>
      </c>
      <c r="P7" s="64">
        <f>AVERAGE(N:N)</f>
        <v>55.570491803278685</v>
      </c>
      <c r="Q7" s="49">
        <f>MAX(N:N)</f>
        <v>249</v>
      </c>
      <c r="R7" s="49">
        <f>MIN(N:N)</f>
        <v>1</v>
      </c>
    </row>
    <row r="8" spans="1:18" ht="13">
      <c r="A8" s="30">
        <v>7</v>
      </c>
      <c r="B8" s="31">
        <v>40544</v>
      </c>
      <c r="C8" s="30">
        <v>6</v>
      </c>
      <c r="D8" s="37" t="s">
        <v>28</v>
      </c>
      <c r="E8" s="30" t="b">
        <v>0</v>
      </c>
      <c r="F8" s="37" t="s">
        <v>25</v>
      </c>
      <c r="G8" s="37" t="s">
        <v>8</v>
      </c>
      <c r="H8" s="30">
        <v>0.22</v>
      </c>
      <c r="I8" s="30">
        <v>0.27</v>
      </c>
      <c r="J8" s="30">
        <v>0.8</v>
      </c>
      <c r="K8" s="30">
        <v>0</v>
      </c>
      <c r="L8" s="30">
        <v>2</v>
      </c>
      <c r="M8" s="30">
        <v>0</v>
      </c>
      <c r="N8" s="30">
        <v>2</v>
      </c>
      <c r="P8" s="53" t="s">
        <v>54</v>
      </c>
      <c r="Q8" s="53" t="s">
        <v>55</v>
      </c>
      <c r="R8" s="53" t="s">
        <v>56</v>
      </c>
    </row>
    <row r="9" spans="1:18">
      <c r="A9" s="30">
        <v>8</v>
      </c>
      <c r="B9" s="31">
        <v>40544</v>
      </c>
      <c r="C9" s="30">
        <v>7</v>
      </c>
      <c r="D9" s="37" t="s">
        <v>28</v>
      </c>
      <c r="E9" s="30" t="b">
        <v>0</v>
      </c>
      <c r="F9" s="37" t="s">
        <v>25</v>
      </c>
      <c r="G9" s="37" t="s">
        <v>8</v>
      </c>
      <c r="H9" s="30">
        <v>0.2</v>
      </c>
      <c r="I9" s="30">
        <v>0.26</v>
      </c>
      <c r="J9" s="30">
        <v>0.86</v>
      </c>
      <c r="K9" s="30">
        <v>0</v>
      </c>
      <c r="L9" s="30">
        <v>1</v>
      </c>
      <c r="M9" s="30">
        <v>2</v>
      </c>
      <c r="N9" s="30">
        <v>3</v>
      </c>
      <c r="P9" s="59">
        <f>MEDIAN(N:N)</f>
        <v>47</v>
      </c>
      <c r="Q9" s="60">
        <f>SUM(L:L)/SUM(N:N)*100</f>
        <v>8.1007729069561627</v>
      </c>
      <c r="R9" s="60">
        <f>SUM(M:M)/SUM(N:N)*100</f>
        <v>91.899227093043834</v>
      </c>
    </row>
    <row r="10" spans="1:18" ht="13">
      <c r="A10" s="30">
        <v>9</v>
      </c>
      <c r="B10" s="31">
        <v>40544</v>
      </c>
      <c r="C10" s="30">
        <v>8</v>
      </c>
      <c r="D10" s="37" t="s">
        <v>28</v>
      </c>
      <c r="E10" s="30" t="b">
        <v>0</v>
      </c>
      <c r="F10" s="37" t="s">
        <v>25</v>
      </c>
      <c r="G10" s="37" t="s">
        <v>8</v>
      </c>
      <c r="H10" s="30">
        <v>0.24</v>
      </c>
      <c r="I10" s="30">
        <v>0.2</v>
      </c>
      <c r="J10" s="30">
        <v>0.75</v>
      </c>
      <c r="K10" s="30">
        <v>0</v>
      </c>
      <c r="L10" s="30">
        <v>1</v>
      </c>
      <c r="M10" s="30">
        <v>7</v>
      </c>
      <c r="N10" s="30">
        <v>8</v>
      </c>
      <c r="P10" s="53" t="s">
        <v>31</v>
      </c>
      <c r="Q10" s="53" t="s">
        <v>63</v>
      </c>
      <c r="R10" s="53" t="s">
        <v>64</v>
      </c>
    </row>
    <row r="11" spans="1:18">
      <c r="A11" s="30">
        <v>10</v>
      </c>
      <c r="B11" s="31">
        <v>40544</v>
      </c>
      <c r="C11" s="30">
        <v>9</v>
      </c>
      <c r="D11" s="37" t="s">
        <v>28</v>
      </c>
      <c r="E11" s="30" t="b">
        <v>0</v>
      </c>
      <c r="F11" s="37" t="s">
        <v>25</v>
      </c>
      <c r="G11" s="37" t="s">
        <v>8</v>
      </c>
      <c r="H11" s="30">
        <v>0.32</v>
      </c>
      <c r="I11" s="30">
        <v>0.35</v>
      </c>
      <c r="J11" s="30">
        <v>0.76</v>
      </c>
      <c r="K11" s="30">
        <v>0</v>
      </c>
      <c r="L11" s="30">
        <v>8</v>
      </c>
      <c r="M11" s="30">
        <v>6</v>
      </c>
      <c r="N11" s="30">
        <v>14</v>
      </c>
      <c r="P11" s="60">
        <f>AVERAGE(H:H)</f>
        <v>0.19688524590163942</v>
      </c>
      <c r="Q11" s="60">
        <f>MAX(H:H)</f>
        <v>0.46</v>
      </c>
      <c r="R11" s="60">
        <f>MIN(H:H)</f>
        <v>0.02</v>
      </c>
    </row>
    <row r="12" spans="1:18" ht="13">
      <c r="A12" s="30">
        <v>11</v>
      </c>
      <c r="B12" s="31">
        <v>40544</v>
      </c>
      <c r="C12" s="30">
        <v>10</v>
      </c>
      <c r="D12" s="37" t="s">
        <v>28</v>
      </c>
      <c r="E12" s="30" t="b">
        <v>0</v>
      </c>
      <c r="F12" s="37" t="s">
        <v>25</v>
      </c>
      <c r="G12" s="37" t="s">
        <v>8</v>
      </c>
      <c r="H12" s="30">
        <v>0.38</v>
      </c>
      <c r="I12" s="30">
        <v>0.39</v>
      </c>
      <c r="J12" s="30">
        <v>0.76</v>
      </c>
      <c r="K12" s="30">
        <v>0.25</v>
      </c>
      <c r="L12" s="30">
        <v>12</v>
      </c>
      <c r="M12" s="30">
        <v>24</v>
      </c>
      <c r="N12" s="30">
        <v>36</v>
      </c>
      <c r="P12" s="54" t="s">
        <v>67</v>
      </c>
      <c r="Q12" s="53" t="s">
        <v>66</v>
      </c>
      <c r="R12" s="53" t="s">
        <v>68</v>
      </c>
    </row>
    <row r="13" spans="1:18">
      <c r="A13" s="30">
        <v>12</v>
      </c>
      <c r="B13" s="31">
        <v>40544</v>
      </c>
      <c r="C13" s="30">
        <v>11</v>
      </c>
      <c r="D13" s="37" t="s">
        <v>28</v>
      </c>
      <c r="E13" s="30" t="b">
        <v>0</v>
      </c>
      <c r="F13" s="37" t="s">
        <v>25</v>
      </c>
      <c r="G13" s="37" t="s">
        <v>8</v>
      </c>
      <c r="H13" s="30">
        <v>0.36</v>
      </c>
      <c r="I13" s="30">
        <v>0.33</v>
      </c>
      <c r="J13" s="30">
        <v>0.81</v>
      </c>
      <c r="K13" s="30">
        <v>0.28000000000000003</v>
      </c>
      <c r="L13" s="30">
        <v>26</v>
      </c>
      <c r="M13" s="30">
        <v>30</v>
      </c>
      <c r="N13" s="30">
        <v>56</v>
      </c>
      <c r="P13" s="60">
        <f>AVERAGE(K:K)</f>
        <v>0.20273770491803203</v>
      </c>
      <c r="Q13" s="49">
        <f>MAX(K:K)</f>
        <v>0.57999999999999996</v>
      </c>
      <c r="R13" s="49">
        <f>MIN(K:K)</f>
        <v>0</v>
      </c>
    </row>
    <row r="14" spans="1:18" ht="26">
      <c r="A14" s="30">
        <v>13</v>
      </c>
      <c r="B14" s="31">
        <v>40544</v>
      </c>
      <c r="C14" s="30">
        <v>12</v>
      </c>
      <c r="D14" s="37" t="s">
        <v>29</v>
      </c>
      <c r="E14" s="30" t="b">
        <v>0</v>
      </c>
      <c r="F14" s="37" t="s">
        <v>25</v>
      </c>
      <c r="G14" s="37" t="s">
        <v>8</v>
      </c>
      <c r="H14" s="30">
        <v>0.42</v>
      </c>
      <c r="I14" s="30">
        <v>0.42</v>
      </c>
      <c r="J14" s="30">
        <v>0.77</v>
      </c>
      <c r="K14" s="30">
        <v>0.28000000000000003</v>
      </c>
      <c r="L14" s="30">
        <v>29</v>
      </c>
      <c r="M14" s="30">
        <v>55</v>
      </c>
      <c r="N14" s="30">
        <v>84</v>
      </c>
      <c r="P14" s="52" t="s">
        <v>70</v>
      </c>
      <c r="Q14" s="52" t="s">
        <v>71</v>
      </c>
      <c r="R14" s="52" t="s">
        <v>72</v>
      </c>
    </row>
    <row r="15" spans="1:18">
      <c r="A15" s="30">
        <v>14</v>
      </c>
      <c r="B15" s="31">
        <v>40544</v>
      </c>
      <c r="C15" s="30">
        <v>13</v>
      </c>
      <c r="D15" s="37" t="s">
        <v>29</v>
      </c>
      <c r="E15" s="30" t="b">
        <v>0</v>
      </c>
      <c r="F15" s="37" t="s">
        <v>25</v>
      </c>
      <c r="G15" s="37" t="s">
        <v>9</v>
      </c>
      <c r="H15" s="30">
        <v>0.46</v>
      </c>
      <c r="I15" s="30">
        <v>0.45</v>
      </c>
      <c r="J15" s="30">
        <v>0.72</v>
      </c>
      <c r="K15" s="30">
        <v>0.3</v>
      </c>
      <c r="L15" s="30">
        <v>47</v>
      </c>
      <c r="M15" s="30">
        <v>47</v>
      </c>
      <c r="N15" s="30">
        <v>94</v>
      </c>
      <c r="P15" s="63">
        <f>CORREL(H:H,N:N)</f>
        <v>0.19970068149675596</v>
      </c>
      <c r="Q15" s="63">
        <f>CORREL(J:J,N:N)</f>
        <v>-0.24387606342151705</v>
      </c>
      <c r="R15" s="63">
        <f>CORREL(K:K,N:N)</f>
        <v>5.2388254167855849E-2</v>
      </c>
    </row>
    <row r="16" spans="1:18" ht="26">
      <c r="A16" s="30">
        <v>15</v>
      </c>
      <c r="B16" s="31">
        <v>40544</v>
      </c>
      <c r="C16" s="30">
        <v>14</v>
      </c>
      <c r="D16" s="37" t="s">
        <v>29</v>
      </c>
      <c r="E16" s="30" t="b">
        <v>0</v>
      </c>
      <c r="F16" s="37" t="s">
        <v>25</v>
      </c>
      <c r="G16" s="37" t="s">
        <v>9</v>
      </c>
      <c r="H16" s="30">
        <v>0.46</v>
      </c>
      <c r="I16" s="30">
        <v>0.45</v>
      </c>
      <c r="J16" s="30">
        <v>0.72</v>
      </c>
      <c r="K16" s="30">
        <v>0.28000000000000003</v>
      </c>
      <c r="L16" s="30">
        <v>35</v>
      </c>
      <c r="M16" s="30">
        <v>71</v>
      </c>
      <c r="N16" s="30">
        <v>106</v>
      </c>
      <c r="P16" s="52" t="s">
        <v>73</v>
      </c>
      <c r="Q16" s="62"/>
      <c r="R16" s="49"/>
    </row>
    <row r="17" spans="1:18">
      <c r="A17" s="30">
        <v>16</v>
      </c>
      <c r="B17" s="31">
        <v>40544</v>
      </c>
      <c r="C17" s="30">
        <v>15</v>
      </c>
      <c r="D17" s="37" t="s">
        <v>29</v>
      </c>
      <c r="E17" s="30" t="b">
        <v>0</v>
      </c>
      <c r="F17" s="37" t="s">
        <v>25</v>
      </c>
      <c r="G17" s="37" t="s">
        <v>9</v>
      </c>
      <c r="H17" s="30">
        <v>0.44</v>
      </c>
      <c r="I17" s="30">
        <v>0.44</v>
      </c>
      <c r="J17" s="30">
        <v>0.77</v>
      </c>
      <c r="K17" s="30">
        <v>0.3</v>
      </c>
      <c r="L17" s="30">
        <v>40</v>
      </c>
      <c r="M17" s="30">
        <v>70</v>
      </c>
      <c r="N17" s="30">
        <v>110</v>
      </c>
      <c r="P17" s="63">
        <f>CORREL(I:I,N:N)</f>
        <v>0.1889706549536195</v>
      </c>
      <c r="Q17" s="49"/>
      <c r="R17" s="49"/>
    </row>
    <row r="18" spans="1:18">
      <c r="A18" s="30">
        <v>17</v>
      </c>
      <c r="B18" s="31">
        <v>40544</v>
      </c>
      <c r="C18" s="30">
        <v>16</v>
      </c>
      <c r="D18" s="37" t="s">
        <v>29</v>
      </c>
      <c r="E18" s="30" t="b">
        <v>0</v>
      </c>
      <c r="F18" s="37" t="s">
        <v>25</v>
      </c>
      <c r="G18" s="37" t="s">
        <v>9</v>
      </c>
      <c r="H18" s="30">
        <v>0.42</v>
      </c>
      <c r="I18" s="30">
        <v>0.42</v>
      </c>
      <c r="J18" s="30">
        <v>0.82</v>
      </c>
      <c r="K18" s="30">
        <v>0.3</v>
      </c>
      <c r="L18" s="30">
        <v>41</v>
      </c>
      <c r="M18" s="30">
        <v>52</v>
      </c>
      <c r="N18" s="30">
        <v>93</v>
      </c>
    </row>
    <row r="19" spans="1:18">
      <c r="A19" s="30">
        <v>18</v>
      </c>
      <c r="B19" s="31">
        <v>40544</v>
      </c>
      <c r="C19" s="30">
        <v>17</v>
      </c>
      <c r="D19" s="37" t="s">
        <v>29</v>
      </c>
      <c r="E19" s="30" t="b">
        <v>0</v>
      </c>
      <c r="F19" s="37" t="s">
        <v>25</v>
      </c>
      <c r="G19" s="37" t="s">
        <v>9</v>
      </c>
      <c r="H19" s="30">
        <v>0.44</v>
      </c>
      <c r="I19" s="30">
        <v>0.2</v>
      </c>
      <c r="J19" s="30">
        <v>0.82</v>
      </c>
      <c r="K19" s="30">
        <v>0.28000000000000003</v>
      </c>
      <c r="L19" s="30">
        <v>15</v>
      </c>
      <c r="M19" s="30">
        <v>52</v>
      </c>
      <c r="N19" s="30">
        <v>67</v>
      </c>
    </row>
    <row r="20" spans="1:18">
      <c r="A20" s="30">
        <v>19</v>
      </c>
      <c r="B20" s="31">
        <v>40544</v>
      </c>
      <c r="C20" s="30">
        <v>18</v>
      </c>
      <c r="D20" s="37" t="s">
        <v>30</v>
      </c>
      <c r="E20" s="30" t="b">
        <v>0</v>
      </c>
      <c r="F20" s="37" t="s">
        <v>25</v>
      </c>
      <c r="G20" s="37" t="s">
        <v>10</v>
      </c>
      <c r="H20" s="30">
        <v>0.42</v>
      </c>
      <c r="I20" s="30">
        <v>0.42</v>
      </c>
      <c r="J20" s="30">
        <v>0.88</v>
      </c>
      <c r="K20" s="30">
        <v>0.25</v>
      </c>
      <c r="L20" s="30">
        <v>9</v>
      </c>
      <c r="M20" s="30">
        <v>26</v>
      </c>
      <c r="N20" s="30">
        <v>35</v>
      </c>
    </row>
    <row r="21" spans="1:18">
      <c r="A21" s="30">
        <v>20</v>
      </c>
      <c r="B21" s="31">
        <v>40544</v>
      </c>
      <c r="C21" s="30">
        <v>19</v>
      </c>
      <c r="D21" s="37" t="s">
        <v>30</v>
      </c>
      <c r="E21" s="30" t="b">
        <v>0</v>
      </c>
      <c r="F21" s="37" t="s">
        <v>25</v>
      </c>
      <c r="G21" s="37" t="s">
        <v>10</v>
      </c>
      <c r="H21" s="30">
        <v>0.42</v>
      </c>
      <c r="I21" s="30">
        <v>0.42</v>
      </c>
      <c r="J21" s="30">
        <v>0.88</v>
      </c>
      <c r="K21" s="30">
        <v>0.25</v>
      </c>
      <c r="L21" s="30">
        <v>6</v>
      </c>
      <c r="M21" s="30">
        <v>31</v>
      </c>
      <c r="N21" s="30">
        <v>37</v>
      </c>
    </row>
    <row r="22" spans="1:18">
      <c r="A22" s="30">
        <v>21</v>
      </c>
      <c r="B22" s="31">
        <v>40544</v>
      </c>
      <c r="C22" s="30">
        <v>20</v>
      </c>
      <c r="D22" s="37" t="s">
        <v>30</v>
      </c>
      <c r="E22" s="30" t="b">
        <v>0</v>
      </c>
      <c r="F22" s="37" t="s">
        <v>25</v>
      </c>
      <c r="G22" s="37" t="s">
        <v>9</v>
      </c>
      <c r="H22" s="30">
        <v>0.4</v>
      </c>
      <c r="I22" s="30">
        <v>0.41</v>
      </c>
      <c r="J22" s="30">
        <v>0.87</v>
      </c>
      <c r="K22" s="30">
        <v>0.25</v>
      </c>
      <c r="L22" s="30">
        <v>11</v>
      </c>
      <c r="M22" s="30">
        <v>25</v>
      </c>
      <c r="N22" s="30">
        <v>36</v>
      </c>
    </row>
    <row r="23" spans="1:18">
      <c r="A23" s="30">
        <v>22</v>
      </c>
      <c r="B23" s="31">
        <v>40544</v>
      </c>
      <c r="C23" s="30">
        <v>21</v>
      </c>
      <c r="D23" s="37" t="s">
        <v>30</v>
      </c>
      <c r="E23" s="30" t="b">
        <v>0</v>
      </c>
      <c r="F23" s="37" t="s">
        <v>25</v>
      </c>
      <c r="G23" s="37" t="s">
        <v>9</v>
      </c>
      <c r="H23" s="30">
        <v>0.4</v>
      </c>
      <c r="I23" s="30">
        <v>0.41</v>
      </c>
      <c r="J23" s="30">
        <v>0.87</v>
      </c>
      <c r="K23" s="30">
        <v>0.19</v>
      </c>
      <c r="L23" s="30">
        <v>3</v>
      </c>
      <c r="M23" s="30">
        <v>31</v>
      </c>
      <c r="N23" s="30">
        <v>34</v>
      </c>
    </row>
    <row r="24" spans="1:18">
      <c r="A24" s="30">
        <v>23</v>
      </c>
      <c r="B24" s="31">
        <v>40544</v>
      </c>
      <c r="C24" s="30">
        <v>22</v>
      </c>
      <c r="D24" s="37" t="s">
        <v>30</v>
      </c>
      <c r="E24" s="30" t="b">
        <v>0</v>
      </c>
      <c r="F24" s="37" t="s">
        <v>25</v>
      </c>
      <c r="G24" s="37" t="s">
        <v>9</v>
      </c>
      <c r="H24" s="30">
        <v>0.4</v>
      </c>
      <c r="I24" s="30">
        <v>0.41</v>
      </c>
      <c r="J24" s="30">
        <v>0.94</v>
      </c>
      <c r="K24" s="30">
        <v>0.22</v>
      </c>
      <c r="L24" s="30">
        <v>11</v>
      </c>
      <c r="M24" s="30">
        <v>17</v>
      </c>
      <c r="N24" s="30">
        <v>28</v>
      </c>
    </row>
    <row r="25" spans="1:18">
      <c r="A25" s="30">
        <v>24</v>
      </c>
      <c r="B25" s="31">
        <v>40544</v>
      </c>
      <c r="C25" s="30">
        <v>23</v>
      </c>
      <c r="D25" s="37" t="s">
        <v>30</v>
      </c>
      <c r="E25" s="30" t="b">
        <v>0</v>
      </c>
      <c r="F25" s="37" t="s">
        <v>25</v>
      </c>
      <c r="G25" s="37" t="s">
        <v>9</v>
      </c>
      <c r="H25" s="30">
        <v>0.46</v>
      </c>
      <c r="I25" s="30">
        <v>0.2</v>
      </c>
      <c r="J25" s="30">
        <v>0.88</v>
      </c>
      <c r="K25" s="30">
        <v>0.3</v>
      </c>
      <c r="L25" s="30">
        <v>15</v>
      </c>
      <c r="M25" s="30">
        <v>24</v>
      </c>
      <c r="N25" s="30">
        <v>39</v>
      </c>
    </row>
    <row r="26" spans="1:18">
      <c r="A26" s="30">
        <v>25</v>
      </c>
      <c r="B26" s="31">
        <v>40545</v>
      </c>
      <c r="C26" s="30">
        <v>0</v>
      </c>
      <c r="D26" s="37" t="s">
        <v>27</v>
      </c>
      <c r="E26" s="30" t="b">
        <v>0</v>
      </c>
      <c r="F26" s="37" t="s">
        <v>19</v>
      </c>
      <c r="G26" s="37" t="s">
        <v>9</v>
      </c>
      <c r="H26" s="30">
        <v>0.46</v>
      </c>
      <c r="I26" s="30">
        <v>0.45</v>
      </c>
      <c r="J26" s="30">
        <v>0.88</v>
      </c>
      <c r="K26" s="30">
        <v>0.3</v>
      </c>
      <c r="L26" s="30">
        <v>4</v>
      </c>
      <c r="M26" s="30">
        <v>13</v>
      </c>
      <c r="N26" s="30">
        <v>17</v>
      </c>
    </row>
    <row r="27" spans="1:18">
      <c r="A27" s="30">
        <v>26</v>
      </c>
      <c r="B27" s="31">
        <v>40545</v>
      </c>
      <c r="C27" s="30">
        <v>1</v>
      </c>
      <c r="D27" s="37" t="s">
        <v>27</v>
      </c>
      <c r="E27" s="30" t="b">
        <v>0</v>
      </c>
      <c r="F27" s="37" t="s">
        <v>19</v>
      </c>
      <c r="G27" s="37" t="s">
        <v>9</v>
      </c>
      <c r="H27" s="30">
        <v>0.44</v>
      </c>
      <c r="I27" s="30">
        <v>0.44</v>
      </c>
      <c r="J27" s="30">
        <v>0.94</v>
      </c>
      <c r="K27" s="30">
        <v>0.25</v>
      </c>
      <c r="L27" s="30">
        <v>1</v>
      </c>
      <c r="M27" s="30">
        <v>16</v>
      </c>
      <c r="N27" s="30">
        <v>17</v>
      </c>
    </row>
    <row r="28" spans="1:18">
      <c r="A28" s="30">
        <v>27</v>
      </c>
      <c r="B28" s="31">
        <v>40545</v>
      </c>
      <c r="C28" s="30">
        <v>2</v>
      </c>
      <c r="D28" s="37" t="s">
        <v>27</v>
      </c>
      <c r="E28" s="30" t="b">
        <v>0</v>
      </c>
      <c r="F28" s="37" t="s">
        <v>19</v>
      </c>
      <c r="G28" s="37" t="s">
        <v>9</v>
      </c>
      <c r="H28" s="30">
        <v>0.42</v>
      </c>
      <c r="I28" s="30">
        <v>0.42</v>
      </c>
      <c r="J28" s="30">
        <v>1</v>
      </c>
      <c r="K28" s="30">
        <v>0.28000000000000003</v>
      </c>
      <c r="L28" s="30">
        <v>1</v>
      </c>
      <c r="M28" s="30">
        <v>8</v>
      </c>
      <c r="N28" s="30">
        <v>9</v>
      </c>
    </row>
    <row r="29" spans="1:18">
      <c r="A29" s="30">
        <v>28</v>
      </c>
      <c r="B29" s="31">
        <v>40545</v>
      </c>
      <c r="C29" s="30">
        <v>3</v>
      </c>
      <c r="D29" s="37" t="s">
        <v>27</v>
      </c>
      <c r="E29" s="30" t="b">
        <v>0</v>
      </c>
      <c r="F29" s="37" t="s">
        <v>19</v>
      </c>
      <c r="G29" s="37" t="s">
        <v>9</v>
      </c>
      <c r="H29" s="30">
        <v>0.46</v>
      </c>
      <c r="I29" s="30">
        <v>0.45</v>
      </c>
      <c r="J29" s="30">
        <v>0.94</v>
      </c>
      <c r="K29" s="30">
        <v>0.19</v>
      </c>
      <c r="L29" s="30">
        <v>2</v>
      </c>
      <c r="M29" s="30">
        <v>4</v>
      </c>
      <c r="N29" s="30">
        <v>6</v>
      </c>
    </row>
    <row r="30" spans="1:18">
      <c r="A30" s="30">
        <v>29</v>
      </c>
      <c r="B30" s="31">
        <v>40545</v>
      </c>
      <c r="C30" s="30">
        <v>4</v>
      </c>
      <c r="D30" s="37" t="s">
        <v>27</v>
      </c>
      <c r="E30" s="30" t="b">
        <v>0</v>
      </c>
      <c r="F30" s="37" t="s">
        <v>19</v>
      </c>
      <c r="G30" s="37" t="s">
        <v>9</v>
      </c>
      <c r="H30" s="30">
        <v>0.46</v>
      </c>
      <c r="I30" s="30">
        <v>0.2</v>
      </c>
      <c r="J30" s="30">
        <v>0.94</v>
      </c>
      <c r="K30" s="30">
        <v>0.19</v>
      </c>
      <c r="L30" s="30">
        <v>2</v>
      </c>
      <c r="M30" s="30">
        <v>1</v>
      </c>
      <c r="N30" s="30">
        <v>3</v>
      </c>
    </row>
    <row r="31" spans="1:18">
      <c r="A31" s="30">
        <v>30</v>
      </c>
      <c r="B31" s="31">
        <v>40545</v>
      </c>
      <c r="C31" s="30">
        <v>6</v>
      </c>
      <c r="D31" s="37" t="s">
        <v>28</v>
      </c>
      <c r="E31" s="30" t="b">
        <v>0</v>
      </c>
      <c r="F31" s="37" t="s">
        <v>19</v>
      </c>
      <c r="G31" s="37" t="s">
        <v>10</v>
      </c>
      <c r="H31" s="30">
        <v>0.42</v>
      </c>
      <c r="I31" s="30">
        <v>0.42</v>
      </c>
      <c r="J31" s="30">
        <v>0.77</v>
      </c>
      <c r="K31" s="30">
        <v>0.3</v>
      </c>
      <c r="L31" s="30">
        <v>0</v>
      </c>
      <c r="M31" s="30">
        <v>2</v>
      </c>
      <c r="N31" s="30">
        <v>2</v>
      </c>
    </row>
    <row r="32" spans="1:18">
      <c r="A32" s="30">
        <v>31</v>
      </c>
      <c r="B32" s="31">
        <v>40545</v>
      </c>
      <c r="C32" s="30">
        <v>7</v>
      </c>
      <c r="D32" s="37" t="s">
        <v>28</v>
      </c>
      <c r="E32" s="30" t="b">
        <v>0</v>
      </c>
      <c r="F32" s="37" t="s">
        <v>19</v>
      </c>
      <c r="G32" s="37" t="s">
        <v>9</v>
      </c>
      <c r="H32" s="30">
        <v>0.4</v>
      </c>
      <c r="I32" s="30">
        <v>0.41</v>
      </c>
      <c r="J32" s="30">
        <v>0.76</v>
      </c>
      <c r="K32" s="30">
        <v>0.19</v>
      </c>
      <c r="L32" s="30">
        <v>0</v>
      </c>
      <c r="M32" s="30">
        <v>1</v>
      </c>
      <c r="N32" s="30">
        <v>1</v>
      </c>
    </row>
    <row r="33" spans="1:14">
      <c r="A33" s="30">
        <v>32</v>
      </c>
      <c r="B33" s="31">
        <v>40545</v>
      </c>
      <c r="C33" s="30">
        <v>8</v>
      </c>
      <c r="D33" s="37" t="s">
        <v>28</v>
      </c>
      <c r="E33" s="30" t="b">
        <v>0</v>
      </c>
      <c r="F33" s="37" t="s">
        <v>19</v>
      </c>
      <c r="G33" s="37" t="s">
        <v>10</v>
      </c>
      <c r="H33" s="30">
        <v>0.4</v>
      </c>
      <c r="I33" s="30">
        <v>0.41</v>
      </c>
      <c r="J33" s="30">
        <v>0.71</v>
      </c>
      <c r="K33" s="30">
        <v>0.22</v>
      </c>
      <c r="L33" s="30">
        <v>0</v>
      </c>
      <c r="M33" s="30">
        <v>8</v>
      </c>
      <c r="N33" s="30">
        <v>8</v>
      </c>
    </row>
    <row r="34" spans="1:14">
      <c r="A34" s="30">
        <v>33</v>
      </c>
      <c r="B34" s="31">
        <v>40545</v>
      </c>
      <c r="C34" s="30">
        <v>9</v>
      </c>
      <c r="D34" s="37" t="s">
        <v>28</v>
      </c>
      <c r="E34" s="30" t="b">
        <v>0</v>
      </c>
      <c r="F34" s="37" t="s">
        <v>19</v>
      </c>
      <c r="G34" s="37" t="s">
        <v>9</v>
      </c>
      <c r="H34" s="30">
        <v>0.38</v>
      </c>
      <c r="I34" s="30">
        <v>0.2</v>
      </c>
      <c r="J34" s="30">
        <v>0.76</v>
      </c>
      <c r="K34" s="30">
        <v>0.22</v>
      </c>
      <c r="L34" s="30">
        <v>1</v>
      </c>
      <c r="M34" s="30">
        <v>19</v>
      </c>
      <c r="N34" s="30">
        <v>20</v>
      </c>
    </row>
    <row r="35" spans="1:14">
      <c r="A35" s="30">
        <v>34</v>
      </c>
      <c r="B35" s="31">
        <v>40545</v>
      </c>
      <c r="C35" s="30">
        <v>10</v>
      </c>
      <c r="D35" s="37" t="s">
        <v>28</v>
      </c>
      <c r="E35" s="30" t="b">
        <v>0</v>
      </c>
      <c r="F35" s="37" t="s">
        <v>19</v>
      </c>
      <c r="G35" s="37" t="s">
        <v>9</v>
      </c>
      <c r="H35" s="30">
        <v>0.36</v>
      </c>
      <c r="I35" s="30">
        <v>0.35</v>
      </c>
      <c r="J35" s="30">
        <v>0.81</v>
      </c>
      <c r="K35" s="30">
        <v>0.22</v>
      </c>
      <c r="L35" s="30">
        <v>7</v>
      </c>
      <c r="M35" s="30">
        <v>46</v>
      </c>
      <c r="N35" s="30">
        <v>53</v>
      </c>
    </row>
    <row r="36" spans="1:14">
      <c r="A36" s="30">
        <v>35</v>
      </c>
      <c r="B36" s="31">
        <v>40545</v>
      </c>
      <c r="C36" s="30">
        <v>11</v>
      </c>
      <c r="D36" s="37" t="s">
        <v>28</v>
      </c>
      <c r="E36" s="30" t="b">
        <v>0</v>
      </c>
      <c r="F36" s="37" t="s">
        <v>19</v>
      </c>
      <c r="G36" s="37" t="s">
        <v>9</v>
      </c>
      <c r="H36" s="30">
        <v>0.36</v>
      </c>
      <c r="I36" s="30">
        <v>0.33</v>
      </c>
      <c r="J36" s="30">
        <v>0.71</v>
      </c>
      <c r="K36" s="30">
        <v>0.25</v>
      </c>
      <c r="L36" s="30">
        <v>16</v>
      </c>
      <c r="M36" s="30">
        <v>54</v>
      </c>
      <c r="N36" s="30">
        <v>70</v>
      </c>
    </row>
    <row r="37" spans="1:14">
      <c r="A37" s="30">
        <v>36</v>
      </c>
      <c r="B37" s="31">
        <v>40545</v>
      </c>
      <c r="C37" s="30">
        <v>12</v>
      </c>
      <c r="D37" s="37" t="s">
        <v>29</v>
      </c>
      <c r="E37" s="30" t="b">
        <v>0</v>
      </c>
      <c r="F37" s="37" t="s">
        <v>19</v>
      </c>
      <c r="G37" s="37" t="s">
        <v>9</v>
      </c>
      <c r="H37" s="30">
        <v>0.36</v>
      </c>
      <c r="I37" s="30">
        <v>0.33</v>
      </c>
      <c r="J37" s="30">
        <v>0.66</v>
      </c>
      <c r="K37" s="30">
        <v>0.3</v>
      </c>
      <c r="L37" s="30">
        <v>20</v>
      </c>
      <c r="M37" s="30">
        <v>73</v>
      </c>
      <c r="N37" s="30">
        <v>93</v>
      </c>
    </row>
    <row r="38" spans="1:14">
      <c r="A38" s="30">
        <v>37</v>
      </c>
      <c r="B38" s="31">
        <v>40545</v>
      </c>
      <c r="C38" s="30">
        <v>13</v>
      </c>
      <c r="D38" s="37" t="s">
        <v>29</v>
      </c>
      <c r="E38" s="30" t="b">
        <v>0</v>
      </c>
      <c r="F38" s="37" t="s">
        <v>19</v>
      </c>
      <c r="G38" s="37" t="s">
        <v>9</v>
      </c>
      <c r="H38" s="30">
        <v>0.36</v>
      </c>
      <c r="I38" s="30">
        <v>0.35</v>
      </c>
      <c r="J38" s="30">
        <v>0.66</v>
      </c>
      <c r="K38" s="30">
        <v>0.13</v>
      </c>
      <c r="L38" s="30">
        <v>11</v>
      </c>
      <c r="M38" s="30">
        <v>64</v>
      </c>
      <c r="N38" s="30">
        <v>75</v>
      </c>
    </row>
    <row r="39" spans="1:14">
      <c r="A39" s="30">
        <v>38</v>
      </c>
      <c r="B39" s="31">
        <v>40545</v>
      </c>
      <c r="C39" s="30">
        <v>14</v>
      </c>
      <c r="D39" s="37" t="s">
        <v>29</v>
      </c>
      <c r="E39" s="30" t="b">
        <v>0</v>
      </c>
      <c r="F39" s="37" t="s">
        <v>19</v>
      </c>
      <c r="G39" s="37" t="s">
        <v>10</v>
      </c>
      <c r="H39" s="30">
        <v>0.36</v>
      </c>
      <c r="I39" s="30">
        <v>0.2</v>
      </c>
      <c r="J39" s="30">
        <v>0.76</v>
      </c>
      <c r="K39" s="30">
        <v>0.19</v>
      </c>
      <c r="L39" s="30">
        <v>4</v>
      </c>
      <c r="M39" s="30">
        <v>55</v>
      </c>
      <c r="N39" s="30">
        <v>59</v>
      </c>
    </row>
    <row r="40" spans="1:14">
      <c r="A40" s="30">
        <v>39</v>
      </c>
      <c r="B40" s="31">
        <v>40545</v>
      </c>
      <c r="C40" s="30">
        <v>15</v>
      </c>
      <c r="D40" s="37" t="s">
        <v>29</v>
      </c>
      <c r="E40" s="30" t="b">
        <v>0</v>
      </c>
      <c r="F40" s="37" t="s">
        <v>19</v>
      </c>
      <c r="G40" s="37" t="s">
        <v>10</v>
      </c>
      <c r="H40" s="30">
        <v>0.34</v>
      </c>
      <c r="I40" s="30">
        <v>0.33</v>
      </c>
      <c r="J40" s="30">
        <v>0.81</v>
      </c>
      <c r="K40" s="30">
        <v>0.16</v>
      </c>
      <c r="L40" s="30">
        <v>19</v>
      </c>
      <c r="M40" s="30">
        <v>55</v>
      </c>
      <c r="N40" s="30">
        <v>74</v>
      </c>
    </row>
    <row r="41" spans="1:14">
      <c r="A41" s="30">
        <v>40</v>
      </c>
      <c r="B41" s="31">
        <v>40545</v>
      </c>
      <c r="C41" s="30">
        <v>16</v>
      </c>
      <c r="D41" s="37" t="s">
        <v>29</v>
      </c>
      <c r="E41" s="30" t="b">
        <v>0</v>
      </c>
      <c r="F41" s="37" t="s">
        <v>19</v>
      </c>
      <c r="G41" s="37" t="s">
        <v>10</v>
      </c>
      <c r="H41" s="30">
        <v>0.34</v>
      </c>
      <c r="I41" s="30">
        <v>0.33</v>
      </c>
      <c r="J41" s="30">
        <v>0.71</v>
      </c>
      <c r="K41" s="30">
        <v>0.16</v>
      </c>
      <c r="L41" s="30">
        <v>9</v>
      </c>
      <c r="M41" s="30">
        <v>67</v>
      </c>
      <c r="N41" s="30">
        <v>76</v>
      </c>
    </row>
    <row r="42" spans="1:14">
      <c r="A42" s="30">
        <v>41</v>
      </c>
      <c r="B42" s="31">
        <v>40545</v>
      </c>
      <c r="C42" s="30">
        <v>17</v>
      </c>
      <c r="D42" s="37" t="s">
        <v>29</v>
      </c>
      <c r="E42" s="30" t="b">
        <v>0</v>
      </c>
      <c r="F42" s="37" t="s">
        <v>19</v>
      </c>
      <c r="G42" s="37" t="s">
        <v>8</v>
      </c>
      <c r="H42" s="30">
        <v>0.34</v>
      </c>
      <c r="I42" s="30">
        <v>0.33</v>
      </c>
      <c r="J42" s="30">
        <v>0.56999999999999995</v>
      </c>
      <c r="K42" s="30">
        <v>0.19</v>
      </c>
      <c r="L42" s="30">
        <v>7</v>
      </c>
      <c r="M42" s="30">
        <v>58</v>
      </c>
      <c r="N42" s="30">
        <v>65</v>
      </c>
    </row>
    <row r="43" spans="1:14">
      <c r="A43" s="30">
        <v>42</v>
      </c>
      <c r="B43" s="31">
        <v>40545</v>
      </c>
      <c r="C43" s="30">
        <v>18</v>
      </c>
      <c r="D43" s="37" t="s">
        <v>30</v>
      </c>
      <c r="E43" s="30" t="b">
        <v>0</v>
      </c>
      <c r="F43" s="37" t="s">
        <v>19</v>
      </c>
      <c r="G43" s="37" t="s">
        <v>9</v>
      </c>
      <c r="H43" s="30">
        <v>0.36</v>
      </c>
      <c r="I43" s="30">
        <v>0.33</v>
      </c>
      <c r="J43" s="30">
        <v>0.46</v>
      </c>
      <c r="K43" s="30">
        <v>0.33</v>
      </c>
      <c r="L43" s="30">
        <v>10</v>
      </c>
      <c r="M43" s="30">
        <v>43</v>
      </c>
      <c r="N43" s="30">
        <v>53</v>
      </c>
    </row>
    <row r="44" spans="1:14">
      <c r="A44" s="30">
        <v>43</v>
      </c>
      <c r="B44" s="31">
        <v>40545</v>
      </c>
      <c r="C44" s="30">
        <v>19</v>
      </c>
      <c r="D44" s="37" t="s">
        <v>30</v>
      </c>
      <c r="E44" s="30" t="b">
        <v>0</v>
      </c>
      <c r="F44" s="37" t="s">
        <v>19</v>
      </c>
      <c r="G44" s="37" t="s">
        <v>8</v>
      </c>
      <c r="H44" s="30">
        <v>0.32</v>
      </c>
      <c r="I44" s="30">
        <v>0.28999999999999998</v>
      </c>
      <c r="J44" s="30">
        <v>0.42</v>
      </c>
      <c r="K44" s="30">
        <v>0.45</v>
      </c>
      <c r="L44" s="30">
        <v>1</v>
      </c>
      <c r="M44" s="30">
        <v>29</v>
      </c>
      <c r="N44" s="30">
        <v>30</v>
      </c>
    </row>
    <row r="45" spans="1:14">
      <c r="A45" s="30">
        <v>44</v>
      </c>
      <c r="B45" s="31">
        <v>40545</v>
      </c>
      <c r="C45" s="30">
        <v>20</v>
      </c>
      <c r="D45" s="37" t="s">
        <v>30</v>
      </c>
      <c r="E45" s="30" t="b">
        <v>0</v>
      </c>
      <c r="F45" s="37" t="s">
        <v>19</v>
      </c>
      <c r="G45" s="37" t="s">
        <v>8</v>
      </c>
      <c r="H45" s="30">
        <v>0.3</v>
      </c>
      <c r="I45" s="30">
        <v>0.2</v>
      </c>
      <c r="J45" s="30">
        <v>0.39</v>
      </c>
      <c r="K45" s="30">
        <v>0.36</v>
      </c>
      <c r="L45" s="30">
        <v>5</v>
      </c>
      <c r="M45" s="30">
        <v>17</v>
      </c>
      <c r="N45" s="30">
        <v>22</v>
      </c>
    </row>
    <row r="46" spans="1:14">
      <c r="A46" s="30">
        <v>45</v>
      </c>
      <c r="B46" s="31">
        <v>40545</v>
      </c>
      <c r="C46" s="30">
        <v>21</v>
      </c>
      <c r="D46" s="37" t="s">
        <v>30</v>
      </c>
      <c r="E46" s="30" t="b">
        <v>0</v>
      </c>
      <c r="F46" s="37" t="s">
        <v>19</v>
      </c>
      <c r="G46" s="37" t="s">
        <v>8</v>
      </c>
      <c r="H46" s="30">
        <v>0.26</v>
      </c>
      <c r="I46" s="30">
        <v>0.23</v>
      </c>
      <c r="J46" s="30">
        <v>0.44</v>
      </c>
      <c r="K46" s="30">
        <v>0.33</v>
      </c>
      <c r="L46" s="30">
        <v>11</v>
      </c>
      <c r="M46" s="30">
        <v>20</v>
      </c>
      <c r="N46" s="30">
        <v>31</v>
      </c>
    </row>
    <row r="47" spans="1:14">
      <c r="A47" s="30">
        <v>46</v>
      </c>
      <c r="B47" s="31">
        <v>40545</v>
      </c>
      <c r="C47" s="30">
        <v>22</v>
      </c>
      <c r="D47" s="37" t="s">
        <v>30</v>
      </c>
      <c r="E47" s="30" t="b">
        <v>0</v>
      </c>
      <c r="F47" s="37" t="s">
        <v>19</v>
      </c>
      <c r="G47" s="37" t="s">
        <v>8</v>
      </c>
      <c r="H47" s="30">
        <v>0.24</v>
      </c>
      <c r="I47" s="30">
        <v>0.21</v>
      </c>
      <c r="J47" s="30">
        <v>0.44</v>
      </c>
      <c r="K47" s="30">
        <v>0.3</v>
      </c>
      <c r="L47" s="30">
        <v>0</v>
      </c>
      <c r="M47" s="30">
        <v>9</v>
      </c>
      <c r="N47" s="30">
        <v>9</v>
      </c>
    </row>
    <row r="48" spans="1:14">
      <c r="A48" s="30">
        <v>47</v>
      </c>
      <c r="B48" s="31">
        <v>40545</v>
      </c>
      <c r="C48" s="30">
        <v>23</v>
      </c>
      <c r="D48" s="37" t="s">
        <v>30</v>
      </c>
      <c r="E48" s="30" t="b">
        <v>0</v>
      </c>
      <c r="F48" s="37" t="s">
        <v>19</v>
      </c>
      <c r="G48" s="37" t="s">
        <v>8</v>
      </c>
      <c r="H48" s="30">
        <v>0.22</v>
      </c>
      <c r="I48" s="30">
        <v>0.23</v>
      </c>
      <c r="J48" s="30">
        <v>0.47</v>
      </c>
      <c r="K48" s="30">
        <v>0.16</v>
      </c>
      <c r="L48" s="30">
        <v>0</v>
      </c>
      <c r="M48" s="30">
        <v>8</v>
      </c>
      <c r="N48" s="30">
        <v>8</v>
      </c>
    </row>
    <row r="49" spans="1:14">
      <c r="A49" s="30">
        <v>48</v>
      </c>
      <c r="B49" s="31">
        <v>40546</v>
      </c>
      <c r="C49" s="30">
        <v>0</v>
      </c>
      <c r="D49" s="37" t="s">
        <v>27</v>
      </c>
      <c r="E49" s="30" t="b">
        <v>0</v>
      </c>
      <c r="F49" s="37" t="s">
        <v>20</v>
      </c>
      <c r="G49" s="37" t="s">
        <v>8</v>
      </c>
      <c r="H49" s="30">
        <v>0.22</v>
      </c>
      <c r="I49" s="30">
        <v>0.2</v>
      </c>
      <c r="J49" s="30">
        <v>0.44</v>
      </c>
      <c r="K49" s="30">
        <v>0.36</v>
      </c>
      <c r="L49" s="30">
        <v>0</v>
      </c>
      <c r="M49" s="30">
        <v>5</v>
      </c>
      <c r="N49" s="30">
        <v>5</v>
      </c>
    </row>
    <row r="50" spans="1:14">
      <c r="A50" s="30">
        <v>49</v>
      </c>
      <c r="B50" s="31">
        <v>40546</v>
      </c>
      <c r="C50" s="30">
        <v>1</v>
      </c>
      <c r="D50" s="37" t="s">
        <v>27</v>
      </c>
      <c r="E50" s="30" t="b">
        <v>0</v>
      </c>
      <c r="F50" s="37" t="s">
        <v>20</v>
      </c>
      <c r="G50" s="37" t="s">
        <v>8</v>
      </c>
      <c r="H50" s="30">
        <v>0.2</v>
      </c>
      <c r="I50" s="30">
        <v>0.2</v>
      </c>
      <c r="J50" s="30">
        <v>0.44</v>
      </c>
      <c r="K50" s="30">
        <v>0.42</v>
      </c>
      <c r="L50" s="30">
        <v>0</v>
      </c>
      <c r="M50" s="30">
        <v>2</v>
      </c>
      <c r="N50" s="30">
        <v>2</v>
      </c>
    </row>
    <row r="51" spans="1:14">
      <c r="A51" s="30">
        <v>50</v>
      </c>
      <c r="B51" s="31">
        <v>40546</v>
      </c>
      <c r="C51" s="30">
        <v>4</v>
      </c>
      <c r="D51" s="37" t="s">
        <v>27</v>
      </c>
      <c r="E51" s="30" t="b">
        <v>0</v>
      </c>
      <c r="F51" s="37" t="s">
        <v>20</v>
      </c>
      <c r="G51" s="37" t="s">
        <v>8</v>
      </c>
      <c r="H51" s="30">
        <v>0.16</v>
      </c>
      <c r="I51" s="30">
        <v>0.14000000000000001</v>
      </c>
      <c r="J51" s="30">
        <v>0.47</v>
      </c>
      <c r="K51" s="30">
        <v>0.39</v>
      </c>
      <c r="L51" s="30">
        <v>0</v>
      </c>
      <c r="M51" s="30">
        <v>1</v>
      </c>
      <c r="N51" s="30">
        <v>1</v>
      </c>
    </row>
    <row r="52" spans="1:14">
      <c r="A52" s="30">
        <v>51</v>
      </c>
      <c r="B52" s="31">
        <v>40546</v>
      </c>
      <c r="C52" s="30">
        <v>5</v>
      </c>
      <c r="D52" s="37" t="s">
        <v>27</v>
      </c>
      <c r="E52" s="30" t="b">
        <v>0</v>
      </c>
      <c r="F52" s="37" t="s">
        <v>20</v>
      </c>
      <c r="G52" s="37" t="s">
        <v>8</v>
      </c>
      <c r="H52" s="30">
        <v>0.16</v>
      </c>
      <c r="I52" s="30">
        <v>0.14000000000000001</v>
      </c>
      <c r="J52" s="30">
        <v>0.47</v>
      </c>
      <c r="K52" s="30">
        <v>0.28000000000000003</v>
      </c>
      <c r="L52" s="30">
        <v>0</v>
      </c>
      <c r="M52" s="30">
        <v>3</v>
      </c>
      <c r="N52" s="30">
        <v>3</v>
      </c>
    </row>
    <row r="53" spans="1:14">
      <c r="A53" s="30">
        <v>52</v>
      </c>
      <c r="B53" s="31">
        <v>40546</v>
      </c>
      <c r="C53" s="30">
        <v>6</v>
      </c>
      <c r="D53" s="37" t="s">
        <v>28</v>
      </c>
      <c r="E53" s="30" t="b">
        <v>0</v>
      </c>
      <c r="F53" s="37" t="s">
        <v>20</v>
      </c>
      <c r="G53" s="37" t="s">
        <v>8</v>
      </c>
      <c r="H53" s="30">
        <v>0.14000000000000001</v>
      </c>
      <c r="I53" s="30">
        <v>0.11</v>
      </c>
      <c r="J53" s="30">
        <v>0.5</v>
      </c>
      <c r="K53" s="30">
        <v>0.39</v>
      </c>
      <c r="L53" s="30">
        <v>0</v>
      </c>
      <c r="M53" s="30">
        <v>30</v>
      </c>
      <c r="N53" s="30">
        <v>30</v>
      </c>
    </row>
    <row r="54" spans="1:14">
      <c r="A54" s="30">
        <v>53</v>
      </c>
      <c r="B54" s="31">
        <v>40546</v>
      </c>
      <c r="C54" s="30">
        <v>7</v>
      </c>
      <c r="D54" s="37" t="s">
        <v>28</v>
      </c>
      <c r="E54" s="30" t="b">
        <v>0</v>
      </c>
      <c r="F54" s="37" t="s">
        <v>20</v>
      </c>
      <c r="G54" s="37" t="s">
        <v>8</v>
      </c>
      <c r="H54" s="30">
        <v>0.14000000000000001</v>
      </c>
      <c r="I54" s="30">
        <v>0.14000000000000001</v>
      </c>
      <c r="J54" s="30">
        <v>0.5</v>
      </c>
      <c r="K54" s="30">
        <v>0.19</v>
      </c>
      <c r="L54" s="30">
        <v>1</v>
      </c>
      <c r="M54" s="30">
        <v>63</v>
      </c>
      <c r="N54" s="30">
        <v>64</v>
      </c>
    </row>
    <row r="55" spans="1:14">
      <c r="A55" s="30">
        <v>54</v>
      </c>
      <c r="B55" s="31">
        <v>40546</v>
      </c>
      <c r="C55" s="30">
        <v>8</v>
      </c>
      <c r="D55" s="37" t="s">
        <v>28</v>
      </c>
      <c r="E55" s="30" t="b">
        <v>0</v>
      </c>
      <c r="F55" s="37" t="s">
        <v>20</v>
      </c>
      <c r="G55" s="37" t="s">
        <v>8</v>
      </c>
      <c r="H55" s="30">
        <v>0.14000000000000001</v>
      </c>
      <c r="I55" s="30">
        <v>0.12</v>
      </c>
      <c r="J55" s="30">
        <v>0.5</v>
      </c>
      <c r="K55" s="30">
        <v>0.28000000000000003</v>
      </c>
      <c r="L55" s="30">
        <v>1</v>
      </c>
      <c r="M55" s="30">
        <v>153</v>
      </c>
      <c r="N55" s="30">
        <v>154</v>
      </c>
    </row>
    <row r="56" spans="1:14">
      <c r="A56" s="30">
        <v>55</v>
      </c>
      <c r="B56" s="31">
        <v>40546</v>
      </c>
      <c r="C56" s="30">
        <v>9</v>
      </c>
      <c r="D56" s="37" t="s">
        <v>28</v>
      </c>
      <c r="E56" s="30" t="b">
        <v>0</v>
      </c>
      <c r="F56" s="37" t="s">
        <v>20</v>
      </c>
      <c r="G56" s="37" t="s">
        <v>8</v>
      </c>
      <c r="H56" s="30">
        <v>0.16</v>
      </c>
      <c r="I56" s="30">
        <v>0.14000000000000001</v>
      </c>
      <c r="J56" s="30">
        <v>0.43</v>
      </c>
      <c r="K56" s="30">
        <v>0.39</v>
      </c>
      <c r="L56" s="30">
        <v>7</v>
      </c>
      <c r="M56" s="30">
        <v>81</v>
      </c>
      <c r="N56" s="30">
        <v>88</v>
      </c>
    </row>
    <row r="57" spans="1:14">
      <c r="A57" s="30">
        <v>56</v>
      </c>
      <c r="B57" s="31">
        <v>40546</v>
      </c>
      <c r="C57" s="30">
        <v>10</v>
      </c>
      <c r="D57" s="37" t="s">
        <v>28</v>
      </c>
      <c r="E57" s="30" t="b">
        <v>0</v>
      </c>
      <c r="F57" s="37" t="s">
        <v>20</v>
      </c>
      <c r="G57" s="37" t="s">
        <v>8</v>
      </c>
      <c r="H57" s="30">
        <v>0.18</v>
      </c>
      <c r="I57" s="30">
        <v>0.17</v>
      </c>
      <c r="J57" s="30">
        <v>0.43</v>
      </c>
      <c r="K57" s="30">
        <v>0.25</v>
      </c>
      <c r="L57" s="30">
        <v>11</v>
      </c>
      <c r="M57" s="30">
        <v>33</v>
      </c>
      <c r="N57" s="30">
        <v>44</v>
      </c>
    </row>
    <row r="58" spans="1:14">
      <c r="A58" s="30">
        <v>57</v>
      </c>
      <c r="B58" s="31">
        <v>40546</v>
      </c>
      <c r="C58" s="30">
        <v>11</v>
      </c>
      <c r="D58" s="37" t="s">
        <v>28</v>
      </c>
      <c r="E58" s="30" t="b">
        <v>0</v>
      </c>
      <c r="F58" s="37" t="s">
        <v>20</v>
      </c>
      <c r="G58" s="37" t="s">
        <v>8</v>
      </c>
      <c r="H58" s="30">
        <v>0.2</v>
      </c>
      <c r="I58" s="30">
        <v>0.18</v>
      </c>
      <c r="J58" s="30">
        <v>0.4</v>
      </c>
      <c r="K58" s="30">
        <v>0.33</v>
      </c>
      <c r="L58" s="30">
        <v>10</v>
      </c>
      <c r="M58" s="30">
        <v>41</v>
      </c>
      <c r="N58" s="30">
        <v>51</v>
      </c>
    </row>
    <row r="59" spans="1:14">
      <c r="A59" s="30">
        <v>58</v>
      </c>
      <c r="B59" s="31">
        <v>40546</v>
      </c>
      <c r="C59" s="30">
        <v>12</v>
      </c>
      <c r="D59" s="37" t="s">
        <v>29</v>
      </c>
      <c r="E59" s="30" t="b">
        <v>0</v>
      </c>
      <c r="F59" s="37" t="s">
        <v>20</v>
      </c>
      <c r="G59" s="37" t="s">
        <v>8</v>
      </c>
      <c r="H59" s="30">
        <v>0.22</v>
      </c>
      <c r="I59" s="30">
        <v>0.21</v>
      </c>
      <c r="J59" s="30">
        <v>0.35</v>
      </c>
      <c r="K59" s="30">
        <v>0.3</v>
      </c>
      <c r="L59" s="30">
        <v>13</v>
      </c>
      <c r="M59" s="30">
        <v>48</v>
      </c>
      <c r="N59" s="30">
        <v>61</v>
      </c>
    </row>
    <row r="60" spans="1:14">
      <c r="A60" s="30">
        <v>59</v>
      </c>
      <c r="B60" s="31">
        <v>40546</v>
      </c>
      <c r="C60" s="30">
        <v>13</v>
      </c>
      <c r="D60" s="37" t="s">
        <v>29</v>
      </c>
      <c r="E60" s="30" t="b">
        <v>0</v>
      </c>
      <c r="F60" s="37" t="s">
        <v>20</v>
      </c>
      <c r="G60" s="37" t="s">
        <v>8</v>
      </c>
      <c r="H60" s="30">
        <v>0.24</v>
      </c>
      <c r="I60" s="30">
        <v>0.2</v>
      </c>
      <c r="J60" s="30">
        <v>0.35</v>
      </c>
      <c r="K60" s="30">
        <v>0.28000000000000003</v>
      </c>
      <c r="L60" s="30">
        <v>8</v>
      </c>
      <c r="M60" s="30">
        <v>53</v>
      </c>
      <c r="N60" s="30">
        <v>61</v>
      </c>
    </row>
    <row r="61" spans="1:14">
      <c r="A61" s="30">
        <v>60</v>
      </c>
      <c r="B61" s="31">
        <v>40546</v>
      </c>
      <c r="C61" s="30">
        <v>14</v>
      </c>
      <c r="D61" s="37" t="s">
        <v>29</v>
      </c>
      <c r="E61" s="30" t="b">
        <v>0</v>
      </c>
      <c r="F61" s="37" t="s">
        <v>20</v>
      </c>
      <c r="G61" s="37" t="s">
        <v>8</v>
      </c>
      <c r="H61" s="30">
        <v>0.26</v>
      </c>
      <c r="I61" s="30">
        <v>0.24</v>
      </c>
      <c r="J61" s="30">
        <v>0.3</v>
      </c>
      <c r="K61" s="30">
        <v>0.28000000000000003</v>
      </c>
      <c r="L61" s="30">
        <v>11</v>
      </c>
      <c r="M61" s="30">
        <v>66</v>
      </c>
      <c r="N61" s="30">
        <v>77</v>
      </c>
    </row>
    <row r="62" spans="1:14">
      <c r="A62" s="30">
        <v>61</v>
      </c>
      <c r="B62" s="31">
        <v>40546</v>
      </c>
      <c r="C62" s="30">
        <v>15</v>
      </c>
      <c r="D62" s="37" t="s">
        <v>29</v>
      </c>
      <c r="E62" s="30" t="b">
        <v>0</v>
      </c>
      <c r="F62" s="37" t="s">
        <v>20</v>
      </c>
      <c r="G62" s="37" t="s">
        <v>8</v>
      </c>
      <c r="H62" s="30">
        <v>0.26</v>
      </c>
      <c r="I62" s="30">
        <v>0.24</v>
      </c>
      <c r="J62" s="30">
        <v>0.3</v>
      </c>
      <c r="K62" s="30">
        <v>0.25</v>
      </c>
      <c r="L62" s="30">
        <v>14</v>
      </c>
      <c r="M62" s="30">
        <v>58</v>
      </c>
      <c r="N62" s="30">
        <v>72</v>
      </c>
    </row>
    <row r="63" spans="1:14">
      <c r="A63" s="30">
        <v>62</v>
      </c>
      <c r="B63" s="31">
        <v>40546</v>
      </c>
      <c r="C63" s="30">
        <v>16</v>
      </c>
      <c r="D63" s="37" t="s">
        <v>29</v>
      </c>
      <c r="E63" s="30" t="b">
        <v>0</v>
      </c>
      <c r="F63" s="37" t="s">
        <v>20</v>
      </c>
      <c r="G63" s="37" t="s">
        <v>8</v>
      </c>
      <c r="H63" s="30">
        <v>0.26</v>
      </c>
      <c r="I63" s="30">
        <v>0.24</v>
      </c>
      <c r="J63" s="30">
        <v>0.3</v>
      </c>
      <c r="K63" s="30">
        <v>0.25</v>
      </c>
      <c r="L63" s="30">
        <v>9</v>
      </c>
      <c r="M63" s="30">
        <v>67</v>
      </c>
      <c r="N63" s="30">
        <v>76</v>
      </c>
    </row>
    <row r="64" spans="1:14">
      <c r="A64" s="30">
        <v>63</v>
      </c>
      <c r="B64" s="31">
        <v>40546</v>
      </c>
      <c r="C64" s="30">
        <v>17</v>
      </c>
      <c r="D64" s="37" t="s">
        <v>29</v>
      </c>
      <c r="E64" s="30" t="b">
        <v>0</v>
      </c>
      <c r="F64" s="37" t="s">
        <v>20</v>
      </c>
      <c r="G64" s="37" t="s">
        <v>8</v>
      </c>
      <c r="H64" s="30">
        <v>0.24</v>
      </c>
      <c r="I64" s="30">
        <v>0.23</v>
      </c>
      <c r="J64" s="30">
        <v>0.3</v>
      </c>
      <c r="K64" s="30">
        <v>0.22</v>
      </c>
      <c r="L64" s="30">
        <v>11</v>
      </c>
      <c r="M64" s="30">
        <v>146</v>
      </c>
      <c r="N64" s="30">
        <v>157</v>
      </c>
    </row>
    <row r="65" spans="1:14">
      <c r="A65" s="30">
        <v>64</v>
      </c>
      <c r="B65" s="31">
        <v>40546</v>
      </c>
      <c r="C65" s="30">
        <v>18</v>
      </c>
      <c r="D65" s="37" t="s">
        <v>30</v>
      </c>
      <c r="E65" s="30" t="b">
        <v>0</v>
      </c>
      <c r="F65" s="37" t="s">
        <v>20</v>
      </c>
      <c r="G65" s="37" t="s">
        <v>8</v>
      </c>
      <c r="H65" s="30">
        <v>0.24</v>
      </c>
      <c r="I65" s="30">
        <v>0.26</v>
      </c>
      <c r="J65" s="30">
        <v>0.32</v>
      </c>
      <c r="K65" s="30">
        <v>0.1</v>
      </c>
      <c r="L65" s="30">
        <v>9</v>
      </c>
      <c r="M65" s="30">
        <v>148</v>
      </c>
      <c r="N65" s="30">
        <v>157</v>
      </c>
    </row>
    <row r="66" spans="1:14">
      <c r="A66" s="30">
        <v>65</v>
      </c>
      <c r="B66" s="31">
        <v>40546</v>
      </c>
      <c r="C66" s="30">
        <v>19</v>
      </c>
      <c r="D66" s="37" t="s">
        <v>30</v>
      </c>
      <c r="E66" s="30" t="b">
        <v>0</v>
      </c>
      <c r="F66" s="37" t="s">
        <v>20</v>
      </c>
      <c r="G66" s="37" t="s">
        <v>8</v>
      </c>
      <c r="H66" s="30">
        <v>0.2</v>
      </c>
      <c r="I66" s="30">
        <v>0.26</v>
      </c>
      <c r="J66" s="30">
        <v>0.47</v>
      </c>
      <c r="K66" s="30">
        <v>0</v>
      </c>
      <c r="L66" s="30">
        <v>8</v>
      </c>
      <c r="M66" s="30">
        <v>102</v>
      </c>
      <c r="N66" s="30">
        <v>110</v>
      </c>
    </row>
    <row r="67" spans="1:14">
      <c r="A67" s="30">
        <v>66</v>
      </c>
      <c r="B67" s="31">
        <v>40546</v>
      </c>
      <c r="C67" s="30">
        <v>20</v>
      </c>
      <c r="D67" s="37" t="s">
        <v>30</v>
      </c>
      <c r="E67" s="30" t="b">
        <v>0</v>
      </c>
      <c r="F67" s="37" t="s">
        <v>20</v>
      </c>
      <c r="G67" s="37" t="s">
        <v>8</v>
      </c>
      <c r="H67" s="30">
        <v>0.2</v>
      </c>
      <c r="I67" s="30">
        <v>0.2</v>
      </c>
      <c r="J67" s="30">
        <v>0.47</v>
      </c>
      <c r="K67" s="30">
        <v>0.1</v>
      </c>
      <c r="L67" s="30">
        <v>3</v>
      </c>
      <c r="M67" s="30">
        <v>49</v>
      </c>
      <c r="N67" s="30">
        <v>52</v>
      </c>
    </row>
    <row r="68" spans="1:14">
      <c r="A68" s="30">
        <v>67</v>
      </c>
      <c r="B68" s="31">
        <v>40546</v>
      </c>
      <c r="C68" s="30">
        <v>21</v>
      </c>
      <c r="D68" s="37" t="s">
        <v>30</v>
      </c>
      <c r="E68" s="30" t="b">
        <v>0</v>
      </c>
      <c r="F68" s="37" t="s">
        <v>20</v>
      </c>
      <c r="G68" s="37" t="s">
        <v>8</v>
      </c>
      <c r="H68" s="30">
        <v>0.18</v>
      </c>
      <c r="I68" s="30">
        <v>0.2</v>
      </c>
      <c r="J68" s="30">
        <v>0.64</v>
      </c>
      <c r="K68" s="30">
        <v>0.13</v>
      </c>
      <c r="L68" s="30">
        <v>3</v>
      </c>
      <c r="M68" s="30">
        <v>49</v>
      </c>
      <c r="N68" s="30">
        <v>52</v>
      </c>
    </row>
    <row r="69" spans="1:14">
      <c r="A69" s="30">
        <v>68</v>
      </c>
      <c r="B69" s="31">
        <v>40546</v>
      </c>
      <c r="C69" s="30">
        <v>22</v>
      </c>
      <c r="D69" s="37" t="s">
        <v>30</v>
      </c>
      <c r="E69" s="30" t="b">
        <v>0</v>
      </c>
      <c r="F69" s="37" t="s">
        <v>20</v>
      </c>
      <c r="G69" s="37" t="s">
        <v>8</v>
      </c>
      <c r="H69" s="30">
        <v>0.14000000000000001</v>
      </c>
      <c r="I69" s="30">
        <v>0.15</v>
      </c>
      <c r="J69" s="30">
        <v>0.69</v>
      </c>
      <c r="K69" s="30">
        <v>0.13</v>
      </c>
      <c r="L69" s="30">
        <v>0</v>
      </c>
      <c r="M69" s="30">
        <v>20</v>
      </c>
      <c r="N69" s="30">
        <v>20</v>
      </c>
    </row>
    <row r="70" spans="1:14">
      <c r="A70" s="30">
        <v>69</v>
      </c>
      <c r="B70" s="31">
        <v>40546</v>
      </c>
      <c r="C70" s="30">
        <v>23</v>
      </c>
      <c r="D70" s="37" t="s">
        <v>30</v>
      </c>
      <c r="E70" s="30" t="b">
        <v>0</v>
      </c>
      <c r="F70" s="37" t="s">
        <v>20</v>
      </c>
      <c r="G70" s="37" t="s">
        <v>8</v>
      </c>
      <c r="H70" s="30">
        <v>0.18</v>
      </c>
      <c r="I70" s="30">
        <v>0.21</v>
      </c>
      <c r="J70" s="30">
        <v>0.55000000000000004</v>
      </c>
      <c r="K70" s="30">
        <v>0.1</v>
      </c>
      <c r="L70" s="30">
        <v>1</v>
      </c>
      <c r="M70" s="30">
        <v>11</v>
      </c>
      <c r="N70" s="30">
        <v>12</v>
      </c>
    </row>
    <row r="71" spans="1:14">
      <c r="A71" s="30">
        <v>70</v>
      </c>
      <c r="B71" s="31">
        <v>40547</v>
      </c>
      <c r="C71" s="30">
        <v>0</v>
      </c>
      <c r="D71" s="37" t="s">
        <v>27</v>
      </c>
      <c r="E71" s="30" t="b">
        <v>0</v>
      </c>
      <c r="F71" s="37" t="s">
        <v>21</v>
      </c>
      <c r="G71" s="37" t="s">
        <v>8</v>
      </c>
      <c r="H71" s="30">
        <v>0.16</v>
      </c>
      <c r="I71" s="30">
        <v>0.2</v>
      </c>
      <c r="J71" s="30">
        <v>0.55000000000000004</v>
      </c>
      <c r="K71" s="30">
        <v>0.1</v>
      </c>
      <c r="L71" s="30">
        <v>0</v>
      </c>
      <c r="M71" s="30">
        <v>5</v>
      </c>
      <c r="N71" s="30">
        <v>5</v>
      </c>
    </row>
    <row r="72" spans="1:14">
      <c r="A72" s="30">
        <v>71</v>
      </c>
      <c r="B72" s="31">
        <v>40547</v>
      </c>
      <c r="C72" s="30">
        <v>1</v>
      </c>
      <c r="D72" s="37" t="s">
        <v>27</v>
      </c>
      <c r="E72" s="30" t="b">
        <v>0</v>
      </c>
      <c r="F72" s="37" t="s">
        <v>21</v>
      </c>
      <c r="G72" s="37" t="s">
        <v>8</v>
      </c>
      <c r="H72" s="30">
        <v>0.16</v>
      </c>
      <c r="I72" s="30">
        <v>0.18</v>
      </c>
      <c r="J72" s="30">
        <v>0.59</v>
      </c>
      <c r="K72" s="30">
        <v>0.1</v>
      </c>
      <c r="L72" s="30">
        <v>0</v>
      </c>
      <c r="M72" s="30">
        <v>2</v>
      </c>
      <c r="N72" s="30">
        <v>2</v>
      </c>
    </row>
    <row r="73" spans="1:14">
      <c r="A73" s="30">
        <v>72</v>
      </c>
      <c r="B73" s="31">
        <v>40547</v>
      </c>
      <c r="C73" s="30">
        <v>2</v>
      </c>
      <c r="D73" s="37" t="s">
        <v>27</v>
      </c>
      <c r="E73" s="30" t="b">
        <v>0</v>
      </c>
      <c r="F73" s="37" t="s">
        <v>21</v>
      </c>
      <c r="G73" s="37" t="s">
        <v>8</v>
      </c>
      <c r="H73" s="30">
        <v>0.14000000000000001</v>
      </c>
      <c r="I73" s="30">
        <v>0.15</v>
      </c>
      <c r="J73" s="30">
        <v>0.63</v>
      </c>
      <c r="K73" s="30">
        <v>0.13</v>
      </c>
      <c r="L73" s="30">
        <v>0</v>
      </c>
      <c r="M73" s="30">
        <v>1</v>
      </c>
      <c r="N73" s="30">
        <v>1</v>
      </c>
    </row>
    <row r="74" spans="1:14">
      <c r="A74" s="30">
        <v>73</v>
      </c>
      <c r="B74" s="31">
        <v>40547</v>
      </c>
      <c r="C74" s="30">
        <v>4</v>
      </c>
      <c r="D74" s="37" t="s">
        <v>27</v>
      </c>
      <c r="E74" s="30" t="b">
        <v>0</v>
      </c>
      <c r="F74" s="37" t="s">
        <v>21</v>
      </c>
      <c r="G74" s="37" t="s">
        <v>8</v>
      </c>
      <c r="H74" s="30">
        <v>0.14000000000000001</v>
      </c>
      <c r="I74" s="30">
        <v>0.18</v>
      </c>
      <c r="J74" s="30">
        <v>0.63</v>
      </c>
      <c r="K74" s="30">
        <v>0.09</v>
      </c>
      <c r="L74" s="30">
        <v>0</v>
      </c>
      <c r="M74" s="30">
        <v>2</v>
      </c>
      <c r="N74" s="30">
        <v>2</v>
      </c>
    </row>
    <row r="75" spans="1:14">
      <c r="A75" s="30">
        <v>74</v>
      </c>
      <c r="B75" s="31">
        <v>40547</v>
      </c>
      <c r="C75" s="30">
        <v>5</v>
      </c>
      <c r="D75" s="37" t="s">
        <v>27</v>
      </c>
      <c r="E75" s="30" t="b">
        <v>0</v>
      </c>
      <c r="F75" s="37" t="s">
        <v>21</v>
      </c>
      <c r="G75" s="37" t="s">
        <v>8</v>
      </c>
      <c r="H75" s="30">
        <v>0.12</v>
      </c>
      <c r="I75" s="30">
        <v>0.15</v>
      </c>
      <c r="J75" s="30">
        <v>0.68</v>
      </c>
      <c r="K75" s="30">
        <v>0.1</v>
      </c>
      <c r="L75" s="30">
        <v>0</v>
      </c>
      <c r="M75" s="30">
        <v>4</v>
      </c>
      <c r="N75" s="30">
        <v>4</v>
      </c>
    </row>
    <row r="76" spans="1:14">
      <c r="A76" s="30">
        <v>75</v>
      </c>
      <c r="B76" s="31">
        <v>40547</v>
      </c>
      <c r="C76" s="30">
        <v>6</v>
      </c>
      <c r="D76" s="37" t="s">
        <v>28</v>
      </c>
      <c r="E76" s="30" t="b">
        <v>0</v>
      </c>
      <c r="F76" s="37" t="s">
        <v>21</v>
      </c>
      <c r="G76" s="37" t="s">
        <v>8</v>
      </c>
      <c r="H76" s="30">
        <v>0.12</v>
      </c>
      <c r="I76" s="30">
        <v>0.15</v>
      </c>
      <c r="J76" s="30">
        <v>0.74</v>
      </c>
      <c r="K76" s="30">
        <v>0.1</v>
      </c>
      <c r="L76" s="30">
        <v>0</v>
      </c>
      <c r="M76" s="30">
        <v>36</v>
      </c>
      <c r="N76" s="30">
        <v>36</v>
      </c>
    </row>
    <row r="77" spans="1:14">
      <c r="A77" s="30">
        <v>76</v>
      </c>
      <c r="B77" s="31">
        <v>40547</v>
      </c>
      <c r="C77" s="30">
        <v>7</v>
      </c>
      <c r="D77" s="37" t="s">
        <v>28</v>
      </c>
      <c r="E77" s="30" t="b">
        <v>0</v>
      </c>
      <c r="F77" s="37" t="s">
        <v>21</v>
      </c>
      <c r="G77" s="37" t="s">
        <v>8</v>
      </c>
      <c r="H77" s="30">
        <v>0.12</v>
      </c>
      <c r="I77" s="30">
        <v>0.15</v>
      </c>
      <c r="J77" s="30">
        <v>0.74</v>
      </c>
      <c r="K77" s="30">
        <v>0.13</v>
      </c>
      <c r="L77" s="30">
        <v>2</v>
      </c>
      <c r="M77" s="30">
        <v>92</v>
      </c>
      <c r="N77" s="30">
        <v>94</v>
      </c>
    </row>
    <row r="78" spans="1:14">
      <c r="A78" s="30">
        <v>77</v>
      </c>
      <c r="B78" s="31">
        <v>40547</v>
      </c>
      <c r="C78" s="30">
        <v>8</v>
      </c>
      <c r="D78" s="37" t="s">
        <v>28</v>
      </c>
      <c r="E78" s="30" t="b">
        <v>0</v>
      </c>
      <c r="F78" s="37" t="s">
        <v>21</v>
      </c>
      <c r="G78" s="37" t="s">
        <v>8</v>
      </c>
      <c r="H78" s="30">
        <v>0.14000000000000001</v>
      </c>
      <c r="I78" s="30">
        <v>0.15</v>
      </c>
      <c r="J78" s="30">
        <v>0.69</v>
      </c>
      <c r="K78" s="30">
        <v>0.16</v>
      </c>
      <c r="L78" s="30">
        <v>2</v>
      </c>
      <c r="M78" s="30">
        <v>177</v>
      </c>
      <c r="N78" s="30">
        <v>179</v>
      </c>
    </row>
    <row r="79" spans="1:14">
      <c r="A79" s="30">
        <v>78</v>
      </c>
      <c r="B79" s="31">
        <v>40547</v>
      </c>
      <c r="C79" s="30">
        <v>9</v>
      </c>
      <c r="D79" s="37" t="s">
        <v>28</v>
      </c>
      <c r="E79" s="30" t="b">
        <v>0</v>
      </c>
      <c r="F79" s="37" t="s">
        <v>21</v>
      </c>
      <c r="G79" s="37" t="s">
        <v>8</v>
      </c>
      <c r="H79" s="30">
        <v>0.16</v>
      </c>
      <c r="I79" s="30">
        <v>0.15</v>
      </c>
      <c r="J79" s="30">
        <v>0.64</v>
      </c>
      <c r="K79" s="30">
        <v>0.22</v>
      </c>
      <c r="L79" s="30">
        <v>2</v>
      </c>
      <c r="M79" s="30">
        <v>98</v>
      </c>
      <c r="N79" s="30">
        <v>100</v>
      </c>
    </row>
    <row r="80" spans="1:14">
      <c r="A80" s="30">
        <v>79</v>
      </c>
      <c r="B80" s="31">
        <v>40547</v>
      </c>
      <c r="C80" s="30">
        <v>10</v>
      </c>
      <c r="D80" s="37" t="s">
        <v>28</v>
      </c>
      <c r="E80" s="30" t="b">
        <v>0</v>
      </c>
      <c r="F80" s="37" t="s">
        <v>21</v>
      </c>
      <c r="G80" s="37" t="s">
        <v>9</v>
      </c>
      <c r="H80" s="30">
        <v>0.16</v>
      </c>
      <c r="I80" s="30">
        <v>0.14000000000000001</v>
      </c>
      <c r="J80" s="30">
        <v>0.69</v>
      </c>
      <c r="K80" s="30">
        <v>0.33</v>
      </c>
      <c r="L80" s="30">
        <v>5</v>
      </c>
      <c r="M80" s="30">
        <v>37</v>
      </c>
      <c r="N80" s="30">
        <v>42</v>
      </c>
    </row>
    <row r="81" spans="1:14">
      <c r="A81" s="30">
        <v>80</v>
      </c>
      <c r="B81" s="31">
        <v>40547</v>
      </c>
      <c r="C81" s="30">
        <v>11</v>
      </c>
      <c r="D81" s="37" t="s">
        <v>28</v>
      </c>
      <c r="E81" s="30" t="b">
        <v>0</v>
      </c>
      <c r="F81" s="37" t="s">
        <v>21</v>
      </c>
      <c r="G81" s="37" t="s">
        <v>8</v>
      </c>
      <c r="H81" s="30">
        <v>0.22</v>
      </c>
      <c r="I81" s="30">
        <v>0.21</v>
      </c>
      <c r="J81" s="30">
        <v>0.51</v>
      </c>
      <c r="K81" s="30">
        <v>0.3</v>
      </c>
      <c r="L81" s="30">
        <v>7</v>
      </c>
      <c r="M81" s="30">
        <v>50</v>
      </c>
      <c r="N81" s="30">
        <v>57</v>
      </c>
    </row>
    <row r="82" spans="1:14">
      <c r="A82" s="30">
        <v>81</v>
      </c>
      <c r="B82" s="31">
        <v>40547</v>
      </c>
      <c r="C82" s="30">
        <v>12</v>
      </c>
      <c r="D82" s="37" t="s">
        <v>29</v>
      </c>
      <c r="E82" s="30" t="b">
        <v>0</v>
      </c>
      <c r="F82" s="37" t="s">
        <v>21</v>
      </c>
      <c r="G82" s="37" t="s">
        <v>8</v>
      </c>
      <c r="H82" s="30">
        <v>0.22</v>
      </c>
      <c r="I82" s="30">
        <v>0.23</v>
      </c>
      <c r="J82" s="30">
        <v>0.51</v>
      </c>
      <c r="K82" s="30">
        <v>0.16</v>
      </c>
      <c r="L82" s="30">
        <v>12</v>
      </c>
      <c r="M82" s="30">
        <v>66</v>
      </c>
      <c r="N82" s="30">
        <v>78</v>
      </c>
    </row>
    <row r="83" spans="1:14">
      <c r="A83" s="30">
        <v>82</v>
      </c>
      <c r="B83" s="31">
        <v>40547</v>
      </c>
      <c r="C83" s="30">
        <v>13</v>
      </c>
      <c r="D83" s="37" t="s">
        <v>29</v>
      </c>
      <c r="E83" s="30" t="b">
        <v>0</v>
      </c>
      <c r="F83" s="37" t="s">
        <v>21</v>
      </c>
      <c r="G83" s="37" t="s">
        <v>8</v>
      </c>
      <c r="H83" s="30">
        <v>0.24</v>
      </c>
      <c r="I83" s="30">
        <v>0.23</v>
      </c>
      <c r="J83" s="30">
        <v>0.56000000000000005</v>
      </c>
      <c r="K83" s="30">
        <v>0.19</v>
      </c>
      <c r="L83" s="30">
        <v>18</v>
      </c>
      <c r="M83" s="30">
        <v>79</v>
      </c>
      <c r="N83" s="30">
        <v>97</v>
      </c>
    </row>
    <row r="84" spans="1:14">
      <c r="A84" s="30">
        <v>83</v>
      </c>
      <c r="B84" s="31">
        <v>40547</v>
      </c>
      <c r="C84" s="30">
        <v>14</v>
      </c>
      <c r="D84" s="37" t="s">
        <v>29</v>
      </c>
      <c r="E84" s="30" t="b">
        <v>0</v>
      </c>
      <c r="F84" s="37" t="s">
        <v>21</v>
      </c>
      <c r="G84" s="37" t="s">
        <v>8</v>
      </c>
      <c r="H84" s="30">
        <v>0.26</v>
      </c>
      <c r="I84" s="30">
        <v>0.26</v>
      </c>
      <c r="J84" s="30">
        <v>0.52</v>
      </c>
      <c r="K84" s="30">
        <v>0.22</v>
      </c>
      <c r="L84" s="30">
        <v>9</v>
      </c>
      <c r="M84" s="30">
        <v>54</v>
      </c>
      <c r="N84" s="30">
        <v>63</v>
      </c>
    </row>
    <row r="85" spans="1:14">
      <c r="A85" s="30">
        <v>84</v>
      </c>
      <c r="B85" s="31">
        <v>40547</v>
      </c>
      <c r="C85" s="30">
        <v>15</v>
      </c>
      <c r="D85" s="37" t="s">
        <v>29</v>
      </c>
      <c r="E85" s="30" t="b">
        <v>0</v>
      </c>
      <c r="F85" s="37" t="s">
        <v>21</v>
      </c>
      <c r="G85" s="37" t="s">
        <v>8</v>
      </c>
      <c r="H85" s="30">
        <v>0.28000000000000003</v>
      </c>
      <c r="I85" s="30">
        <v>0.27</v>
      </c>
      <c r="J85" s="30">
        <v>0.52</v>
      </c>
      <c r="K85" s="30">
        <v>0.25</v>
      </c>
      <c r="L85" s="30">
        <v>17</v>
      </c>
      <c r="M85" s="30">
        <v>48</v>
      </c>
      <c r="N85" s="30">
        <v>65</v>
      </c>
    </row>
    <row r="86" spans="1:14">
      <c r="A86" s="30">
        <v>85</v>
      </c>
      <c r="B86" s="31">
        <v>40547</v>
      </c>
      <c r="C86" s="30">
        <v>16</v>
      </c>
      <c r="D86" s="37" t="s">
        <v>29</v>
      </c>
      <c r="E86" s="30" t="b">
        <v>0</v>
      </c>
      <c r="F86" s="37" t="s">
        <v>21</v>
      </c>
      <c r="G86" s="37" t="s">
        <v>8</v>
      </c>
      <c r="H86" s="30">
        <v>0.3</v>
      </c>
      <c r="I86" s="30">
        <v>0.28999999999999998</v>
      </c>
      <c r="J86" s="30">
        <v>0.49</v>
      </c>
      <c r="K86" s="30">
        <v>0.25</v>
      </c>
      <c r="L86" s="30">
        <v>15</v>
      </c>
      <c r="M86" s="30">
        <v>68</v>
      </c>
      <c r="N86" s="30">
        <v>83</v>
      </c>
    </row>
    <row r="87" spans="1:14">
      <c r="A87" s="30">
        <v>86</v>
      </c>
      <c r="B87" s="31">
        <v>40547</v>
      </c>
      <c r="C87" s="30">
        <v>17</v>
      </c>
      <c r="D87" s="37" t="s">
        <v>29</v>
      </c>
      <c r="E87" s="30" t="b">
        <v>0</v>
      </c>
      <c r="F87" s="37" t="s">
        <v>21</v>
      </c>
      <c r="G87" s="37" t="s">
        <v>8</v>
      </c>
      <c r="H87" s="30">
        <v>0.28000000000000003</v>
      </c>
      <c r="I87" s="30">
        <v>0.27</v>
      </c>
      <c r="J87" s="30">
        <v>0.48</v>
      </c>
      <c r="K87" s="30">
        <v>0.22</v>
      </c>
      <c r="L87" s="30">
        <v>10</v>
      </c>
      <c r="M87" s="30">
        <v>202</v>
      </c>
      <c r="N87" s="30">
        <v>212</v>
      </c>
    </row>
    <row r="88" spans="1:14">
      <c r="A88" s="30">
        <v>87</v>
      </c>
      <c r="B88" s="31">
        <v>40547</v>
      </c>
      <c r="C88" s="30">
        <v>18</v>
      </c>
      <c r="D88" s="37" t="s">
        <v>30</v>
      </c>
      <c r="E88" s="30" t="b">
        <v>0</v>
      </c>
      <c r="F88" s="37" t="s">
        <v>21</v>
      </c>
      <c r="G88" s="37" t="s">
        <v>8</v>
      </c>
      <c r="H88" s="30">
        <v>0.26</v>
      </c>
      <c r="I88" s="30">
        <v>0.26</v>
      </c>
      <c r="J88" s="30">
        <v>0.48</v>
      </c>
      <c r="K88" s="30">
        <v>0.19</v>
      </c>
      <c r="L88" s="30">
        <v>3</v>
      </c>
      <c r="M88" s="30">
        <v>179</v>
      </c>
      <c r="N88" s="30">
        <v>182</v>
      </c>
    </row>
    <row r="89" spans="1:14">
      <c r="A89" s="30">
        <v>88</v>
      </c>
      <c r="B89" s="31">
        <v>40547</v>
      </c>
      <c r="C89" s="30">
        <v>19</v>
      </c>
      <c r="D89" s="37" t="s">
        <v>30</v>
      </c>
      <c r="E89" s="30" t="b">
        <v>0</v>
      </c>
      <c r="F89" s="37" t="s">
        <v>21</v>
      </c>
      <c r="G89" s="37" t="s">
        <v>8</v>
      </c>
      <c r="H89" s="30">
        <v>0.24</v>
      </c>
      <c r="I89" s="30">
        <v>0.26</v>
      </c>
      <c r="J89" s="30">
        <v>0.48</v>
      </c>
      <c r="K89" s="30">
        <v>0.1</v>
      </c>
      <c r="L89" s="30">
        <v>2</v>
      </c>
      <c r="M89" s="30">
        <v>110</v>
      </c>
      <c r="N89" s="30">
        <v>112</v>
      </c>
    </row>
    <row r="90" spans="1:14">
      <c r="A90" s="30">
        <v>89</v>
      </c>
      <c r="B90" s="31">
        <v>40547</v>
      </c>
      <c r="C90" s="30">
        <v>20</v>
      </c>
      <c r="D90" s="37" t="s">
        <v>30</v>
      </c>
      <c r="E90" s="30" t="b">
        <v>0</v>
      </c>
      <c r="F90" s="37" t="s">
        <v>21</v>
      </c>
      <c r="G90" s="37" t="s">
        <v>8</v>
      </c>
      <c r="H90" s="30">
        <v>0.24</v>
      </c>
      <c r="I90" s="30">
        <v>0.26</v>
      </c>
      <c r="J90" s="30">
        <v>0.48</v>
      </c>
      <c r="K90" s="30">
        <v>0.1</v>
      </c>
      <c r="L90" s="30">
        <v>1</v>
      </c>
      <c r="M90" s="30">
        <v>53</v>
      </c>
      <c r="N90" s="30">
        <v>54</v>
      </c>
    </row>
    <row r="91" spans="1:14">
      <c r="A91" s="30">
        <v>90</v>
      </c>
      <c r="B91" s="31">
        <v>40547</v>
      </c>
      <c r="C91" s="30">
        <v>21</v>
      </c>
      <c r="D91" s="37" t="s">
        <v>30</v>
      </c>
      <c r="E91" s="30" t="b">
        <v>0</v>
      </c>
      <c r="F91" s="37" t="s">
        <v>21</v>
      </c>
      <c r="G91" s="37" t="s">
        <v>8</v>
      </c>
      <c r="H91" s="30">
        <v>0.22</v>
      </c>
      <c r="I91" s="30">
        <v>0.27</v>
      </c>
      <c r="J91" s="30">
        <v>0.64</v>
      </c>
      <c r="K91" s="30">
        <v>0</v>
      </c>
      <c r="L91" s="30">
        <v>0</v>
      </c>
      <c r="M91" s="30">
        <v>48</v>
      </c>
      <c r="N91" s="30">
        <v>48</v>
      </c>
    </row>
    <row r="92" spans="1:14">
      <c r="A92" s="30">
        <v>91</v>
      </c>
      <c r="B92" s="31">
        <v>40547</v>
      </c>
      <c r="C92" s="30">
        <v>22</v>
      </c>
      <c r="D92" s="37" t="s">
        <v>30</v>
      </c>
      <c r="E92" s="30" t="b">
        <v>0</v>
      </c>
      <c r="F92" s="37" t="s">
        <v>21</v>
      </c>
      <c r="G92" s="37" t="s">
        <v>8</v>
      </c>
      <c r="H92" s="30">
        <v>0.22</v>
      </c>
      <c r="I92" s="30">
        <v>0.26</v>
      </c>
      <c r="J92" s="30">
        <v>0.64</v>
      </c>
      <c r="K92" s="30">
        <v>0.09</v>
      </c>
      <c r="L92" s="30">
        <v>1</v>
      </c>
      <c r="M92" s="30">
        <v>34</v>
      </c>
      <c r="N92" s="30">
        <v>35</v>
      </c>
    </row>
    <row r="93" spans="1:14">
      <c r="A93" s="30">
        <v>92</v>
      </c>
      <c r="B93" s="31">
        <v>40547</v>
      </c>
      <c r="C93" s="30">
        <v>23</v>
      </c>
      <c r="D93" s="37" t="s">
        <v>30</v>
      </c>
      <c r="E93" s="30" t="b">
        <v>0</v>
      </c>
      <c r="F93" s="37" t="s">
        <v>21</v>
      </c>
      <c r="G93" s="37" t="s">
        <v>8</v>
      </c>
      <c r="H93" s="30">
        <v>0.2</v>
      </c>
      <c r="I93" s="30">
        <v>0.23</v>
      </c>
      <c r="J93" s="30">
        <v>0.69</v>
      </c>
      <c r="K93" s="30">
        <v>0.09</v>
      </c>
      <c r="L93" s="30">
        <v>2</v>
      </c>
      <c r="M93" s="30">
        <v>9</v>
      </c>
      <c r="N93" s="30">
        <v>11</v>
      </c>
    </row>
    <row r="94" spans="1:14">
      <c r="A94" s="30">
        <v>93</v>
      </c>
      <c r="B94" s="31">
        <v>40548</v>
      </c>
      <c r="C94" s="30">
        <v>0</v>
      </c>
      <c r="D94" s="37" t="s">
        <v>27</v>
      </c>
      <c r="E94" s="30" t="b">
        <v>0</v>
      </c>
      <c r="F94" s="37" t="s">
        <v>22</v>
      </c>
      <c r="G94" s="37" t="s">
        <v>8</v>
      </c>
      <c r="H94" s="30">
        <v>0.2</v>
      </c>
      <c r="I94" s="30">
        <v>0.26</v>
      </c>
      <c r="J94" s="30">
        <v>0.64</v>
      </c>
      <c r="K94" s="30">
        <v>0</v>
      </c>
      <c r="L94" s="30">
        <v>0</v>
      </c>
      <c r="M94" s="30">
        <v>6</v>
      </c>
      <c r="N94" s="30">
        <v>6</v>
      </c>
    </row>
    <row r="95" spans="1:14">
      <c r="A95" s="30">
        <v>94</v>
      </c>
      <c r="B95" s="31">
        <v>40548</v>
      </c>
      <c r="C95" s="30">
        <v>1</v>
      </c>
      <c r="D95" s="37" t="s">
        <v>27</v>
      </c>
      <c r="E95" s="30" t="b">
        <v>0</v>
      </c>
      <c r="F95" s="37" t="s">
        <v>22</v>
      </c>
      <c r="G95" s="37" t="s">
        <v>8</v>
      </c>
      <c r="H95" s="30">
        <v>0.16</v>
      </c>
      <c r="I95" s="30">
        <v>0.2</v>
      </c>
      <c r="J95" s="30">
        <v>0.74</v>
      </c>
      <c r="K95" s="30">
        <v>0.09</v>
      </c>
      <c r="L95" s="30">
        <v>0</v>
      </c>
      <c r="M95" s="30">
        <v>6</v>
      </c>
      <c r="N95" s="30">
        <v>6</v>
      </c>
    </row>
    <row r="96" spans="1:14">
      <c r="A96" s="30">
        <v>95</v>
      </c>
      <c r="B96" s="31">
        <v>40548</v>
      </c>
      <c r="C96" s="30">
        <v>2</v>
      </c>
      <c r="D96" s="37" t="s">
        <v>27</v>
      </c>
      <c r="E96" s="30" t="b">
        <v>0</v>
      </c>
      <c r="F96" s="37" t="s">
        <v>22</v>
      </c>
      <c r="G96" s="37" t="s">
        <v>8</v>
      </c>
      <c r="H96" s="30">
        <v>0.16</v>
      </c>
      <c r="I96" s="30">
        <v>0.2</v>
      </c>
      <c r="J96" s="30">
        <v>0.74</v>
      </c>
      <c r="K96" s="30">
        <v>0.09</v>
      </c>
      <c r="L96" s="30">
        <v>0</v>
      </c>
      <c r="M96" s="30">
        <v>2</v>
      </c>
      <c r="N96" s="30">
        <v>2</v>
      </c>
    </row>
    <row r="97" spans="1:14">
      <c r="A97" s="30">
        <v>96</v>
      </c>
      <c r="B97" s="31">
        <v>40548</v>
      </c>
      <c r="C97" s="30">
        <v>4</v>
      </c>
      <c r="D97" s="37" t="s">
        <v>27</v>
      </c>
      <c r="E97" s="30" t="b">
        <v>0</v>
      </c>
      <c r="F97" s="37" t="s">
        <v>22</v>
      </c>
      <c r="G97" s="37" t="s">
        <v>8</v>
      </c>
      <c r="H97" s="30">
        <v>0.24</v>
      </c>
      <c r="I97" s="30">
        <v>0.23</v>
      </c>
      <c r="J97" s="30">
        <v>0.48</v>
      </c>
      <c r="K97" s="30">
        <v>0.22</v>
      </c>
      <c r="L97" s="30">
        <v>0</v>
      </c>
      <c r="M97" s="30">
        <v>2</v>
      </c>
      <c r="N97" s="30">
        <v>2</v>
      </c>
    </row>
    <row r="98" spans="1:14">
      <c r="A98" s="30">
        <v>97</v>
      </c>
      <c r="B98" s="31">
        <v>40548</v>
      </c>
      <c r="C98" s="30">
        <v>5</v>
      </c>
      <c r="D98" s="37" t="s">
        <v>27</v>
      </c>
      <c r="E98" s="30" t="b">
        <v>0</v>
      </c>
      <c r="F98" s="37" t="s">
        <v>22</v>
      </c>
      <c r="G98" s="37" t="s">
        <v>8</v>
      </c>
      <c r="H98" s="30">
        <v>0.22</v>
      </c>
      <c r="I98" s="30">
        <v>0.23</v>
      </c>
      <c r="J98" s="30">
        <v>0.47</v>
      </c>
      <c r="K98" s="30">
        <v>0.16</v>
      </c>
      <c r="L98" s="30">
        <v>0</v>
      </c>
      <c r="M98" s="30">
        <v>3</v>
      </c>
      <c r="N98" s="30">
        <v>3</v>
      </c>
    </row>
    <row r="99" spans="1:14">
      <c r="A99" s="30">
        <v>98</v>
      </c>
      <c r="B99" s="31">
        <v>40548</v>
      </c>
      <c r="C99" s="30">
        <v>6</v>
      </c>
      <c r="D99" s="37" t="s">
        <v>28</v>
      </c>
      <c r="E99" s="30" t="b">
        <v>0</v>
      </c>
      <c r="F99" s="37" t="s">
        <v>22</v>
      </c>
      <c r="G99" s="37" t="s">
        <v>8</v>
      </c>
      <c r="H99" s="30">
        <v>0.2</v>
      </c>
      <c r="I99" s="30">
        <v>0.2</v>
      </c>
      <c r="J99" s="30">
        <v>0.47</v>
      </c>
      <c r="K99" s="30">
        <v>0.22</v>
      </c>
      <c r="L99" s="30">
        <v>0</v>
      </c>
      <c r="M99" s="30">
        <v>33</v>
      </c>
      <c r="N99" s="30">
        <v>33</v>
      </c>
    </row>
    <row r="100" spans="1:14">
      <c r="A100" s="30">
        <v>99</v>
      </c>
      <c r="B100" s="31">
        <v>40548</v>
      </c>
      <c r="C100" s="30">
        <v>7</v>
      </c>
      <c r="D100" s="37" t="s">
        <v>28</v>
      </c>
      <c r="E100" s="30" t="b">
        <v>0</v>
      </c>
      <c r="F100" s="37" t="s">
        <v>22</v>
      </c>
      <c r="G100" s="37" t="s">
        <v>8</v>
      </c>
      <c r="H100" s="30">
        <v>0.18</v>
      </c>
      <c r="I100" s="30">
        <v>0.18</v>
      </c>
      <c r="J100" s="30">
        <v>0.43</v>
      </c>
      <c r="K100" s="30">
        <v>0.19</v>
      </c>
      <c r="L100" s="30">
        <v>1</v>
      </c>
      <c r="M100" s="30">
        <v>87</v>
      </c>
      <c r="N100" s="30">
        <v>88</v>
      </c>
    </row>
    <row r="101" spans="1:14">
      <c r="A101" s="30">
        <v>100</v>
      </c>
      <c r="B101" s="31">
        <v>40548</v>
      </c>
      <c r="C101" s="30">
        <v>8</v>
      </c>
      <c r="D101" s="37" t="s">
        <v>28</v>
      </c>
      <c r="E101" s="30" t="b">
        <v>0</v>
      </c>
      <c r="F101" s="37" t="s">
        <v>22</v>
      </c>
      <c r="G101" s="37" t="s">
        <v>8</v>
      </c>
      <c r="H101" s="30">
        <v>0.2</v>
      </c>
      <c r="I101" s="30">
        <v>0.18</v>
      </c>
      <c r="J101" s="30">
        <v>0.4</v>
      </c>
      <c r="K101" s="30">
        <v>0.3</v>
      </c>
      <c r="L101" s="30">
        <v>3</v>
      </c>
      <c r="M101" s="30">
        <v>192</v>
      </c>
      <c r="N101" s="30">
        <v>195</v>
      </c>
    </row>
    <row r="102" spans="1:14">
      <c r="A102" s="30">
        <v>101</v>
      </c>
      <c r="B102" s="31">
        <v>40548</v>
      </c>
      <c r="C102" s="30">
        <v>9</v>
      </c>
      <c r="D102" s="37" t="s">
        <v>28</v>
      </c>
      <c r="E102" s="30" t="b">
        <v>0</v>
      </c>
      <c r="F102" s="37" t="s">
        <v>22</v>
      </c>
      <c r="G102" s="37" t="s">
        <v>8</v>
      </c>
      <c r="H102" s="30">
        <v>0.22</v>
      </c>
      <c r="I102" s="30">
        <v>0.2</v>
      </c>
      <c r="J102" s="30">
        <v>0.37</v>
      </c>
      <c r="K102" s="30">
        <v>0.33</v>
      </c>
      <c r="L102" s="30">
        <v>6</v>
      </c>
      <c r="M102" s="30">
        <v>109</v>
      </c>
      <c r="N102" s="30">
        <v>115</v>
      </c>
    </row>
    <row r="103" spans="1:14">
      <c r="A103" s="30">
        <v>102</v>
      </c>
      <c r="B103" s="31">
        <v>40548</v>
      </c>
      <c r="C103" s="30">
        <v>10</v>
      </c>
      <c r="D103" s="37" t="s">
        <v>28</v>
      </c>
      <c r="E103" s="30" t="b">
        <v>0</v>
      </c>
      <c r="F103" s="37" t="s">
        <v>22</v>
      </c>
      <c r="G103" s="37" t="s">
        <v>8</v>
      </c>
      <c r="H103" s="30">
        <v>0.22</v>
      </c>
      <c r="I103" s="30">
        <v>0.2</v>
      </c>
      <c r="J103" s="30">
        <v>0.37</v>
      </c>
      <c r="K103" s="30">
        <v>0.33</v>
      </c>
      <c r="L103" s="30">
        <v>4</v>
      </c>
      <c r="M103" s="30">
        <v>53</v>
      </c>
      <c r="N103" s="30">
        <v>57</v>
      </c>
    </row>
    <row r="104" spans="1:14">
      <c r="A104" s="30">
        <v>103</v>
      </c>
      <c r="B104" s="31">
        <v>40548</v>
      </c>
      <c r="C104" s="30">
        <v>11</v>
      </c>
      <c r="D104" s="37" t="s">
        <v>28</v>
      </c>
      <c r="E104" s="30" t="b">
        <v>0</v>
      </c>
      <c r="F104" s="37" t="s">
        <v>22</v>
      </c>
      <c r="G104" s="37" t="s">
        <v>8</v>
      </c>
      <c r="H104" s="30">
        <v>0.26</v>
      </c>
      <c r="I104" s="30">
        <v>0.23</v>
      </c>
      <c r="J104" s="30">
        <v>0.33</v>
      </c>
      <c r="K104" s="30">
        <v>0.33</v>
      </c>
      <c r="L104" s="30">
        <v>12</v>
      </c>
      <c r="M104" s="30">
        <v>34</v>
      </c>
      <c r="N104" s="30">
        <v>46</v>
      </c>
    </row>
    <row r="105" spans="1:14">
      <c r="A105" s="30">
        <v>104</v>
      </c>
      <c r="B105" s="31">
        <v>40548</v>
      </c>
      <c r="C105" s="30">
        <v>12</v>
      </c>
      <c r="D105" s="37" t="s">
        <v>29</v>
      </c>
      <c r="E105" s="30" t="b">
        <v>0</v>
      </c>
      <c r="F105" s="37" t="s">
        <v>22</v>
      </c>
      <c r="G105" s="37" t="s">
        <v>8</v>
      </c>
      <c r="H105" s="30">
        <v>0.26</v>
      </c>
      <c r="I105" s="30">
        <v>0.23</v>
      </c>
      <c r="J105" s="30">
        <v>0.33</v>
      </c>
      <c r="K105" s="30">
        <v>0.33</v>
      </c>
      <c r="L105" s="30">
        <v>5</v>
      </c>
      <c r="M105" s="30">
        <v>74</v>
      </c>
      <c r="N105" s="30">
        <v>79</v>
      </c>
    </row>
    <row r="106" spans="1:14">
      <c r="A106" s="30">
        <v>105</v>
      </c>
      <c r="B106" s="31">
        <v>40548</v>
      </c>
      <c r="C106" s="30">
        <v>13</v>
      </c>
      <c r="D106" s="37" t="s">
        <v>29</v>
      </c>
      <c r="E106" s="30" t="b">
        <v>0</v>
      </c>
      <c r="F106" s="37" t="s">
        <v>22</v>
      </c>
      <c r="G106" s="37" t="s">
        <v>8</v>
      </c>
      <c r="H106" s="30">
        <v>0.28000000000000003</v>
      </c>
      <c r="I106" s="30">
        <v>0.26</v>
      </c>
      <c r="J106" s="30">
        <v>0.3</v>
      </c>
      <c r="K106" s="30">
        <v>0.3</v>
      </c>
      <c r="L106" s="30">
        <v>6</v>
      </c>
      <c r="M106" s="30">
        <v>65</v>
      </c>
      <c r="N106" s="30">
        <v>71</v>
      </c>
    </row>
    <row r="107" spans="1:14">
      <c r="A107" s="30">
        <v>106</v>
      </c>
      <c r="B107" s="31">
        <v>40548</v>
      </c>
      <c r="C107" s="30">
        <v>14</v>
      </c>
      <c r="D107" s="37" t="s">
        <v>29</v>
      </c>
      <c r="E107" s="30" t="b">
        <v>0</v>
      </c>
      <c r="F107" s="37" t="s">
        <v>22</v>
      </c>
      <c r="G107" s="37" t="s">
        <v>8</v>
      </c>
      <c r="H107" s="30">
        <v>0.3</v>
      </c>
      <c r="I107" s="30">
        <v>0.28999999999999998</v>
      </c>
      <c r="J107" s="30">
        <v>0.28000000000000003</v>
      </c>
      <c r="K107" s="30">
        <v>0.19</v>
      </c>
      <c r="L107" s="30">
        <v>10</v>
      </c>
      <c r="M107" s="30">
        <v>52</v>
      </c>
      <c r="N107" s="30">
        <v>62</v>
      </c>
    </row>
    <row r="108" spans="1:14">
      <c r="A108" s="30">
        <v>107</v>
      </c>
      <c r="B108" s="31">
        <v>40548</v>
      </c>
      <c r="C108" s="30">
        <v>15</v>
      </c>
      <c r="D108" s="37" t="s">
        <v>29</v>
      </c>
      <c r="E108" s="30" t="b">
        <v>0</v>
      </c>
      <c r="F108" s="37" t="s">
        <v>22</v>
      </c>
      <c r="G108" s="37" t="s">
        <v>8</v>
      </c>
      <c r="H108" s="30">
        <v>0.3</v>
      </c>
      <c r="I108" s="30">
        <v>0.28999999999999998</v>
      </c>
      <c r="J108" s="30">
        <v>0.28000000000000003</v>
      </c>
      <c r="K108" s="30">
        <v>0.19</v>
      </c>
      <c r="L108" s="30">
        <v>7</v>
      </c>
      <c r="M108" s="30">
        <v>55</v>
      </c>
      <c r="N108" s="30">
        <v>62</v>
      </c>
    </row>
    <row r="109" spans="1:14">
      <c r="A109" s="30">
        <v>108</v>
      </c>
      <c r="B109" s="31">
        <v>40548</v>
      </c>
      <c r="C109" s="30">
        <v>16</v>
      </c>
      <c r="D109" s="37" t="s">
        <v>29</v>
      </c>
      <c r="E109" s="30" t="b">
        <v>0</v>
      </c>
      <c r="F109" s="37" t="s">
        <v>22</v>
      </c>
      <c r="G109" s="37" t="s">
        <v>8</v>
      </c>
      <c r="H109" s="30">
        <v>0.3</v>
      </c>
      <c r="I109" s="30">
        <v>0.32</v>
      </c>
      <c r="J109" s="30">
        <v>0.28000000000000003</v>
      </c>
      <c r="K109" s="30">
        <v>0.09</v>
      </c>
      <c r="L109" s="30">
        <v>4</v>
      </c>
      <c r="M109" s="30">
        <v>85</v>
      </c>
      <c r="N109" s="30">
        <v>89</v>
      </c>
    </row>
    <row r="110" spans="1:14">
      <c r="A110" s="30">
        <v>109</v>
      </c>
      <c r="B110" s="31">
        <v>40548</v>
      </c>
      <c r="C110" s="30">
        <v>17</v>
      </c>
      <c r="D110" s="37" t="s">
        <v>29</v>
      </c>
      <c r="E110" s="30" t="b">
        <v>0</v>
      </c>
      <c r="F110" s="37" t="s">
        <v>22</v>
      </c>
      <c r="G110" s="37" t="s">
        <v>8</v>
      </c>
      <c r="H110" s="30">
        <v>0.24</v>
      </c>
      <c r="I110" s="30">
        <v>0.23</v>
      </c>
      <c r="J110" s="30">
        <v>0.38</v>
      </c>
      <c r="K110" s="30">
        <v>0.19</v>
      </c>
      <c r="L110" s="30">
        <v>4</v>
      </c>
      <c r="M110" s="30">
        <v>186</v>
      </c>
      <c r="N110" s="30">
        <v>190</v>
      </c>
    </row>
    <row r="111" spans="1:14">
      <c r="A111" s="30">
        <v>110</v>
      </c>
      <c r="B111" s="31">
        <v>40548</v>
      </c>
      <c r="C111" s="30">
        <v>18</v>
      </c>
      <c r="D111" s="37" t="s">
        <v>30</v>
      </c>
      <c r="E111" s="30" t="b">
        <v>0</v>
      </c>
      <c r="F111" s="37" t="s">
        <v>22</v>
      </c>
      <c r="G111" s="37" t="s">
        <v>8</v>
      </c>
      <c r="H111" s="30">
        <v>0.24</v>
      </c>
      <c r="I111" s="30">
        <v>0.24</v>
      </c>
      <c r="J111" s="30">
        <v>0.38</v>
      </c>
      <c r="K111" s="30">
        <v>0.13</v>
      </c>
      <c r="L111" s="30">
        <v>3</v>
      </c>
      <c r="M111" s="30">
        <v>166</v>
      </c>
      <c r="N111" s="30">
        <v>169</v>
      </c>
    </row>
    <row r="112" spans="1:14">
      <c r="A112" s="30">
        <v>111</v>
      </c>
      <c r="B112" s="31">
        <v>40548</v>
      </c>
      <c r="C112" s="30">
        <v>19</v>
      </c>
      <c r="D112" s="37" t="s">
        <v>30</v>
      </c>
      <c r="E112" s="30" t="b">
        <v>0</v>
      </c>
      <c r="F112" s="37" t="s">
        <v>22</v>
      </c>
      <c r="G112" s="37" t="s">
        <v>8</v>
      </c>
      <c r="H112" s="30">
        <v>0.24</v>
      </c>
      <c r="I112" s="30">
        <v>0.26</v>
      </c>
      <c r="J112" s="30">
        <v>0.38</v>
      </c>
      <c r="K112" s="30">
        <v>0.1</v>
      </c>
      <c r="L112" s="30">
        <v>5</v>
      </c>
      <c r="M112" s="30">
        <v>127</v>
      </c>
      <c r="N112" s="30">
        <v>132</v>
      </c>
    </row>
    <row r="113" spans="1:14">
      <c r="A113" s="30">
        <v>112</v>
      </c>
      <c r="B113" s="31">
        <v>40548</v>
      </c>
      <c r="C113" s="30">
        <v>20</v>
      </c>
      <c r="D113" s="37" t="s">
        <v>30</v>
      </c>
      <c r="E113" s="30" t="b">
        <v>0</v>
      </c>
      <c r="F113" s="37" t="s">
        <v>22</v>
      </c>
      <c r="G113" s="37" t="s">
        <v>8</v>
      </c>
      <c r="H113" s="30">
        <v>0.22</v>
      </c>
      <c r="I113" s="30">
        <v>0.23</v>
      </c>
      <c r="J113" s="30">
        <v>0.47</v>
      </c>
      <c r="K113" s="30">
        <v>0.16</v>
      </c>
      <c r="L113" s="30">
        <v>7</v>
      </c>
      <c r="M113" s="30">
        <v>82</v>
      </c>
      <c r="N113" s="30">
        <v>89</v>
      </c>
    </row>
    <row r="114" spans="1:14">
      <c r="A114" s="30">
        <v>113</v>
      </c>
      <c r="B114" s="31">
        <v>40548</v>
      </c>
      <c r="C114" s="30">
        <v>21</v>
      </c>
      <c r="D114" s="37" t="s">
        <v>30</v>
      </c>
      <c r="E114" s="30" t="b">
        <v>0</v>
      </c>
      <c r="F114" s="37" t="s">
        <v>22</v>
      </c>
      <c r="G114" s="37" t="s">
        <v>8</v>
      </c>
      <c r="H114" s="30">
        <v>0.2</v>
      </c>
      <c r="I114" s="30">
        <v>0.2</v>
      </c>
      <c r="J114" s="30">
        <v>0.51</v>
      </c>
      <c r="K114" s="30">
        <v>0.19</v>
      </c>
      <c r="L114" s="30">
        <v>3</v>
      </c>
      <c r="M114" s="30">
        <v>40</v>
      </c>
      <c r="N114" s="30">
        <v>43</v>
      </c>
    </row>
    <row r="115" spans="1:14">
      <c r="A115" s="30">
        <v>114</v>
      </c>
      <c r="B115" s="31">
        <v>40548</v>
      </c>
      <c r="C115" s="30">
        <v>22</v>
      </c>
      <c r="D115" s="37" t="s">
        <v>30</v>
      </c>
      <c r="E115" s="30" t="b">
        <v>0</v>
      </c>
      <c r="F115" s="37" t="s">
        <v>22</v>
      </c>
      <c r="G115" s="37" t="s">
        <v>8</v>
      </c>
      <c r="H115" s="30">
        <v>0.18</v>
      </c>
      <c r="I115" s="30">
        <v>0.2</v>
      </c>
      <c r="J115" s="30">
        <v>0.55000000000000004</v>
      </c>
      <c r="K115" s="30">
        <v>0.13</v>
      </c>
      <c r="L115" s="30">
        <v>1</v>
      </c>
      <c r="M115" s="30">
        <v>41</v>
      </c>
      <c r="N115" s="30">
        <v>42</v>
      </c>
    </row>
    <row r="116" spans="1:14">
      <c r="A116" s="30">
        <v>115</v>
      </c>
      <c r="B116" s="31">
        <v>40548</v>
      </c>
      <c r="C116" s="30">
        <v>23</v>
      </c>
      <c r="D116" s="37" t="s">
        <v>30</v>
      </c>
      <c r="E116" s="30" t="b">
        <v>0</v>
      </c>
      <c r="F116" s="37" t="s">
        <v>22</v>
      </c>
      <c r="G116" s="37" t="s">
        <v>8</v>
      </c>
      <c r="H116" s="30">
        <v>0.2</v>
      </c>
      <c r="I116" s="30">
        <v>0.26</v>
      </c>
      <c r="J116" s="30">
        <v>0.47</v>
      </c>
      <c r="K116" s="30">
        <v>0</v>
      </c>
      <c r="L116" s="30">
        <v>1</v>
      </c>
      <c r="M116" s="30">
        <v>18</v>
      </c>
      <c r="N116" s="30">
        <v>19</v>
      </c>
    </row>
    <row r="117" spans="1:14">
      <c r="A117" s="30">
        <v>116</v>
      </c>
      <c r="B117" s="31">
        <v>40549</v>
      </c>
      <c r="C117" s="30">
        <v>0</v>
      </c>
      <c r="D117" s="37" t="s">
        <v>27</v>
      </c>
      <c r="E117" s="30" t="b">
        <v>0</v>
      </c>
      <c r="F117" s="37" t="s">
        <v>23</v>
      </c>
      <c r="G117" s="37" t="s">
        <v>8</v>
      </c>
      <c r="H117" s="30">
        <v>0.18</v>
      </c>
      <c r="I117" s="30">
        <v>0.24</v>
      </c>
      <c r="J117" s="30">
        <v>0.55000000000000004</v>
      </c>
      <c r="K117" s="30">
        <v>0</v>
      </c>
      <c r="L117" s="30">
        <v>0</v>
      </c>
      <c r="M117" s="30">
        <v>11</v>
      </c>
      <c r="N117" s="30">
        <v>11</v>
      </c>
    </row>
    <row r="118" spans="1:14">
      <c r="A118" s="30">
        <v>117</v>
      </c>
      <c r="B118" s="31">
        <v>40549</v>
      </c>
      <c r="C118" s="30">
        <v>1</v>
      </c>
      <c r="D118" s="37" t="s">
        <v>27</v>
      </c>
      <c r="E118" s="30" t="b">
        <v>0</v>
      </c>
      <c r="F118" s="37" t="s">
        <v>23</v>
      </c>
      <c r="G118" s="37" t="s">
        <v>8</v>
      </c>
      <c r="H118" s="30">
        <v>0.16</v>
      </c>
      <c r="I118" s="30">
        <v>0.23</v>
      </c>
      <c r="J118" s="30">
        <v>0.64</v>
      </c>
      <c r="K118" s="30">
        <v>0</v>
      </c>
      <c r="L118" s="30">
        <v>0</v>
      </c>
      <c r="M118" s="30">
        <v>4</v>
      </c>
      <c r="N118" s="30">
        <v>4</v>
      </c>
    </row>
    <row r="119" spans="1:14">
      <c r="A119" s="30">
        <v>118</v>
      </c>
      <c r="B119" s="31">
        <v>40549</v>
      </c>
      <c r="C119" s="30">
        <v>2</v>
      </c>
      <c r="D119" s="37" t="s">
        <v>27</v>
      </c>
      <c r="E119" s="30" t="b">
        <v>0</v>
      </c>
      <c r="F119" s="37" t="s">
        <v>23</v>
      </c>
      <c r="G119" s="37" t="s">
        <v>8</v>
      </c>
      <c r="H119" s="30">
        <v>0.16</v>
      </c>
      <c r="I119" s="30">
        <v>0.23</v>
      </c>
      <c r="J119" s="30">
        <v>0.64</v>
      </c>
      <c r="K119" s="30">
        <v>0</v>
      </c>
      <c r="L119" s="30">
        <v>0</v>
      </c>
      <c r="M119" s="30">
        <v>2</v>
      </c>
      <c r="N119" s="30">
        <v>2</v>
      </c>
    </row>
    <row r="120" spans="1:14">
      <c r="A120" s="30">
        <v>119</v>
      </c>
      <c r="B120" s="31">
        <v>40549</v>
      </c>
      <c r="C120" s="30">
        <v>4</v>
      </c>
      <c r="D120" s="37" t="s">
        <v>27</v>
      </c>
      <c r="E120" s="30" t="b">
        <v>0</v>
      </c>
      <c r="F120" s="37" t="s">
        <v>23</v>
      </c>
      <c r="G120" s="37" t="s">
        <v>9</v>
      </c>
      <c r="H120" s="30">
        <v>0.16</v>
      </c>
      <c r="I120" s="30">
        <v>0.2</v>
      </c>
      <c r="J120" s="30">
        <v>0.64</v>
      </c>
      <c r="K120" s="30">
        <v>0.09</v>
      </c>
      <c r="L120" s="30">
        <v>0</v>
      </c>
      <c r="M120" s="30">
        <v>1</v>
      </c>
      <c r="N120" s="30">
        <v>1</v>
      </c>
    </row>
    <row r="121" spans="1:14">
      <c r="A121" s="30">
        <v>120</v>
      </c>
      <c r="B121" s="31">
        <v>40549</v>
      </c>
      <c r="C121" s="30">
        <v>5</v>
      </c>
      <c r="D121" s="37" t="s">
        <v>27</v>
      </c>
      <c r="E121" s="30" t="b">
        <v>0</v>
      </c>
      <c r="F121" s="37" t="s">
        <v>23</v>
      </c>
      <c r="G121" s="37" t="s">
        <v>9</v>
      </c>
      <c r="H121" s="30">
        <v>0.14000000000000001</v>
      </c>
      <c r="I121" s="30">
        <v>0.18</v>
      </c>
      <c r="J121" s="30">
        <v>0.69</v>
      </c>
      <c r="K121" s="30">
        <v>0.09</v>
      </c>
      <c r="L121" s="30">
        <v>0</v>
      </c>
      <c r="M121" s="30">
        <v>4</v>
      </c>
      <c r="N121" s="30">
        <v>4</v>
      </c>
    </row>
    <row r="122" spans="1:14">
      <c r="A122" s="30">
        <v>121</v>
      </c>
      <c r="B122" s="31">
        <v>40549</v>
      </c>
      <c r="C122" s="30">
        <v>6</v>
      </c>
      <c r="D122" s="37" t="s">
        <v>28</v>
      </c>
      <c r="E122" s="30" t="b">
        <v>0</v>
      </c>
      <c r="F122" s="37" t="s">
        <v>23</v>
      </c>
      <c r="G122" s="37" t="s">
        <v>9</v>
      </c>
      <c r="H122" s="30">
        <v>0.14000000000000001</v>
      </c>
      <c r="I122" s="30">
        <v>0.17</v>
      </c>
      <c r="J122" s="30">
        <v>0.63</v>
      </c>
      <c r="K122" s="30">
        <v>0.1</v>
      </c>
      <c r="L122" s="30">
        <v>0</v>
      </c>
      <c r="M122" s="30">
        <v>36</v>
      </c>
      <c r="N122" s="30">
        <v>36</v>
      </c>
    </row>
    <row r="123" spans="1:14">
      <c r="A123" s="30">
        <v>122</v>
      </c>
      <c r="B123" s="31">
        <v>40549</v>
      </c>
      <c r="C123" s="30">
        <v>7</v>
      </c>
      <c r="D123" s="37" t="s">
        <v>28</v>
      </c>
      <c r="E123" s="30" t="b">
        <v>0</v>
      </c>
      <c r="F123" s="37" t="s">
        <v>23</v>
      </c>
      <c r="G123" s="37" t="s">
        <v>9</v>
      </c>
      <c r="H123" s="30">
        <v>0.16</v>
      </c>
      <c r="I123" s="30">
        <v>0.23</v>
      </c>
      <c r="J123" s="30">
        <v>0.59</v>
      </c>
      <c r="K123" s="30">
        <v>0</v>
      </c>
      <c r="L123" s="30">
        <v>0</v>
      </c>
      <c r="M123" s="30">
        <v>95</v>
      </c>
      <c r="N123" s="30">
        <v>95</v>
      </c>
    </row>
    <row r="124" spans="1:14">
      <c r="A124" s="30">
        <v>123</v>
      </c>
      <c r="B124" s="31">
        <v>40549</v>
      </c>
      <c r="C124" s="30">
        <v>8</v>
      </c>
      <c r="D124" s="37" t="s">
        <v>28</v>
      </c>
      <c r="E124" s="30" t="b">
        <v>0</v>
      </c>
      <c r="F124" s="37" t="s">
        <v>23</v>
      </c>
      <c r="G124" s="37" t="s">
        <v>8</v>
      </c>
      <c r="H124" s="30">
        <v>0.16</v>
      </c>
      <c r="I124" s="30">
        <v>0.23</v>
      </c>
      <c r="J124" s="30">
        <v>0.59</v>
      </c>
      <c r="K124" s="30">
        <v>0</v>
      </c>
      <c r="L124" s="30">
        <v>3</v>
      </c>
      <c r="M124" s="30">
        <v>216</v>
      </c>
      <c r="N124" s="30">
        <v>219</v>
      </c>
    </row>
    <row r="125" spans="1:14">
      <c r="A125" s="30">
        <v>124</v>
      </c>
      <c r="B125" s="31">
        <v>40549</v>
      </c>
      <c r="C125" s="30">
        <v>9</v>
      </c>
      <c r="D125" s="37" t="s">
        <v>28</v>
      </c>
      <c r="E125" s="30" t="b">
        <v>0</v>
      </c>
      <c r="F125" s="37" t="s">
        <v>23</v>
      </c>
      <c r="G125" s="37" t="s">
        <v>9</v>
      </c>
      <c r="H125" s="30">
        <v>0.18</v>
      </c>
      <c r="I125" s="30">
        <v>0.24</v>
      </c>
      <c r="J125" s="30">
        <v>0.51</v>
      </c>
      <c r="K125" s="30">
        <v>0</v>
      </c>
      <c r="L125" s="30">
        <v>6</v>
      </c>
      <c r="M125" s="30">
        <v>116</v>
      </c>
      <c r="N125" s="30">
        <v>122</v>
      </c>
    </row>
    <row r="126" spans="1:14">
      <c r="A126" s="30">
        <v>125</v>
      </c>
      <c r="B126" s="31">
        <v>40549</v>
      </c>
      <c r="C126" s="30">
        <v>10</v>
      </c>
      <c r="D126" s="37" t="s">
        <v>28</v>
      </c>
      <c r="E126" s="30" t="b">
        <v>0</v>
      </c>
      <c r="F126" s="37" t="s">
        <v>23</v>
      </c>
      <c r="G126" s="37" t="s">
        <v>8</v>
      </c>
      <c r="H126" s="30">
        <v>0.2</v>
      </c>
      <c r="I126" s="30">
        <v>0.26</v>
      </c>
      <c r="J126" s="30">
        <v>0.47</v>
      </c>
      <c r="K126" s="30">
        <v>0</v>
      </c>
      <c r="L126" s="30">
        <v>3</v>
      </c>
      <c r="M126" s="30">
        <v>42</v>
      </c>
      <c r="N126" s="30">
        <v>45</v>
      </c>
    </row>
    <row r="127" spans="1:14">
      <c r="A127" s="30">
        <v>126</v>
      </c>
      <c r="B127" s="31">
        <v>40549</v>
      </c>
      <c r="C127" s="30">
        <v>11</v>
      </c>
      <c r="D127" s="37" t="s">
        <v>28</v>
      </c>
      <c r="E127" s="30" t="b">
        <v>0</v>
      </c>
      <c r="F127" s="37" t="s">
        <v>23</v>
      </c>
      <c r="G127" s="37" t="s">
        <v>8</v>
      </c>
      <c r="H127" s="30">
        <v>0.22</v>
      </c>
      <c r="I127" s="30">
        <v>0.26</v>
      </c>
      <c r="J127" s="30">
        <v>0.44</v>
      </c>
      <c r="K127" s="30">
        <v>0.09</v>
      </c>
      <c r="L127" s="30">
        <v>2</v>
      </c>
      <c r="M127" s="30">
        <v>57</v>
      </c>
      <c r="N127" s="30">
        <v>59</v>
      </c>
    </row>
    <row r="128" spans="1:14">
      <c r="A128" s="30">
        <v>127</v>
      </c>
      <c r="B128" s="31">
        <v>40549</v>
      </c>
      <c r="C128" s="30">
        <v>12</v>
      </c>
      <c r="D128" s="37" t="s">
        <v>29</v>
      </c>
      <c r="E128" s="30" t="b">
        <v>0</v>
      </c>
      <c r="F128" s="37" t="s">
        <v>23</v>
      </c>
      <c r="G128" s="37" t="s">
        <v>8</v>
      </c>
      <c r="H128" s="30">
        <v>0.26</v>
      </c>
      <c r="I128" s="30">
        <v>0.28999999999999998</v>
      </c>
      <c r="J128" s="30">
        <v>0.35</v>
      </c>
      <c r="K128" s="30">
        <v>0</v>
      </c>
      <c r="L128" s="30">
        <v>6</v>
      </c>
      <c r="M128" s="30">
        <v>78</v>
      </c>
      <c r="N128" s="30">
        <v>84</v>
      </c>
    </row>
    <row r="129" spans="1:14">
      <c r="A129" s="30">
        <v>128</v>
      </c>
      <c r="B129" s="31">
        <v>40549</v>
      </c>
      <c r="C129" s="30">
        <v>13</v>
      </c>
      <c r="D129" s="37" t="s">
        <v>29</v>
      </c>
      <c r="E129" s="30" t="b">
        <v>0</v>
      </c>
      <c r="F129" s="37" t="s">
        <v>23</v>
      </c>
      <c r="G129" s="37" t="s">
        <v>8</v>
      </c>
      <c r="H129" s="30">
        <v>0.26</v>
      </c>
      <c r="I129" s="30">
        <v>0.27</v>
      </c>
      <c r="J129" s="30">
        <v>0.35</v>
      </c>
      <c r="K129" s="30">
        <v>0.1</v>
      </c>
      <c r="L129" s="30">
        <v>12</v>
      </c>
      <c r="M129" s="30">
        <v>55</v>
      </c>
      <c r="N129" s="30">
        <v>67</v>
      </c>
    </row>
    <row r="130" spans="1:14">
      <c r="A130" s="30">
        <v>129</v>
      </c>
      <c r="B130" s="31">
        <v>40549</v>
      </c>
      <c r="C130" s="30">
        <v>14</v>
      </c>
      <c r="D130" s="37" t="s">
        <v>29</v>
      </c>
      <c r="E130" s="30" t="b">
        <v>0</v>
      </c>
      <c r="F130" s="37" t="s">
        <v>23</v>
      </c>
      <c r="G130" s="37" t="s">
        <v>8</v>
      </c>
      <c r="H130" s="30">
        <v>0.28000000000000003</v>
      </c>
      <c r="I130" s="30">
        <v>0.27</v>
      </c>
      <c r="J130" s="30">
        <v>0.36</v>
      </c>
      <c r="K130" s="30">
        <v>0.16</v>
      </c>
      <c r="L130" s="30">
        <v>11</v>
      </c>
      <c r="M130" s="30">
        <v>59</v>
      </c>
      <c r="N130" s="30">
        <v>70</v>
      </c>
    </row>
    <row r="131" spans="1:14">
      <c r="A131" s="30">
        <v>130</v>
      </c>
      <c r="B131" s="31">
        <v>40549</v>
      </c>
      <c r="C131" s="30">
        <v>15</v>
      </c>
      <c r="D131" s="37" t="s">
        <v>29</v>
      </c>
      <c r="E131" s="30" t="b">
        <v>0</v>
      </c>
      <c r="F131" s="37" t="s">
        <v>23</v>
      </c>
      <c r="G131" s="37" t="s">
        <v>8</v>
      </c>
      <c r="H131" s="30">
        <v>0.28000000000000003</v>
      </c>
      <c r="I131" s="30">
        <v>0.27</v>
      </c>
      <c r="J131" s="30">
        <v>0.36</v>
      </c>
      <c r="K131" s="30">
        <v>0</v>
      </c>
      <c r="L131" s="30">
        <v>8</v>
      </c>
      <c r="M131" s="30">
        <v>54</v>
      </c>
      <c r="N131" s="30">
        <v>62</v>
      </c>
    </row>
    <row r="132" spans="1:14">
      <c r="A132" s="30">
        <v>131</v>
      </c>
      <c r="B132" s="31">
        <v>40549</v>
      </c>
      <c r="C132" s="30">
        <v>16</v>
      </c>
      <c r="D132" s="37" t="s">
        <v>29</v>
      </c>
      <c r="E132" s="30" t="b">
        <v>0</v>
      </c>
      <c r="F132" s="37" t="s">
        <v>23</v>
      </c>
      <c r="G132" s="37" t="s">
        <v>8</v>
      </c>
      <c r="H132" s="30">
        <v>0.26</v>
      </c>
      <c r="I132" s="30">
        <v>0.26</v>
      </c>
      <c r="J132" s="30">
        <v>0.38</v>
      </c>
      <c r="K132" s="30">
        <v>0.16</v>
      </c>
      <c r="L132" s="30">
        <v>12</v>
      </c>
      <c r="M132" s="30">
        <v>74</v>
      </c>
      <c r="N132" s="30">
        <v>86</v>
      </c>
    </row>
    <row r="133" spans="1:14">
      <c r="A133" s="30">
        <v>132</v>
      </c>
      <c r="B133" s="31">
        <v>40549</v>
      </c>
      <c r="C133" s="30">
        <v>17</v>
      </c>
      <c r="D133" s="37" t="s">
        <v>29</v>
      </c>
      <c r="E133" s="30" t="b">
        <v>0</v>
      </c>
      <c r="F133" s="37" t="s">
        <v>23</v>
      </c>
      <c r="G133" s="37" t="s">
        <v>8</v>
      </c>
      <c r="H133" s="30">
        <v>0.22</v>
      </c>
      <c r="I133" s="30">
        <v>0.23</v>
      </c>
      <c r="J133" s="30">
        <v>0.51</v>
      </c>
      <c r="K133" s="30">
        <v>0.16</v>
      </c>
      <c r="L133" s="30">
        <v>9</v>
      </c>
      <c r="M133" s="30">
        <v>163</v>
      </c>
      <c r="N133" s="30">
        <v>172</v>
      </c>
    </row>
    <row r="134" spans="1:14">
      <c r="A134" s="30">
        <v>133</v>
      </c>
      <c r="B134" s="31">
        <v>40549</v>
      </c>
      <c r="C134" s="30">
        <v>18</v>
      </c>
      <c r="D134" s="37" t="s">
        <v>30</v>
      </c>
      <c r="E134" s="30" t="b">
        <v>0</v>
      </c>
      <c r="F134" s="37" t="s">
        <v>23</v>
      </c>
      <c r="G134" s="37" t="s">
        <v>8</v>
      </c>
      <c r="H134" s="30">
        <v>0.22</v>
      </c>
      <c r="I134" s="30">
        <v>0.23</v>
      </c>
      <c r="J134" s="30">
        <v>0.51</v>
      </c>
      <c r="K134" s="30">
        <v>0.13</v>
      </c>
      <c r="L134" s="30">
        <v>5</v>
      </c>
      <c r="M134" s="30">
        <v>158</v>
      </c>
      <c r="N134" s="30">
        <v>163</v>
      </c>
    </row>
    <row r="135" spans="1:14">
      <c r="A135" s="30">
        <v>134</v>
      </c>
      <c r="B135" s="31">
        <v>40549</v>
      </c>
      <c r="C135" s="30">
        <v>19</v>
      </c>
      <c r="D135" s="37" t="s">
        <v>30</v>
      </c>
      <c r="E135" s="30" t="b">
        <v>0</v>
      </c>
      <c r="F135" s="37" t="s">
        <v>23</v>
      </c>
      <c r="G135" s="37" t="s">
        <v>8</v>
      </c>
      <c r="H135" s="30">
        <v>0.22</v>
      </c>
      <c r="I135" s="30">
        <v>0.26</v>
      </c>
      <c r="J135" s="30">
        <v>0.55000000000000004</v>
      </c>
      <c r="K135" s="30">
        <v>0.09</v>
      </c>
      <c r="L135" s="30">
        <v>3</v>
      </c>
      <c r="M135" s="30">
        <v>109</v>
      </c>
      <c r="N135" s="30">
        <v>112</v>
      </c>
    </row>
    <row r="136" spans="1:14">
      <c r="A136" s="30">
        <v>135</v>
      </c>
      <c r="B136" s="31">
        <v>40549</v>
      </c>
      <c r="C136" s="30">
        <v>20</v>
      </c>
      <c r="D136" s="37" t="s">
        <v>30</v>
      </c>
      <c r="E136" s="30" t="b">
        <v>0</v>
      </c>
      <c r="F136" s="37" t="s">
        <v>23</v>
      </c>
      <c r="G136" s="37" t="s">
        <v>8</v>
      </c>
      <c r="H136" s="30">
        <v>0.2</v>
      </c>
      <c r="I136" s="30">
        <v>0.21</v>
      </c>
      <c r="J136" s="30">
        <v>0.51</v>
      </c>
      <c r="K136" s="30">
        <v>0.16</v>
      </c>
      <c r="L136" s="30">
        <v>3</v>
      </c>
      <c r="M136" s="30">
        <v>66</v>
      </c>
      <c r="N136" s="30">
        <v>69</v>
      </c>
    </row>
    <row r="137" spans="1:14">
      <c r="A137" s="30">
        <v>136</v>
      </c>
      <c r="B137" s="31">
        <v>40549</v>
      </c>
      <c r="C137" s="30">
        <v>21</v>
      </c>
      <c r="D137" s="37" t="s">
        <v>30</v>
      </c>
      <c r="E137" s="30" t="b">
        <v>0</v>
      </c>
      <c r="F137" s="37" t="s">
        <v>23</v>
      </c>
      <c r="G137" s="37" t="s">
        <v>9</v>
      </c>
      <c r="H137" s="30">
        <v>0.22</v>
      </c>
      <c r="I137" s="30">
        <v>0.21</v>
      </c>
      <c r="J137" s="30">
        <v>0.55000000000000004</v>
      </c>
      <c r="K137" s="30">
        <v>0.22</v>
      </c>
      <c r="L137" s="30">
        <v>0</v>
      </c>
      <c r="M137" s="30">
        <v>48</v>
      </c>
      <c r="N137" s="30">
        <v>48</v>
      </c>
    </row>
    <row r="138" spans="1:14">
      <c r="A138" s="30">
        <v>137</v>
      </c>
      <c r="B138" s="31">
        <v>40549</v>
      </c>
      <c r="C138" s="30">
        <v>22</v>
      </c>
      <c r="D138" s="37" t="s">
        <v>30</v>
      </c>
      <c r="E138" s="30" t="b">
        <v>0</v>
      </c>
      <c r="F138" s="37" t="s">
        <v>23</v>
      </c>
      <c r="G138" s="37" t="s">
        <v>9</v>
      </c>
      <c r="H138" s="30">
        <v>0.22</v>
      </c>
      <c r="I138" s="30">
        <v>0.21</v>
      </c>
      <c r="J138" s="30">
        <v>0.51</v>
      </c>
      <c r="K138" s="30">
        <v>0.28000000000000003</v>
      </c>
      <c r="L138" s="30">
        <v>1</v>
      </c>
      <c r="M138" s="30">
        <v>51</v>
      </c>
      <c r="N138" s="30">
        <v>52</v>
      </c>
    </row>
    <row r="139" spans="1:14">
      <c r="A139" s="30">
        <v>138</v>
      </c>
      <c r="B139" s="31">
        <v>40549</v>
      </c>
      <c r="C139" s="30">
        <v>23</v>
      </c>
      <c r="D139" s="37" t="s">
        <v>30</v>
      </c>
      <c r="E139" s="30" t="b">
        <v>0</v>
      </c>
      <c r="F139" s="37" t="s">
        <v>23</v>
      </c>
      <c r="G139" s="37" t="s">
        <v>9</v>
      </c>
      <c r="H139" s="30">
        <v>0.2</v>
      </c>
      <c r="I139" s="30">
        <v>0.2</v>
      </c>
      <c r="J139" s="30">
        <v>0.59</v>
      </c>
      <c r="K139" s="30">
        <v>0.19</v>
      </c>
      <c r="L139" s="30">
        <v>4</v>
      </c>
      <c r="M139" s="30">
        <v>19</v>
      </c>
      <c r="N139" s="30">
        <v>23</v>
      </c>
    </row>
    <row r="140" spans="1:14">
      <c r="A140" s="30">
        <v>139</v>
      </c>
      <c r="B140" s="31">
        <v>40550</v>
      </c>
      <c r="C140" s="30">
        <v>0</v>
      </c>
      <c r="D140" s="37" t="s">
        <v>27</v>
      </c>
      <c r="E140" s="30" t="b">
        <v>0</v>
      </c>
      <c r="F140" s="37" t="s">
        <v>24</v>
      </c>
      <c r="G140" s="37" t="s">
        <v>9</v>
      </c>
      <c r="H140" s="30">
        <v>0.2</v>
      </c>
      <c r="I140" s="30">
        <v>0.2</v>
      </c>
      <c r="J140" s="30">
        <v>0.64</v>
      </c>
      <c r="K140" s="30">
        <v>0.19</v>
      </c>
      <c r="L140" s="30">
        <v>4</v>
      </c>
      <c r="M140" s="30">
        <v>13</v>
      </c>
      <c r="N140" s="30">
        <v>17</v>
      </c>
    </row>
    <row r="141" spans="1:14">
      <c r="A141" s="30">
        <v>140</v>
      </c>
      <c r="B141" s="31">
        <v>40550</v>
      </c>
      <c r="C141" s="30">
        <v>1</v>
      </c>
      <c r="D141" s="37" t="s">
        <v>27</v>
      </c>
      <c r="E141" s="30" t="b">
        <v>0</v>
      </c>
      <c r="F141" s="37" t="s">
        <v>24</v>
      </c>
      <c r="G141" s="37" t="s">
        <v>9</v>
      </c>
      <c r="H141" s="30">
        <v>0.2</v>
      </c>
      <c r="I141" s="30">
        <v>0.2</v>
      </c>
      <c r="J141" s="30">
        <v>0.69</v>
      </c>
      <c r="K141" s="30">
        <v>0.22</v>
      </c>
      <c r="L141" s="30">
        <v>2</v>
      </c>
      <c r="M141" s="30">
        <v>5</v>
      </c>
      <c r="N141" s="30">
        <v>7</v>
      </c>
    </row>
    <row r="142" spans="1:14">
      <c r="A142" s="30">
        <v>141</v>
      </c>
      <c r="B142" s="31">
        <v>40550</v>
      </c>
      <c r="C142" s="30">
        <v>2</v>
      </c>
      <c r="D142" s="37" t="s">
        <v>27</v>
      </c>
      <c r="E142" s="30" t="b">
        <v>0</v>
      </c>
      <c r="F142" s="37" t="s">
        <v>24</v>
      </c>
      <c r="G142" s="37" t="s">
        <v>9</v>
      </c>
      <c r="H142" s="30">
        <v>0.2</v>
      </c>
      <c r="I142" s="30">
        <v>0.2</v>
      </c>
      <c r="J142" s="30">
        <v>0.69</v>
      </c>
      <c r="K142" s="30">
        <v>0.22</v>
      </c>
      <c r="L142" s="30">
        <v>0</v>
      </c>
      <c r="M142" s="30">
        <v>1</v>
      </c>
      <c r="N142" s="30">
        <v>1</v>
      </c>
    </row>
    <row r="143" spans="1:14">
      <c r="A143" s="30">
        <v>142</v>
      </c>
      <c r="B143" s="31">
        <v>40550</v>
      </c>
      <c r="C143" s="30">
        <v>4</v>
      </c>
      <c r="D143" s="37" t="s">
        <v>27</v>
      </c>
      <c r="E143" s="30" t="b">
        <v>0</v>
      </c>
      <c r="F143" s="37" t="s">
        <v>24</v>
      </c>
      <c r="G143" s="37" t="s">
        <v>9</v>
      </c>
      <c r="H143" s="30">
        <v>0.2</v>
      </c>
      <c r="I143" s="30">
        <v>0.21</v>
      </c>
      <c r="J143" s="30">
        <v>0.69</v>
      </c>
      <c r="K143" s="30">
        <v>0.13</v>
      </c>
      <c r="L143" s="30">
        <v>0</v>
      </c>
      <c r="M143" s="30">
        <v>1</v>
      </c>
      <c r="N143" s="30">
        <v>1</v>
      </c>
    </row>
    <row r="144" spans="1:14">
      <c r="A144" s="30">
        <v>143</v>
      </c>
      <c r="B144" s="31">
        <v>40550</v>
      </c>
      <c r="C144" s="30">
        <v>5</v>
      </c>
      <c r="D144" s="37" t="s">
        <v>27</v>
      </c>
      <c r="E144" s="30" t="b">
        <v>0</v>
      </c>
      <c r="F144" s="37" t="s">
        <v>24</v>
      </c>
      <c r="G144" s="37" t="s">
        <v>10</v>
      </c>
      <c r="H144" s="30">
        <v>0.22</v>
      </c>
      <c r="I144" s="30">
        <v>0.27</v>
      </c>
      <c r="J144" s="30">
        <v>0.55000000000000004</v>
      </c>
      <c r="K144" s="30">
        <v>0</v>
      </c>
      <c r="L144" s="30">
        <v>0</v>
      </c>
      <c r="M144" s="30">
        <v>5</v>
      </c>
      <c r="N144" s="30">
        <v>5</v>
      </c>
    </row>
    <row r="145" spans="1:14">
      <c r="A145" s="30">
        <v>144</v>
      </c>
      <c r="B145" s="31">
        <v>40550</v>
      </c>
      <c r="C145" s="30">
        <v>6</v>
      </c>
      <c r="D145" s="37" t="s">
        <v>28</v>
      </c>
      <c r="E145" s="30" t="b">
        <v>0</v>
      </c>
      <c r="F145" s="37" t="s">
        <v>24</v>
      </c>
      <c r="G145" s="37" t="s">
        <v>9</v>
      </c>
      <c r="H145" s="30">
        <v>0.2</v>
      </c>
      <c r="I145" s="30">
        <v>0.26</v>
      </c>
      <c r="J145" s="30">
        <v>0.69</v>
      </c>
      <c r="K145" s="30">
        <v>0</v>
      </c>
      <c r="L145" s="30">
        <v>8</v>
      </c>
      <c r="M145" s="30">
        <v>26</v>
      </c>
      <c r="N145" s="30">
        <v>34</v>
      </c>
    </row>
    <row r="146" spans="1:14">
      <c r="A146" s="30">
        <v>145</v>
      </c>
      <c r="B146" s="31">
        <v>40550</v>
      </c>
      <c r="C146" s="30">
        <v>7</v>
      </c>
      <c r="D146" s="37" t="s">
        <v>28</v>
      </c>
      <c r="E146" s="30" t="b">
        <v>0</v>
      </c>
      <c r="F146" s="37" t="s">
        <v>24</v>
      </c>
      <c r="G146" s="37" t="s">
        <v>8</v>
      </c>
      <c r="H146" s="30">
        <v>0.2</v>
      </c>
      <c r="I146" s="30">
        <v>0.21</v>
      </c>
      <c r="J146" s="30">
        <v>0.69</v>
      </c>
      <c r="K146" s="30">
        <v>0.13</v>
      </c>
      <c r="L146" s="30">
        <v>8</v>
      </c>
      <c r="M146" s="30">
        <v>76</v>
      </c>
      <c r="N146" s="30">
        <v>84</v>
      </c>
    </row>
    <row r="147" spans="1:14">
      <c r="A147" s="30">
        <v>146</v>
      </c>
      <c r="B147" s="31">
        <v>40550</v>
      </c>
      <c r="C147" s="30">
        <v>8</v>
      </c>
      <c r="D147" s="37" t="s">
        <v>28</v>
      </c>
      <c r="E147" s="30" t="b">
        <v>0</v>
      </c>
      <c r="F147" s="37" t="s">
        <v>24</v>
      </c>
      <c r="G147" s="37" t="s">
        <v>8</v>
      </c>
      <c r="H147" s="30">
        <v>0.2</v>
      </c>
      <c r="I147" s="30">
        <v>0.2</v>
      </c>
      <c r="J147" s="30">
        <v>0.51</v>
      </c>
      <c r="K147" s="30">
        <v>0.25</v>
      </c>
      <c r="L147" s="30">
        <v>20</v>
      </c>
      <c r="M147" s="30">
        <v>190</v>
      </c>
      <c r="N147" s="30">
        <v>210</v>
      </c>
    </row>
    <row r="148" spans="1:14">
      <c r="A148" s="30">
        <v>147</v>
      </c>
      <c r="B148" s="31">
        <v>40550</v>
      </c>
      <c r="C148" s="30">
        <v>9</v>
      </c>
      <c r="D148" s="37" t="s">
        <v>28</v>
      </c>
      <c r="E148" s="30" t="b">
        <v>0</v>
      </c>
      <c r="F148" s="37" t="s">
        <v>24</v>
      </c>
      <c r="G148" s="37" t="s">
        <v>8</v>
      </c>
      <c r="H148" s="30">
        <v>0.2</v>
      </c>
      <c r="I148" s="30">
        <v>0.18</v>
      </c>
      <c r="J148" s="30">
        <v>0.47</v>
      </c>
      <c r="K148" s="30">
        <v>0.3</v>
      </c>
      <c r="L148" s="30">
        <v>9</v>
      </c>
      <c r="M148" s="30">
        <v>125</v>
      </c>
      <c r="N148" s="30">
        <v>134</v>
      </c>
    </row>
    <row r="149" spans="1:14">
      <c r="A149" s="30">
        <v>148</v>
      </c>
      <c r="B149" s="31">
        <v>40550</v>
      </c>
      <c r="C149" s="30">
        <v>10</v>
      </c>
      <c r="D149" s="37" t="s">
        <v>28</v>
      </c>
      <c r="E149" s="30" t="b">
        <v>0</v>
      </c>
      <c r="F149" s="37" t="s">
        <v>24</v>
      </c>
      <c r="G149" s="37" t="s">
        <v>8</v>
      </c>
      <c r="H149" s="30">
        <v>0.22</v>
      </c>
      <c r="I149" s="30">
        <v>0.2</v>
      </c>
      <c r="J149" s="30">
        <v>0.37</v>
      </c>
      <c r="K149" s="30">
        <v>0.33</v>
      </c>
      <c r="L149" s="30">
        <v>16</v>
      </c>
      <c r="M149" s="30">
        <v>47</v>
      </c>
      <c r="N149" s="30">
        <v>63</v>
      </c>
    </row>
    <row r="150" spans="1:14">
      <c r="A150" s="30">
        <v>149</v>
      </c>
      <c r="B150" s="31">
        <v>40550</v>
      </c>
      <c r="C150" s="30">
        <v>11</v>
      </c>
      <c r="D150" s="37" t="s">
        <v>28</v>
      </c>
      <c r="E150" s="30" t="b">
        <v>0</v>
      </c>
      <c r="F150" s="37" t="s">
        <v>24</v>
      </c>
      <c r="G150" s="37" t="s">
        <v>9</v>
      </c>
      <c r="H150" s="30">
        <v>0.2</v>
      </c>
      <c r="I150" s="30">
        <v>0.2</v>
      </c>
      <c r="J150" s="30">
        <v>0.4</v>
      </c>
      <c r="K150" s="30">
        <v>0.22</v>
      </c>
      <c r="L150" s="30">
        <v>19</v>
      </c>
      <c r="M150" s="30">
        <v>48</v>
      </c>
      <c r="N150" s="30">
        <v>67</v>
      </c>
    </row>
    <row r="151" spans="1:14">
      <c r="A151" s="30">
        <v>150</v>
      </c>
      <c r="B151" s="31">
        <v>40550</v>
      </c>
      <c r="C151" s="30">
        <v>12</v>
      </c>
      <c r="D151" s="37" t="s">
        <v>29</v>
      </c>
      <c r="E151" s="30" t="b">
        <v>0</v>
      </c>
      <c r="F151" s="37" t="s">
        <v>24</v>
      </c>
      <c r="G151" s="37" t="s">
        <v>9</v>
      </c>
      <c r="H151" s="30">
        <v>0.2</v>
      </c>
      <c r="I151" s="30">
        <v>0.2</v>
      </c>
      <c r="J151" s="30">
        <v>0.37</v>
      </c>
      <c r="K151" s="30">
        <v>0.25</v>
      </c>
      <c r="L151" s="30">
        <v>9</v>
      </c>
      <c r="M151" s="30">
        <v>50</v>
      </c>
      <c r="N151" s="30">
        <v>59</v>
      </c>
    </row>
    <row r="152" spans="1:14">
      <c r="A152" s="30">
        <v>151</v>
      </c>
      <c r="B152" s="31">
        <v>40550</v>
      </c>
      <c r="C152" s="30">
        <v>13</v>
      </c>
      <c r="D152" s="37" t="s">
        <v>29</v>
      </c>
      <c r="E152" s="30" t="b">
        <v>0</v>
      </c>
      <c r="F152" s="37" t="s">
        <v>24</v>
      </c>
      <c r="G152" s="37" t="s">
        <v>9</v>
      </c>
      <c r="H152" s="30">
        <v>0.2</v>
      </c>
      <c r="I152" s="30">
        <v>0.18</v>
      </c>
      <c r="J152" s="30">
        <v>0.37</v>
      </c>
      <c r="K152" s="30">
        <v>0.28000000000000003</v>
      </c>
      <c r="L152" s="30">
        <v>9</v>
      </c>
      <c r="M152" s="30">
        <v>64</v>
      </c>
      <c r="N152" s="30">
        <v>73</v>
      </c>
    </row>
    <row r="153" spans="1:14">
      <c r="A153" s="30">
        <v>152</v>
      </c>
      <c r="B153" s="31">
        <v>40550</v>
      </c>
      <c r="C153" s="30">
        <v>14</v>
      </c>
      <c r="D153" s="37" t="s">
        <v>29</v>
      </c>
      <c r="E153" s="30" t="b">
        <v>0</v>
      </c>
      <c r="F153" s="37" t="s">
        <v>24</v>
      </c>
      <c r="G153" s="37" t="s">
        <v>9</v>
      </c>
      <c r="H153" s="30">
        <v>0.2</v>
      </c>
      <c r="I153" s="30">
        <v>0.2</v>
      </c>
      <c r="J153" s="30">
        <v>0.4</v>
      </c>
      <c r="K153" s="30">
        <v>0.25</v>
      </c>
      <c r="L153" s="30">
        <v>7</v>
      </c>
      <c r="M153" s="30">
        <v>43</v>
      </c>
      <c r="N153" s="30">
        <v>50</v>
      </c>
    </row>
    <row r="154" spans="1:14">
      <c r="A154" s="30">
        <v>153</v>
      </c>
      <c r="B154" s="31">
        <v>40550</v>
      </c>
      <c r="C154" s="30">
        <v>15</v>
      </c>
      <c r="D154" s="37" t="s">
        <v>29</v>
      </c>
      <c r="E154" s="30" t="b">
        <v>0</v>
      </c>
      <c r="F154" s="37" t="s">
        <v>24</v>
      </c>
      <c r="G154" s="37" t="s">
        <v>9</v>
      </c>
      <c r="H154" s="30">
        <v>0.2</v>
      </c>
      <c r="I154" s="30">
        <v>0.21</v>
      </c>
      <c r="J154" s="30">
        <v>0.37</v>
      </c>
      <c r="K154" s="30">
        <v>0.16</v>
      </c>
      <c r="L154" s="30">
        <v>9</v>
      </c>
      <c r="M154" s="30">
        <v>63</v>
      </c>
      <c r="N154" s="30">
        <v>72</v>
      </c>
    </row>
    <row r="155" spans="1:14">
      <c r="A155" s="30">
        <v>154</v>
      </c>
      <c r="B155" s="31">
        <v>40550</v>
      </c>
      <c r="C155" s="30">
        <v>16</v>
      </c>
      <c r="D155" s="37" t="s">
        <v>29</v>
      </c>
      <c r="E155" s="30" t="b">
        <v>0</v>
      </c>
      <c r="F155" s="37" t="s">
        <v>24</v>
      </c>
      <c r="G155" s="37" t="s">
        <v>9</v>
      </c>
      <c r="H155" s="30">
        <v>0.2</v>
      </c>
      <c r="I155" s="30">
        <v>0.21</v>
      </c>
      <c r="J155" s="30">
        <v>0.37</v>
      </c>
      <c r="K155" s="30">
        <v>0.16</v>
      </c>
      <c r="L155" s="30">
        <v>5</v>
      </c>
      <c r="M155" s="30">
        <v>82</v>
      </c>
      <c r="N155" s="30">
        <v>87</v>
      </c>
    </row>
    <row r="156" spans="1:14">
      <c r="A156" s="30">
        <v>155</v>
      </c>
      <c r="B156" s="31">
        <v>40550</v>
      </c>
      <c r="C156" s="30">
        <v>17</v>
      </c>
      <c r="D156" s="37" t="s">
        <v>29</v>
      </c>
      <c r="E156" s="30" t="b">
        <v>0</v>
      </c>
      <c r="F156" s="37" t="s">
        <v>24</v>
      </c>
      <c r="G156" s="37" t="s">
        <v>9</v>
      </c>
      <c r="H156" s="30">
        <v>0.2</v>
      </c>
      <c r="I156" s="30">
        <v>0.26</v>
      </c>
      <c r="J156" s="30">
        <v>0.37</v>
      </c>
      <c r="K156" s="30">
        <v>0</v>
      </c>
      <c r="L156" s="30">
        <v>9</v>
      </c>
      <c r="M156" s="30">
        <v>178</v>
      </c>
      <c r="N156" s="30">
        <v>187</v>
      </c>
    </row>
    <row r="157" spans="1:14">
      <c r="A157" s="30">
        <v>156</v>
      </c>
      <c r="B157" s="31">
        <v>40550</v>
      </c>
      <c r="C157" s="30">
        <v>18</v>
      </c>
      <c r="D157" s="37" t="s">
        <v>30</v>
      </c>
      <c r="E157" s="30" t="b">
        <v>0</v>
      </c>
      <c r="F157" s="37" t="s">
        <v>24</v>
      </c>
      <c r="G157" s="37" t="s">
        <v>8</v>
      </c>
      <c r="H157" s="30">
        <v>0.2</v>
      </c>
      <c r="I157" s="30">
        <v>0.23</v>
      </c>
      <c r="J157" s="30">
        <v>0.4</v>
      </c>
      <c r="K157" s="30">
        <v>0.09</v>
      </c>
      <c r="L157" s="30">
        <v>7</v>
      </c>
      <c r="M157" s="30">
        <v>116</v>
      </c>
      <c r="N157" s="30">
        <v>123</v>
      </c>
    </row>
    <row r="158" spans="1:14">
      <c r="A158" s="30">
        <v>157</v>
      </c>
      <c r="B158" s="31">
        <v>40550</v>
      </c>
      <c r="C158" s="30">
        <v>19</v>
      </c>
      <c r="D158" s="37" t="s">
        <v>30</v>
      </c>
      <c r="E158" s="30" t="b">
        <v>0</v>
      </c>
      <c r="F158" s="37" t="s">
        <v>24</v>
      </c>
      <c r="G158" s="37" t="s">
        <v>8</v>
      </c>
      <c r="H158" s="30">
        <v>0.16</v>
      </c>
      <c r="I158" s="30">
        <v>0.2</v>
      </c>
      <c r="J158" s="30">
        <v>0.55000000000000004</v>
      </c>
      <c r="K158" s="30">
        <v>0.09</v>
      </c>
      <c r="L158" s="30">
        <v>3</v>
      </c>
      <c r="M158" s="30">
        <v>92</v>
      </c>
      <c r="N158" s="30">
        <v>95</v>
      </c>
    </row>
    <row r="159" spans="1:14">
      <c r="A159" s="30">
        <v>158</v>
      </c>
      <c r="B159" s="31">
        <v>40550</v>
      </c>
      <c r="C159" s="30">
        <v>20</v>
      </c>
      <c r="D159" s="37" t="s">
        <v>30</v>
      </c>
      <c r="E159" s="30" t="b">
        <v>0</v>
      </c>
      <c r="F159" s="37" t="s">
        <v>24</v>
      </c>
      <c r="G159" s="37" t="s">
        <v>8</v>
      </c>
      <c r="H159" s="30">
        <v>0.18</v>
      </c>
      <c r="I159" s="30">
        <v>0.21</v>
      </c>
      <c r="J159" s="30">
        <v>0.47</v>
      </c>
      <c r="K159" s="30">
        <v>0.1</v>
      </c>
      <c r="L159" s="30">
        <v>1</v>
      </c>
      <c r="M159" s="30">
        <v>50</v>
      </c>
      <c r="N159" s="30">
        <v>51</v>
      </c>
    </row>
    <row r="160" spans="1:14">
      <c r="A160" s="30">
        <v>159</v>
      </c>
      <c r="B160" s="31">
        <v>40550</v>
      </c>
      <c r="C160" s="30">
        <v>21</v>
      </c>
      <c r="D160" s="37" t="s">
        <v>30</v>
      </c>
      <c r="E160" s="30" t="b">
        <v>0</v>
      </c>
      <c r="F160" s="37" t="s">
        <v>24</v>
      </c>
      <c r="G160" s="37" t="s">
        <v>8</v>
      </c>
      <c r="H160" s="30">
        <v>0.18</v>
      </c>
      <c r="I160" s="30">
        <v>0.2</v>
      </c>
      <c r="J160" s="30">
        <v>0.47</v>
      </c>
      <c r="K160" s="30">
        <v>0.13</v>
      </c>
      <c r="L160" s="30">
        <v>0</v>
      </c>
      <c r="M160" s="30">
        <v>39</v>
      </c>
      <c r="N160" s="30">
        <v>39</v>
      </c>
    </row>
    <row r="161" spans="1:14">
      <c r="A161" s="30">
        <v>160</v>
      </c>
      <c r="B161" s="31">
        <v>40550</v>
      </c>
      <c r="C161" s="30">
        <v>22</v>
      </c>
      <c r="D161" s="37" t="s">
        <v>30</v>
      </c>
      <c r="E161" s="30" t="b">
        <v>0</v>
      </c>
      <c r="F161" s="37" t="s">
        <v>24</v>
      </c>
      <c r="G161" s="37" t="s">
        <v>9</v>
      </c>
      <c r="H161" s="30">
        <v>0.18</v>
      </c>
      <c r="I161" s="30">
        <v>0.2</v>
      </c>
      <c r="J161" s="30">
        <v>0.43</v>
      </c>
      <c r="K161" s="30">
        <v>0.16</v>
      </c>
      <c r="L161" s="30">
        <v>2</v>
      </c>
      <c r="M161" s="30">
        <v>34</v>
      </c>
      <c r="N161" s="30">
        <v>36</v>
      </c>
    </row>
    <row r="162" spans="1:14">
      <c r="A162" s="30">
        <v>161</v>
      </c>
      <c r="B162" s="31">
        <v>40550</v>
      </c>
      <c r="C162" s="30">
        <v>23</v>
      </c>
      <c r="D162" s="37" t="s">
        <v>30</v>
      </c>
      <c r="E162" s="30" t="b">
        <v>0</v>
      </c>
      <c r="F162" s="37" t="s">
        <v>24</v>
      </c>
      <c r="G162" s="37" t="s">
        <v>9</v>
      </c>
      <c r="H162" s="30">
        <v>0.18</v>
      </c>
      <c r="I162" s="30">
        <v>0.2</v>
      </c>
      <c r="J162" s="30">
        <v>0.51</v>
      </c>
      <c r="K162" s="30">
        <v>0.16</v>
      </c>
      <c r="L162" s="30">
        <v>1</v>
      </c>
      <c r="M162" s="30">
        <v>14</v>
      </c>
      <c r="N162" s="30">
        <v>15</v>
      </c>
    </row>
    <row r="163" spans="1:14">
      <c r="A163" s="30">
        <v>162</v>
      </c>
      <c r="B163" s="31">
        <v>40551</v>
      </c>
      <c r="C163" s="30">
        <v>0</v>
      </c>
      <c r="D163" s="37" t="s">
        <v>27</v>
      </c>
      <c r="E163" s="30" t="b">
        <v>0</v>
      </c>
      <c r="F163" s="37" t="s">
        <v>25</v>
      </c>
      <c r="G163" s="37" t="s">
        <v>9</v>
      </c>
      <c r="H163" s="30">
        <v>0.18</v>
      </c>
      <c r="I163" s="30">
        <v>0.2</v>
      </c>
      <c r="J163" s="30">
        <v>0.51</v>
      </c>
      <c r="K163" s="30">
        <v>0.16</v>
      </c>
      <c r="L163" s="30">
        <v>1</v>
      </c>
      <c r="M163" s="30">
        <v>24</v>
      </c>
      <c r="N163" s="30">
        <v>25</v>
      </c>
    </row>
    <row r="164" spans="1:14">
      <c r="A164" s="30">
        <v>163</v>
      </c>
      <c r="B164" s="31">
        <v>40551</v>
      </c>
      <c r="C164" s="30">
        <v>1</v>
      </c>
      <c r="D164" s="37" t="s">
        <v>27</v>
      </c>
      <c r="E164" s="30" t="b">
        <v>0</v>
      </c>
      <c r="F164" s="37" t="s">
        <v>25</v>
      </c>
      <c r="G164" s="37" t="s">
        <v>9</v>
      </c>
      <c r="H164" s="30">
        <v>0.18</v>
      </c>
      <c r="I164" s="30">
        <v>0.21</v>
      </c>
      <c r="J164" s="30">
        <v>0.55000000000000004</v>
      </c>
      <c r="K164" s="30">
        <v>0.09</v>
      </c>
      <c r="L164" s="30">
        <v>1</v>
      </c>
      <c r="M164" s="30">
        <v>15</v>
      </c>
      <c r="N164" s="30">
        <v>16</v>
      </c>
    </row>
    <row r="165" spans="1:14">
      <c r="A165" s="30">
        <v>164</v>
      </c>
      <c r="B165" s="31">
        <v>40551</v>
      </c>
      <c r="C165" s="30">
        <v>2</v>
      </c>
      <c r="D165" s="37" t="s">
        <v>27</v>
      </c>
      <c r="E165" s="30" t="b">
        <v>0</v>
      </c>
      <c r="F165" s="37" t="s">
        <v>25</v>
      </c>
      <c r="G165" s="37" t="s">
        <v>9</v>
      </c>
      <c r="H165" s="30">
        <v>0.18</v>
      </c>
      <c r="I165" s="30">
        <v>0.24</v>
      </c>
      <c r="J165" s="30">
        <v>0.55000000000000004</v>
      </c>
      <c r="K165" s="30">
        <v>0</v>
      </c>
      <c r="L165" s="30">
        <v>3</v>
      </c>
      <c r="M165" s="30">
        <v>13</v>
      </c>
      <c r="N165" s="30">
        <v>16</v>
      </c>
    </row>
    <row r="166" spans="1:14">
      <c r="A166" s="30">
        <v>165</v>
      </c>
      <c r="B166" s="31">
        <v>40551</v>
      </c>
      <c r="C166" s="30">
        <v>3</v>
      </c>
      <c r="D166" s="37" t="s">
        <v>27</v>
      </c>
      <c r="E166" s="30" t="b">
        <v>0</v>
      </c>
      <c r="F166" s="37" t="s">
        <v>25</v>
      </c>
      <c r="G166" s="37" t="s">
        <v>10</v>
      </c>
      <c r="H166" s="30">
        <v>0.18</v>
      </c>
      <c r="I166" s="30">
        <v>0.2</v>
      </c>
      <c r="J166" s="30">
        <v>0.55000000000000004</v>
      </c>
      <c r="K166" s="30">
        <v>0.16</v>
      </c>
      <c r="L166" s="30">
        <v>0</v>
      </c>
      <c r="M166" s="30">
        <v>7</v>
      </c>
      <c r="N166" s="30">
        <v>7</v>
      </c>
    </row>
    <row r="167" spans="1:14">
      <c r="A167" s="30">
        <v>166</v>
      </c>
      <c r="B167" s="31">
        <v>40551</v>
      </c>
      <c r="C167" s="30">
        <v>4</v>
      </c>
      <c r="D167" s="37" t="s">
        <v>27</v>
      </c>
      <c r="E167" s="30" t="b">
        <v>0</v>
      </c>
      <c r="F167" s="37" t="s">
        <v>25</v>
      </c>
      <c r="G167" s="37" t="s">
        <v>10</v>
      </c>
      <c r="H167" s="30">
        <v>0.18</v>
      </c>
      <c r="I167" s="30">
        <v>0.2</v>
      </c>
      <c r="J167" s="30">
        <v>0.55000000000000004</v>
      </c>
      <c r="K167" s="30">
        <v>0.16</v>
      </c>
      <c r="L167" s="30">
        <v>0</v>
      </c>
      <c r="M167" s="30">
        <v>1</v>
      </c>
      <c r="N167" s="30">
        <v>1</v>
      </c>
    </row>
    <row r="168" spans="1:14">
      <c r="A168" s="30">
        <v>167</v>
      </c>
      <c r="B168" s="31">
        <v>40551</v>
      </c>
      <c r="C168" s="30">
        <v>5</v>
      </c>
      <c r="D168" s="37" t="s">
        <v>27</v>
      </c>
      <c r="E168" s="30" t="b">
        <v>0</v>
      </c>
      <c r="F168" s="37" t="s">
        <v>25</v>
      </c>
      <c r="G168" s="37" t="s">
        <v>9</v>
      </c>
      <c r="H168" s="30">
        <v>0.16</v>
      </c>
      <c r="I168" s="30">
        <v>0.17</v>
      </c>
      <c r="J168" s="30">
        <v>0.74</v>
      </c>
      <c r="K168" s="30">
        <v>0.16</v>
      </c>
      <c r="L168" s="30">
        <v>0</v>
      </c>
      <c r="M168" s="30">
        <v>5</v>
      </c>
      <c r="N168" s="30">
        <v>5</v>
      </c>
    </row>
    <row r="169" spans="1:14">
      <c r="A169" s="30">
        <v>168</v>
      </c>
      <c r="B169" s="31">
        <v>40551</v>
      </c>
      <c r="C169" s="30">
        <v>6</v>
      </c>
      <c r="D169" s="37" t="s">
        <v>28</v>
      </c>
      <c r="E169" s="30" t="b">
        <v>0</v>
      </c>
      <c r="F169" s="37" t="s">
        <v>25</v>
      </c>
      <c r="G169" s="37" t="s">
        <v>9</v>
      </c>
      <c r="H169" s="30">
        <v>0.16</v>
      </c>
      <c r="I169" s="30">
        <v>0.17</v>
      </c>
      <c r="J169" s="30">
        <v>0.74</v>
      </c>
      <c r="K169" s="30">
        <v>0.16</v>
      </c>
      <c r="L169" s="30">
        <v>0</v>
      </c>
      <c r="M169" s="30">
        <v>2</v>
      </c>
      <c r="N169" s="30">
        <v>2</v>
      </c>
    </row>
    <row r="170" spans="1:14">
      <c r="A170" s="30">
        <v>169</v>
      </c>
      <c r="B170" s="31">
        <v>40551</v>
      </c>
      <c r="C170" s="30">
        <v>7</v>
      </c>
      <c r="D170" s="37" t="s">
        <v>28</v>
      </c>
      <c r="E170" s="30" t="b">
        <v>0</v>
      </c>
      <c r="F170" s="37" t="s">
        <v>25</v>
      </c>
      <c r="G170" s="37" t="s">
        <v>9</v>
      </c>
      <c r="H170" s="30">
        <v>0.16</v>
      </c>
      <c r="I170" s="30">
        <v>0.18</v>
      </c>
      <c r="J170" s="30">
        <v>0.74</v>
      </c>
      <c r="K170" s="30">
        <v>0.1</v>
      </c>
      <c r="L170" s="30">
        <v>1</v>
      </c>
      <c r="M170" s="30">
        <v>8</v>
      </c>
      <c r="N170" s="30">
        <v>9</v>
      </c>
    </row>
    <row r="171" spans="1:14">
      <c r="A171" s="30">
        <v>170</v>
      </c>
      <c r="B171" s="31">
        <v>40551</v>
      </c>
      <c r="C171" s="30">
        <v>8</v>
      </c>
      <c r="D171" s="37" t="s">
        <v>28</v>
      </c>
      <c r="E171" s="30" t="b">
        <v>0</v>
      </c>
      <c r="F171" s="37" t="s">
        <v>25</v>
      </c>
      <c r="G171" s="37" t="s">
        <v>10</v>
      </c>
      <c r="H171" s="30">
        <v>0.16</v>
      </c>
      <c r="I171" s="30">
        <v>0.18</v>
      </c>
      <c r="J171" s="30">
        <v>0.93</v>
      </c>
      <c r="K171" s="30">
        <v>0.1</v>
      </c>
      <c r="L171" s="30">
        <v>0</v>
      </c>
      <c r="M171" s="30">
        <v>15</v>
      </c>
      <c r="N171" s="30">
        <v>15</v>
      </c>
    </row>
    <row r="172" spans="1:14">
      <c r="A172" s="30">
        <v>171</v>
      </c>
      <c r="B172" s="31">
        <v>40551</v>
      </c>
      <c r="C172" s="30">
        <v>9</v>
      </c>
      <c r="D172" s="37" t="s">
        <v>28</v>
      </c>
      <c r="E172" s="30" t="b">
        <v>0</v>
      </c>
      <c r="F172" s="37" t="s">
        <v>25</v>
      </c>
      <c r="G172" s="37" t="s">
        <v>10</v>
      </c>
      <c r="H172" s="30">
        <v>0.16</v>
      </c>
      <c r="I172" s="30">
        <v>0.18</v>
      </c>
      <c r="J172" s="30">
        <v>0.93</v>
      </c>
      <c r="K172" s="30">
        <v>0.1</v>
      </c>
      <c r="L172" s="30">
        <v>0</v>
      </c>
      <c r="M172" s="30">
        <v>20</v>
      </c>
      <c r="N172" s="30">
        <v>20</v>
      </c>
    </row>
    <row r="173" spans="1:14">
      <c r="A173" s="30">
        <v>172</v>
      </c>
      <c r="B173" s="31">
        <v>40551</v>
      </c>
      <c r="C173" s="30">
        <v>10</v>
      </c>
      <c r="D173" s="37" t="s">
        <v>28</v>
      </c>
      <c r="E173" s="30" t="b">
        <v>0</v>
      </c>
      <c r="F173" s="37" t="s">
        <v>25</v>
      </c>
      <c r="G173" s="37" t="s">
        <v>9</v>
      </c>
      <c r="H173" s="30">
        <v>0.18</v>
      </c>
      <c r="I173" s="30">
        <v>0.2</v>
      </c>
      <c r="J173" s="30">
        <v>0.8</v>
      </c>
      <c r="K173" s="30">
        <v>0.16</v>
      </c>
      <c r="L173" s="30">
        <v>5</v>
      </c>
      <c r="M173" s="30">
        <v>56</v>
      </c>
      <c r="N173" s="30">
        <v>61</v>
      </c>
    </row>
    <row r="174" spans="1:14">
      <c r="A174" s="30">
        <v>173</v>
      </c>
      <c r="B174" s="31">
        <v>40551</v>
      </c>
      <c r="C174" s="30">
        <v>11</v>
      </c>
      <c r="D174" s="37" t="s">
        <v>28</v>
      </c>
      <c r="E174" s="30" t="b">
        <v>0</v>
      </c>
      <c r="F174" s="37" t="s">
        <v>25</v>
      </c>
      <c r="G174" s="37" t="s">
        <v>9</v>
      </c>
      <c r="H174" s="30">
        <v>0.2</v>
      </c>
      <c r="I174" s="30">
        <v>0.18</v>
      </c>
      <c r="J174" s="30">
        <v>0.69</v>
      </c>
      <c r="K174" s="30">
        <v>0.39</v>
      </c>
      <c r="L174" s="30">
        <v>2</v>
      </c>
      <c r="M174" s="30">
        <v>60</v>
      </c>
      <c r="N174" s="30">
        <v>62</v>
      </c>
    </row>
    <row r="175" spans="1:14">
      <c r="A175" s="30">
        <v>174</v>
      </c>
      <c r="B175" s="31">
        <v>40551</v>
      </c>
      <c r="C175" s="30">
        <v>12</v>
      </c>
      <c r="D175" s="37" t="s">
        <v>29</v>
      </c>
      <c r="E175" s="30" t="b">
        <v>0</v>
      </c>
      <c r="F175" s="37" t="s">
        <v>25</v>
      </c>
      <c r="G175" s="37" t="s">
        <v>9</v>
      </c>
      <c r="H175" s="30">
        <v>0.2</v>
      </c>
      <c r="I175" s="30">
        <v>0.18</v>
      </c>
      <c r="J175" s="30">
        <v>0.59</v>
      </c>
      <c r="K175" s="30">
        <v>0.36</v>
      </c>
      <c r="L175" s="30">
        <v>8</v>
      </c>
      <c r="M175" s="30">
        <v>90</v>
      </c>
      <c r="N175" s="30">
        <v>98</v>
      </c>
    </row>
    <row r="176" spans="1:14">
      <c r="A176" s="30">
        <v>175</v>
      </c>
      <c r="B176" s="31">
        <v>40551</v>
      </c>
      <c r="C176" s="30">
        <v>13</v>
      </c>
      <c r="D176" s="37" t="s">
        <v>29</v>
      </c>
      <c r="E176" s="30" t="b">
        <v>0</v>
      </c>
      <c r="F176" s="37" t="s">
        <v>25</v>
      </c>
      <c r="G176" s="37" t="s">
        <v>8</v>
      </c>
      <c r="H176" s="30">
        <v>0.2</v>
      </c>
      <c r="I176" s="30">
        <v>0.18</v>
      </c>
      <c r="J176" s="30">
        <v>0.44</v>
      </c>
      <c r="K176" s="30">
        <v>0.33</v>
      </c>
      <c r="L176" s="30">
        <v>7</v>
      </c>
      <c r="M176" s="30">
        <v>95</v>
      </c>
      <c r="N176" s="30">
        <v>102</v>
      </c>
    </row>
    <row r="177" spans="1:14">
      <c r="A177" s="30">
        <v>176</v>
      </c>
      <c r="B177" s="31">
        <v>40551</v>
      </c>
      <c r="C177" s="30">
        <v>14</v>
      </c>
      <c r="D177" s="37" t="s">
        <v>29</v>
      </c>
      <c r="E177" s="30" t="b">
        <v>0</v>
      </c>
      <c r="F177" s="37" t="s">
        <v>25</v>
      </c>
      <c r="G177" s="37" t="s">
        <v>8</v>
      </c>
      <c r="H177" s="30">
        <v>0.2</v>
      </c>
      <c r="I177" s="30">
        <v>0.17</v>
      </c>
      <c r="J177" s="30">
        <v>0.32</v>
      </c>
      <c r="K177" s="30">
        <v>0.49</v>
      </c>
      <c r="L177" s="30">
        <v>12</v>
      </c>
      <c r="M177" s="30">
        <v>83</v>
      </c>
      <c r="N177" s="30">
        <v>95</v>
      </c>
    </row>
    <row r="178" spans="1:14">
      <c r="A178" s="30">
        <v>177</v>
      </c>
      <c r="B178" s="31">
        <v>40551</v>
      </c>
      <c r="C178" s="30">
        <v>15</v>
      </c>
      <c r="D178" s="37" t="s">
        <v>29</v>
      </c>
      <c r="E178" s="30" t="b">
        <v>0</v>
      </c>
      <c r="F178" s="37" t="s">
        <v>25</v>
      </c>
      <c r="G178" s="37" t="s">
        <v>8</v>
      </c>
      <c r="H178" s="30">
        <v>0.2</v>
      </c>
      <c r="I178" s="30">
        <v>0.17</v>
      </c>
      <c r="J178" s="30">
        <v>0.32</v>
      </c>
      <c r="K178" s="30">
        <v>0.45</v>
      </c>
      <c r="L178" s="30">
        <v>5</v>
      </c>
      <c r="M178" s="30">
        <v>69</v>
      </c>
      <c r="N178" s="30">
        <v>74</v>
      </c>
    </row>
    <row r="179" spans="1:14">
      <c r="A179" s="30">
        <v>178</v>
      </c>
      <c r="B179" s="31">
        <v>40551</v>
      </c>
      <c r="C179" s="30">
        <v>16</v>
      </c>
      <c r="D179" s="37" t="s">
        <v>29</v>
      </c>
      <c r="E179" s="30" t="b">
        <v>0</v>
      </c>
      <c r="F179" s="37" t="s">
        <v>25</v>
      </c>
      <c r="G179" s="37" t="s">
        <v>8</v>
      </c>
      <c r="H179" s="30">
        <v>0.18</v>
      </c>
      <c r="I179" s="30">
        <v>0.14000000000000001</v>
      </c>
      <c r="J179" s="30">
        <v>0.28999999999999998</v>
      </c>
      <c r="K179" s="30">
        <v>0.45</v>
      </c>
      <c r="L179" s="30">
        <v>8</v>
      </c>
      <c r="M179" s="30">
        <v>68</v>
      </c>
      <c r="N179" s="30">
        <v>76</v>
      </c>
    </row>
    <row r="180" spans="1:14">
      <c r="A180" s="30">
        <v>179</v>
      </c>
      <c r="B180" s="31">
        <v>40551</v>
      </c>
      <c r="C180" s="30">
        <v>17</v>
      </c>
      <c r="D180" s="37" t="s">
        <v>29</v>
      </c>
      <c r="E180" s="30" t="b">
        <v>0</v>
      </c>
      <c r="F180" s="37" t="s">
        <v>25</v>
      </c>
      <c r="G180" s="37" t="s">
        <v>8</v>
      </c>
      <c r="H180" s="30">
        <v>0.16</v>
      </c>
      <c r="I180" s="30">
        <v>0.12</v>
      </c>
      <c r="J180" s="30">
        <v>0.37</v>
      </c>
      <c r="K180" s="30">
        <v>0.55000000000000004</v>
      </c>
      <c r="L180" s="30">
        <v>5</v>
      </c>
      <c r="M180" s="30">
        <v>64</v>
      </c>
      <c r="N180" s="30">
        <v>69</v>
      </c>
    </row>
    <row r="181" spans="1:14">
      <c r="A181" s="30">
        <v>180</v>
      </c>
      <c r="B181" s="31">
        <v>40551</v>
      </c>
      <c r="C181" s="30">
        <v>18</v>
      </c>
      <c r="D181" s="37" t="s">
        <v>30</v>
      </c>
      <c r="E181" s="30" t="b">
        <v>0</v>
      </c>
      <c r="F181" s="37" t="s">
        <v>25</v>
      </c>
      <c r="G181" s="37" t="s">
        <v>8</v>
      </c>
      <c r="H181" s="30">
        <v>0.14000000000000001</v>
      </c>
      <c r="I181" s="30">
        <v>0.12</v>
      </c>
      <c r="J181" s="30">
        <v>0.39</v>
      </c>
      <c r="K181" s="30">
        <v>0.3</v>
      </c>
      <c r="L181" s="30">
        <v>3</v>
      </c>
      <c r="M181" s="30">
        <v>52</v>
      </c>
      <c r="N181" s="30">
        <v>55</v>
      </c>
    </row>
    <row r="182" spans="1:14">
      <c r="A182" s="30">
        <v>181</v>
      </c>
      <c r="B182" s="31">
        <v>40551</v>
      </c>
      <c r="C182" s="30">
        <v>19</v>
      </c>
      <c r="D182" s="37" t="s">
        <v>30</v>
      </c>
      <c r="E182" s="30" t="b">
        <v>0</v>
      </c>
      <c r="F182" s="37" t="s">
        <v>25</v>
      </c>
      <c r="G182" s="37" t="s">
        <v>8</v>
      </c>
      <c r="H182" s="30">
        <v>0.14000000000000001</v>
      </c>
      <c r="I182" s="30">
        <v>0.12</v>
      </c>
      <c r="J182" s="30">
        <v>0.36</v>
      </c>
      <c r="K182" s="30">
        <v>0.25</v>
      </c>
      <c r="L182" s="30">
        <v>4</v>
      </c>
      <c r="M182" s="30">
        <v>26</v>
      </c>
      <c r="N182" s="30">
        <v>30</v>
      </c>
    </row>
    <row r="183" spans="1:14">
      <c r="A183" s="30">
        <v>182</v>
      </c>
      <c r="B183" s="31">
        <v>40551</v>
      </c>
      <c r="C183" s="30">
        <v>20</v>
      </c>
      <c r="D183" s="37" t="s">
        <v>30</v>
      </c>
      <c r="E183" s="30" t="b">
        <v>0</v>
      </c>
      <c r="F183" s="37" t="s">
        <v>25</v>
      </c>
      <c r="G183" s="37" t="s">
        <v>8</v>
      </c>
      <c r="H183" s="30">
        <v>0.12</v>
      </c>
      <c r="I183" s="30">
        <v>0.12</v>
      </c>
      <c r="J183" s="30">
        <v>0.36</v>
      </c>
      <c r="K183" s="30">
        <v>0.25</v>
      </c>
      <c r="L183" s="30">
        <v>0</v>
      </c>
      <c r="M183" s="30">
        <v>28</v>
      </c>
      <c r="N183" s="30">
        <v>28</v>
      </c>
    </row>
    <row r="184" spans="1:14">
      <c r="A184" s="30">
        <v>183</v>
      </c>
      <c r="B184" s="31">
        <v>40551</v>
      </c>
      <c r="C184" s="30">
        <v>21</v>
      </c>
      <c r="D184" s="37" t="s">
        <v>30</v>
      </c>
      <c r="E184" s="30" t="b">
        <v>0</v>
      </c>
      <c r="F184" s="37" t="s">
        <v>25</v>
      </c>
      <c r="G184" s="37" t="s">
        <v>8</v>
      </c>
      <c r="H184" s="30">
        <v>0.12</v>
      </c>
      <c r="I184" s="30">
        <v>0.11</v>
      </c>
      <c r="J184" s="30">
        <v>0.39</v>
      </c>
      <c r="K184" s="30">
        <v>0.36</v>
      </c>
      <c r="L184" s="30">
        <v>2</v>
      </c>
      <c r="M184" s="30">
        <v>35</v>
      </c>
      <c r="N184" s="30">
        <v>37</v>
      </c>
    </row>
    <row r="185" spans="1:14">
      <c r="A185" s="30">
        <v>184</v>
      </c>
      <c r="B185" s="31">
        <v>40551</v>
      </c>
      <c r="C185" s="30">
        <v>22</v>
      </c>
      <c r="D185" s="37" t="s">
        <v>30</v>
      </c>
      <c r="E185" s="30" t="b">
        <v>0</v>
      </c>
      <c r="F185" s="37" t="s">
        <v>25</v>
      </c>
      <c r="G185" s="37" t="s">
        <v>8</v>
      </c>
      <c r="H185" s="30">
        <v>0.12</v>
      </c>
      <c r="I185" s="30">
        <v>0.11</v>
      </c>
      <c r="J185" s="30">
        <v>0.36</v>
      </c>
      <c r="K185" s="30">
        <v>0.39</v>
      </c>
      <c r="L185" s="30">
        <v>1</v>
      </c>
      <c r="M185" s="30">
        <v>33</v>
      </c>
      <c r="N185" s="30">
        <v>34</v>
      </c>
    </row>
    <row r="186" spans="1:14">
      <c r="A186" s="30">
        <v>185</v>
      </c>
      <c r="B186" s="31">
        <v>40551</v>
      </c>
      <c r="C186" s="30">
        <v>23</v>
      </c>
      <c r="D186" s="37" t="s">
        <v>30</v>
      </c>
      <c r="E186" s="30" t="b">
        <v>0</v>
      </c>
      <c r="F186" s="37" t="s">
        <v>25</v>
      </c>
      <c r="G186" s="37" t="s">
        <v>8</v>
      </c>
      <c r="H186" s="30">
        <v>0.1</v>
      </c>
      <c r="I186" s="30">
        <v>0.06</v>
      </c>
      <c r="J186" s="30">
        <v>0.39</v>
      </c>
      <c r="K186" s="30">
        <v>0.45</v>
      </c>
      <c r="L186" s="30">
        <v>0</v>
      </c>
      <c r="M186" s="30">
        <v>22</v>
      </c>
      <c r="N186" s="30">
        <v>22</v>
      </c>
    </row>
    <row r="187" spans="1:14">
      <c r="A187" s="30">
        <v>186</v>
      </c>
      <c r="B187" s="31">
        <v>40552</v>
      </c>
      <c r="C187" s="30">
        <v>0</v>
      </c>
      <c r="D187" s="37" t="s">
        <v>27</v>
      </c>
      <c r="E187" s="30" t="b">
        <v>0</v>
      </c>
      <c r="F187" s="37" t="s">
        <v>19</v>
      </c>
      <c r="G187" s="37" t="s">
        <v>8</v>
      </c>
      <c r="H187" s="30">
        <v>0.1</v>
      </c>
      <c r="I187" s="30">
        <v>0.08</v>
      </c>
      <c r="J187" s="30">
        <v>0.42</v>
      </c>
      <c r="K187" s="30">
        <v>0.39</v>
      </c>
      <c r="L187" s="30">
        <v>1</v>
      </c>
      <c r="M187" s="30">
        <v>24</v>
      </c>
      <c r="N187" s="30">
        <v>25</v>
      </c>
    </row>
    <row r="188" spans="1:14">
      <c r="A188" s="30">
        <v>187</v>
      </c>
      <c r="B188" s="31">
        <v>40552</v>
      </c>
      <c r="C188" s="30">
        <v>1</v>
      </c>
      <c r="D188" s="37" t="s">
        <v>27</v>
      </c>
      <c r="E188" s="30" t="b">
        <v>0</v>
      </c>
      <c r="F188" s="37" t="s">
        <v>19</v>
      </c>
      <c r="G188" s="37" t="s">
        <v>8</v>
      </c>
      <c r="H188" s="30">
        <v>0.1</v>
      </c>
      <c r="I188" s="30">
        <v>0.06</v>
      </c>
      <c r="J188" s="30">
        <v>0.42</v>
      </c>
      <c r="K188" s="30">
        <v>0.46</v>
      </c>
      <c r="L188" s="30">
        <v>0</v>
      </c>
      <c r="M188" s="30">
        <v>12</v>
      </c>
      <c r="N188" s="30">
        <v>12</v>
      </c>
    </row>
    <row r="189" spans="1:14">
      <c r="A189" s="30">
        <v>188</v>
      </c>
      <c r="B189" s="31">
        <v>40552</v>
      </c>
      <c r="C189" s="30">
        <v>2</v>
      </c>
      <c r="D189" s="37" t="s">
        <v>27</v>
      </c>
      <c r="E189" s="30" t="b">
        <v>0</v>
      </c>
      <c r="F189" s="37" t="s">
        <v>19</v>
      </c>
      <c r="G189" s="37" t="s">
        <v>8</v>
      </c>
      <c r="H189" s="30">
        <v>0.1</v>
      </c>
      <c r="I189" s="30">
        <v>0.06</v>
      </c>
      <c r="J189" s="30">
        <v>0.46</v>
      </c>
      <c r="K189" s="30">
        <v>0.46</v>
      </c>
      <c r="L189" s="30">
        <v>0</v>
      </c>
      <c r="M189" s="30">
        <v>11</v>
      </c>
      <c r="N189" s="30">
        <v>11</v>
      </c>
    </row>
    <row r="190" spans="1:14">
      <c r="A190" s="30">
        <v>189</v>
      </c>
      <c r="B190" s="31">
        <v>40552</v>
      </c>
      <c r="C190" s="30">
        <v>3</v>
      </c>
      <c r="D190" s="37" t="s">
        <v>27</v>
      </c>
      <c r="E190" s="30" t="b">
        <v>0</v>
      </c>
      <c r="F190" s="37" t="s">
        <v>19</v>
      </c>
      <c r="G190" s="37" t="s">
        <v>8</v>
      </c>
      <c r="H190" s="30">
        <v>0.1</v>
      </c>
      <c r="I190" s="30">
        <v>0.08</v>
      </c>
      <c r="J190" s="30">
        <v>0.46</v>
      </c>
      <c r="K190" s="30">
        <v>0.42</v>
      </c>
      <c r="L190" s="30">
        <v>0</v>
      </c>
      <c r="M190" s="30">
        <v>4</v>
      </c>
      <c r="N190" s="30">
        <v>4</v>
      </c>
    </row>
    <row r="191" spans="1:14">
      <c r="A191" s="30">
        <v>190</v>
      </c>
      <c r="B191" s="31">
        <v>40552</v>
      </c>
      <c r="C191" s="30">
        <v>4</v>
      </c>
      <c r="D191" s="37" t="s">
        <v>27</v>
      </c>
      <c r="E191" s="30" t="b">
        <v>0</v>
      </c>
      <c r="F191" s="37" t="s">
        <v>19</v>
      </c>
      <c r="G191" s="37" t="s">
        <v>8</v>
      </c>
      <c r="H191" s="30">
        <v>0.08</v>
      </c>
      <c r="I191" s="30">
        <v>0.09</v>
      </c>
      <c r="J191" s="30">
        <v>0.53</v>
      </c>
      <c r="K191" s="30">
        <v>0.19</v>
      </c>
      <c r="L191" s="30">
        <v>0</v>
      </c>
      <c r="M191" s="30">
        <v>1</v>
      </c>
      <c r="N191" s="30">
        <v>1</v>
      </c>
    </row>
    <row r="192" spans="1:14">
      <c r="A192" s="30">
        <v>191</v>
      </c>
      <c r="B192" s="31">
        <v>40552</v>
      </c>
      <c r="C192" s="30">
        <v>5</v>
      </c>
      <c r="D192" s="37" t="s">
        <v>27</v>
      </c>
      <c r="E192" s="30" t="b">
        <v>0</v>
      </c>
      <c r="F192" s="37" t="s">
        <v>19</v>
      </c>
      <c r="G192" s="37" t="s">
        <v>8</v>
      </c>
      <c r="H192" s="30">
        <v>0.08</v>
      </c>
      <c r="I192" s="30">
        <v>0.09</v>
      </c>
      <c r="J192" s="30">
        <v>0.53</v>
      </c>
      <c r="K192" s="30">
        <v>0.19</v>
      </c>
      <c r="L192" s="30">
        <v>0</v>
      </c>
      <c r="M192" s="30">
        <v>1</v>
      </c>
      <c r="N192" s="30">
        <v>1</v>
      </c>
    </row>
    <row r="193" spans="1:14">
      <c r="A193" s="30">
        <v>192</v>
      </c>
      <c r="B193" s="31">
        <v>40552</v>
      </c>
      <c r="C193" s="30">
        <v>6</v>
      </c>
      <c r="D193" s="37" t="s">
        <v>28</v>
      </c>
      <c r="E193" s="30" t="b">
        <v>0</v>
      </c>
      <c r="F193" s="37" t="s">
        <v>19</v>
      </c>
      <c r="G193" s="37" t="s">
        <v>8</v>
      </c>
      <c r="H193" s="30">
        <v>0.1</v>
      </c>
      <c r="I193" s="30">
        <v>0.09</v>
      </c>
      <c r="J193" s="30">
        <v>0.49</v>
      </c>
      <c r="K193" s="30">
        <v>0.28000000000000003</v>
      </c>
      <c r="L193" s="30">
        <v>0</v>
      </c>
      <c r="M193" s="30">
        <v>1</v>
      </c>
      <c r="N193" s="30">
        <v>1</v>
      </c>
    </row>
    <row r="194" spans="1:14">
      <c r="A194" s="30">
        <v>193</v>
      </c>
      <c r="B194" s="31">
        <v>40552</v>
      </c>
      <c r="C194" s="30">
        <v>7</v>
      </c>
      <c r="D194" s="37" t="s">
        <v>28</v>
      </c>
      <c r="E194" s="30" t="b">
        <v>0</v>
      </c>
      <c r="F194" s="37" t="s">
        <v>19</v>
      </c>
      <c r="G194" s="37" t="s">
        <v>8</v>
      </c>
      <c r="H194" s="30">
        <v>0.08</v>
      </c>
      <c r="I194" s="30">
        <v>0.09</v>
      </c>
      <c r="J194" s="30">
        <v>0.53</v>
      </c>
      <c r="K194" s="30">
        <v>0.19</v>
      </c>
      <c r="L194" s="30">
        <v>1</v>
      </c>
      <c r="M194" s="30">
        <v>5</v>
      </c>
      <c r="N194" s="30">
        <v>6</v>
      </c>
    </row>
    <row r="195" spans="1:14">
      <c r="A195" s="30">
        <v>194</v>
      </c>
      <c r="B195" s="31">
        <v>40552</v>
      </c>
      <c r="C195" s="30">
        <v>8</v>
      </c>
      <c r="D195" s="37" t="s">
        <v>28</v>
      </c>
      <c r="E195" s="30" t="b">
        <v>0</v>
      </c>
      <c r="F195" s="37" t="s">
        <v>19</v>
      </c>
      <c r="G195" s="37" t="s">
        <v>8</v>
      </c>
      <c r="H195" s="30">
        <v>0.1</v>
      </c>
      <c r="I195" s="30">
        <v>0.09</v>
      </c>
      <c r="J195" s="30">
        <v>0.49</v>
      </c>
      <c r="K195" s="30">
        <v>0.28000000000000003</v>
      </c>
      <c r="L195" s="30">
        <v>0</v>
      </c>
      <c r="M195" s="30">
        <v>10</v>
      </c>
      <c r="N195" s="30">
        <v>10</v>
      </c>
    </row>
    <row r="196" spans="1:14">
      <c r="A196" s="30">
        <v>195</v>
      </c>
      <c r="B196" s="31">
        <v>40552</v>
      </c>
      <c r="C196" s="30">
        <v>9</v>
      </c>
      <c r="D196" s="37" t="s">
        <v>28</v>
      </c>
      <c r="E196" s="30" t="b">
        <v>0</v>
      </c>
      <c r="F196" s="37" t="s">
        <v>19</v>
      </c>
      <c r="G196" s="37" t="s">
        <v>8</v>
      </c>
      <c r="H196" s="30">
        <v>0.12</v>
      </c>
      <c r="I196" s="30">
        <v>0.08</v>
      </c>
      <c r="J196" s="30">
        <v>0.46</v>
      </c>
      <c r="K196" s="30">
        <v>0.52</v>
      </c>
      <c r="L196" s="30">
        <v>0</v>
      </c>
      <c r="M196" s="30">
        <v>19</v>
      </c>
      <c r="N196" s="30">
        <v>19</v>
      </c>
    </row>
    <row r="197" spans="1:14">
      <c r="A197" s="30">
        <v>196</v>
      </c>
      <c r="B197" s="31">
        <v>40552</v>
      </c>
      <c r="C197" s="30">
        <v>10</v>
      </c>
      <c r="D197" s="37" t="s">
        <v>28</v>
      </c>
      <c r="E197" s="30" t="b">
        <v>0</v>
      </c>
      <c r="F197" s="37" t="s">
        <v>19</v>
      </c>
      <c r="G197" s="37" t="s">
        <v>8</v>
      </c>
      <c r="H197" s="30">
        <v>0.14000000000000001</v>
      </c>
      <c r="I197" s="30">
        <v>0.11</v>
      </c>
      <c r="J197" s="30">
        <v>0.43</v>
      </c>
      <c r="K197" s="30">
        <v>0.39</v>
      </c>
      <c r="L197" s="30">
        <v>0</v>
      </c>
      <c r="M197" s="30">
        <v>49</v>
      </c>
      <c r="N197" s="30">
        <v>49</v>
      </c>
    </row>
    <row r="198" spans="1:14">
      <c r="A198" s="30">
        <v>197</v>
      </c>
      <c r="B198" s="31">
        <v>40552</v>
      </c>
      <c r="C198" s="30">
        <v>11</v>
      </c>
      <c r="D198" s="37" t="s">
        <v>28</v>
      </c>
      <c r="E198" s="30" t="b">
        <v>0</v>
      </c>
      <c r="F198" s="37" t="s">
        <v>19</v>
      </c>
      <c r="G198" s="37" t="s">
        <v>8</v>
      </c>
      <c r="H198" s="30">
        <v>0.16</v>
      </c>
      <c r="I198" s="30">
        <v>0.12</v>
      </c>
      <c r="J198" s="30">
        <v>0.4</v>
      </c>
      <c r="K198" s="30">
        <v>0.52</v>
      </c>
      <c r="L198" s="30">
        <v>2</v>
      </c>
      <c r="M198" s="30">
        <v>47</v>
      </c>
      <c r="N198" s="30">
        <v>49</v>
      </c>
    </row>
    <row r="199" spans="1:14">
      <c r="A199" s="30">
        <v>198</v>
      </c>
      <c r="B199" s="31">
        <v>40552</v>
      </c>
      <c r="C199" s="30">
        <v>12</v>
      </c>
      <c r="D199" s="37" t="s">
        <v>29</v>
      </c>
      <c r="E199" s="30" t="b">
        <v>0</v>
      </c>
      <c r="F199" s="37" t="s">
        <v>19</v>
      </c>
      <c r="G199" s="37" t="s">
        <v>8</v>
      </c>
      <c r="H199" s="30">
        <v>0.18</v>
      </c>
      <c r="I199" s="30">
        <v>0.14000000000000001</v>
      </c>
      <c r="J199" s="30">
        <v>0.37</v>
      </c>
      <c r="K199" s="30">
        <v>0.45</v>
      </c>
      <c r="L199" s="30">
        <v>4</v>
      </c>
      <c r="M199" s="30">
        <v>79</v>
      </c>
      <c r="N199" s="30">
        <v>83</v>
      </c>
    </row>
    <row r="200" spans="1:14">
      <c r="A200" s="30">
        <v>199</v>
      </c>
      <c r="B200" s="31">
        <v>40552</v>
      </c>
      <c r="C200" s="30">
        <v>13</v>
      </c>
      <c r="D200" s="37" t="s">
        <v>29</v>
      </c>
      <c r="E200" s="30" t="b">
        <v>0</v>
      </c>
      <c r="F200" s="37" t="s">
        <v>19</v>
      </c>
      <c r="G200" s="37" t="s">
        <v>8</v>
      </c>
      <c r="H200" s="30">
        <v>0.2</v>
      </c>
      <c r="I200" s="30">
        <v>0.17</v>
      </c>
      <c r="J200" s="30">
        <v>0.34</v>
      </c>
      <c r="K200" s="30">
        <v>0.45</v>
      </c>
      <c r="L200" s="30">
        <v>6</v>
      </c>
      <c r="M200" s="30">
        <v>69</v>
      </c>
      <c r="N200" s="30">
        <v>75</v>
      </c>
    </row>
    <row r="201" spans="1:14">
      <c r="A201" s="30">
        <v>200</v>
      </c>
      <c r="B201" s="31">
        <v>40552</v>
      </c>
      <c r="C201" s="30">
        <v>14</v>
      </c>
      <c r="D201" s="37" t="s">
        <v>29</v>
      </c>
      <c r="E201" s="30" t="b">
        <v>0</v>
      </c>
      <c r="F201" s="37" t="s">
        <v>19</v>
      </c>
      <c r="G201" s="37" t="s">
        <v>8</v>
      </c>
      <c r="H201" s="30">
        <v>0.22</v>
      </c>
      <c r="I201" s="30">
        <v>0.18</v>
      </c>
      <c r="J201" s="30">
        <v>0.32</v>
      </c>
      <c r="K201" s="30">
        <v>0.46</v>
      </c>
      <c r="L201" s="30">
        <v>8</v>
      </c>
      <c r="M201" s="30">
        <v>64</v>
      </c>
      <c r="N201" s="30">
        <v>72</v>
      </c>
    </row>
    <row r="202" spans="1:14">
      <c r="A202" s="30">
        <v>201</v>
      </c>
      <c r="B202" s="31">
        <v>40552</v>
      </c>
      <c r="C202" s="30">
        <v>15</v>
      </c>
      <c r="D202" s="37" t="s">
        <v>29</v>
      </c>
      <c r="E202" s="30" t="b">
        <v>0</v>
      </c>
      <c r="F202" s="37" t="s">
        <v>19</v>
      </c>
      <c r="G202" s="37" t="s">
        <v>8</v>
      </c>
      <c r="H202" s="30">
        <v>0.22</v>
      </c>
      <c r="I202" s="30">
        <v>0.2</v>
      </c>
      <c r="J202" s="30">
        <v>0.35</v>
      </c>
      <c r="K202" s="30">
        <v>0.36</v>
      </c>
      <c r="L202" s="30">
        <v>5</v>
      </c>
      <c r="M202" s="30">
        <v>77</v>
      </c>
      <c r="N202" s="30">
        <v>82</v>
      </c>
    </row>
    <row r="203" spans="1:14">
      <c r="A203" s="30">
        <v>202</v>
      </c>
      <c r="B203" s="31">
        <v>40552</v>
      </c>
      <c r="C203" s="30">
        <v>16</v>
      </c>
      <c r="D203" s="37" t="s">
        <v>29</v>
      </c>
      <c r="E203" s="30" t="b">
        <v>0</v>
      </c>
      <c r="F203" s="37" t="s">
        <v>19</v>
      </c>
      <c r="G203" s="37" t="s">
        <v>8</v>
      </c>
      <c r="H203" s="30">
        <v>0.2</v>
      </c>
      <c r="I203" s="30">
        <v>0.17</v>
      </c>
      <c r="J203" s="30">
        <v>0.34</v>
      </c>
      <c r="K203" s="30">
        <v>0.45</v>
      </c>
      <c r="L203" s="30">
        <v>13</v>
      </c>
      <c r="M203" s="30">
        <v>79</v>
      </c>
      <c r="N203" s="30">
        <v>92</v>
      </c>
    </row>
    <row r="204" spans="1:14">
      <c r="A204" s="30">
        <v>203</v>
      </c>
      <c r="B204" s="31">
        <v>40552</v>
      </c>
      <c r="C204" s="30">
        <v>17</v>
      </c>
      <c r="D204" s="37" t="s">
        <v>29</v>
      </c>
      <c r="E204" s="30" t="b">
        <v>0</v>
      </c>
      <c r="F204" s="37" t="s">
        <v>19</v>
      </c>
      <c r="G204" s="37" t="s">
        <v>8</v>
      </c>
      <c r="H204" s="30">
        <v>0.18</v>
      </c>
      <c r="I204" s="30">
        <v>0.15</v>
      </c>
      <c r="J204" s="30">
        <v>0.37</v>
      </c>
      <c r="K204" s="30">
        <v>0.39</v>
      </c>
      <c r="L204" s="30">
        <v>3</v>
      </c>
      <c r="M204" s="30">
        <v>59</v>
      </c>
      <c r="N204" s="30">
        <v>62</v>
      </c>
    </row>
    <row r="205" spans="1:14">
      <c r="A205" s="30">
        <v>204</v>
      </c>
      <c r="B205" s="31">
        <v>40552</v>
      </c>
      <c r="C205" s="30">
        <v>18</v>
      </c>
      <c r="D205" s="37" t="s">
        <v>30</v>
      </c>
      <c r="E205" s="30" t="b">
        <v>0</v>
      </c>
      <c r="F205" s="37" t="s">
        <v>19</v>
      </c>
      <c r="G205" s="37" t="s">
        <v>8</v>
      </c>
      <c r="H205" s="30">
        <v>0.16</v>
      </c>
      <c r="I205" s="30">
        <v>0.14000000000000001</v>
      </c>
      <c r="J205" s="30">
        <v>0.4</v>
      </c>
      <c r="K205" s="30">
        <v>0.33</v>
      </c>
      <c r="L205" s="30">
        <v>4</v>
      </c>
      <c r="M205" s="30">
        <v>44</v>
      </c>
      <c r="N205" s="30">
        <v>48</v>
      </c>
    </row>
    <row r="206" spans="1:14">
      <c r="A206" s="30">
        <v>205</v>
      </c>
      <c r="B206" s="31">
        <v>40552</v>
      </c>
      <c r="C206" s="30">
        <v>19</v>
      </c>
      <c r="D206" s="37" t="s">
        <v>30</v>
      </c>
      <c r="E206" s="30" t="b">
        <v>0</v>
      </c>
      <c r="F206" s="37" t="s">
        <v>19</v>
      </c>
      <c r="G206" s="37" t="s">
        <v>8</v>
      </c>
      <c r="H206" s="30">
        <v>0.16</v>
      </c>
      <c r="I206" s="30">
        <v>0.14000000000000001</v>
      </c>
      <c r="J206" s="30">
        <v>0.43</v>
      </c>
      <c r="K206" s="30">
        <v>0.33</v>
      </c>
      <c r="L206" s="30">
        <v>1</v>
      </c>
      <c r="M206" s="30">
        <v>40</v>
      </c>
      <c r="N206" s="30">
        <v>41</v>
      </c>
    </row>
    <row r="207" spans="1:14">
      <c r="A207" s="30">
        <v>206</v>
      </c>
      <c r="B207" s="31">
        <v>40552</v>
      </c>
      <c r="C207" s="30">
        <v>20</v>
      </c>
      <c r="D207" s="37" t="s">
        <v>30</v>
      </c>
      <c r="E207" s="30" t="b">
        <v>0</v>
      </c>
      <c r="F207" s="37" t="s">
        <v>19</v>
      </c>
      <c r="G207" s="37" t="s">
        <v>8</v>
      </c>
      <c r="H207" s="30">
        <v>0.14000000000000001</v>
      </c>
      <c r="I207" s="30">
        <v>0.12</v>
      </c>
      <c r="J207" s="30">
        <v>0.46</v>
      </c>
      <c r="K207" s="30">
        <v>0.25</v>
      </c>
      <c r="L207" s="30">
        <v>0</v>
      </c>
      <c r="M207" s="30">
        <v>38</v>
      </c>
      <c r="N207" s="30">
        <v>38</v>
      </c>
    </row>
    <row r="208" spans="1:14">
      <c r="A208" s="30">
        <v>207</v>
      </c>
      <c r="B208" s="31">
        <v>40552</v>
      </c>
      <c r="C208" s="30">
        <v>21</v>
      </c>
      <c r="D208" s="37" t="s">
        <v>30</v>
      </c>
      <c r="E208" s="30" t="b">
        <v>0</v>
      </c>
      <c r="F208" s="37" t="s">
        <v>19</v>
      </c>
      <c r="G208" s="37" t="s">
        <v>8</v>
      </c>
      <c r="H208" s="30">
        <v>0.14000000000000001</v>
      </c>
      <c r="I208" s="30">
        <v>0.11</v>
      </c>
      <c r="J208" s="30">
        <v>0.46</v>
      </c>
      <c r="K208" s="30">
        <v>0.42</v>
      </c>
      <c r="L208" s="30">
        <v>1</v>
      </c>
      <c r="M208" s="30">
        <v>19</v>
      </c>
      <c r="N208" s="30">
        <v>20</v>
      </c>
    </row>
    <row r="209" spans="1:14">
      <c r="A209" s="30">
        <v>208</v>
      </c>
      <c r="B209" s="31">
        <v>40552</v>
      </c>
      <c r="C209" s="30">
        <v>22</v>
      </c>
      <c r="D209" s="37" t="s">
        <v>30</v>
      </c>
      <c r="E209" s="30" t="b">
        <v>0</v>
      </c>
      <c r="F209" s="37" t="s">
        <v>19</v>
      </c>
      <c r="G209" s="37" t="s">
        <v>8</v>
      </c>
      <c r="H209" s="30">
        <v>0.14000000000000001</v>
      </c>
      <c r="I209" s="30">
        <v>0.12</v>
      </c>
      <c r="J209" s="30">
        <v>0.46</v>
      </c>
      <c r="K209" s="30">
        <v>0.3</v>
      </c>
      <c r="L209" s="30">
        <v>5</v>
      </c>
      <c r="M209" s="30">
        <v>10</v>
      </c>
      <c r="N209" s="30">
        <v>15</v>
      </c>
    </row>
    <row r="210" spans="1:14">
      <c r="A210" s="30">
        <v>209</v>
      </c>
      <c r="B210" s="31">
        <v>40552</v>
      </c>
      <c r="C210" s="30">
        <v>23</v>
      </c>
      <c r="D210" s="37" t="s">
        <v>30</v>
      </c>
      <c r="E210" s="30" t="b">
        <v>0</v>
      </c>
      <c r="F210" s="37" t="s">
        <v>19</v>
      </c>
      <c r="G210" s="37" t="s">
        <v>8</v>
      </c>
      <c r="H210" s="30">
        <v>0.12</v>
      </c>
      <c r="I210" s="30">
        <v>0.14000000000000001</v>
      </c>
      <c r="J210" s="30">
        <v>0.5</v>
      </c>
      <c r="K210" s="30">
        <v>0.19</v>
      </c>
      <c r="L210" s="30">
        <v>0</v>
      </c>
      <c r="M210" s="30">
        <v>6</v>
      </c>
      <c r="N210" s="30">
        <v>6</v>
      </c>
    </row>
    <row r="211" spans="1:14">
      <c r="A211" s="30">
        <v>210</v>
      </c>
      <c r="B211" s="31">
        <v>40553</v>
      </c>
      <c r="C211" s="30">
        <v>0</v>
      </c>
      <c r="D211" s="37" t="s">
        <v>27</v>
      </c>
      <c r="E211" s="30" t="b">
        <v>0</v>
      </c>
      <c r="F211" s="37" t="s">
        <v>20</v>
      </c>
      <c r="G211" s="37" t="s">
        <v>8</v>
      </c>
      <c r="H211" s="30">
        <v>0.12</v>
      </c>
      <c r="I211" s="30">
        <v>0.12</v>
      </c>
      <c r="J211" s="30">
        <v>0.5</v>
      </c>
      <c r="K211" s="30">
        <v>0.28000000000000003</v>
      </c>
      <c r="L211" s="30">
        <v>2</v>
      </c>
      <c r="M211" s="30">
        <v>3</v>
      </c>
      <c r="N211" s="30">
        <v>5</v>
      </c>
    </row>
    <row r="212" spans="1:14">
      <c r="A212" s="30">
        <v>211</v>
      </c>
      <c r="B212" s="31">
        <v>40553</v>
      </c>
      <c r="C212" s="30">
        <v>1</v>
      </c>
      <c r="D212" s="37" t="s">
        <v>27</v>
      </c>
      <c r="E212" s="30" t="b">
        <v>0</v>
      </c>
      <c r="F212" s="37" t="s">
        <v>20</v>
      </c>
      <c r="G212" s="37" t="s">
        <v>8</v>
      </c>
      <c r="H212" s="30">
        <v>0.12</v>
      </c>
      <c r="I212" s="30">
        <v>0.12</v>
      </c>
      <c r="J212" s="30">
        <v>0.5</v>
      </c>
      <c r="K212" s="30">
        <v>0.28000000000000003</v>
      </c>
      <c r="L212" s="30">
        <v>1</v>
      </c>
      <c r="M212" s="30">
        <v>0</v>
      </c>
      <c r="N212" s="30">
        <v>1</v>
      </c>
    </row>
    <row r="213" spans="1:14">
      <c r="A213" s="30">
        <v>212</v>
      </c>
      <c r="B213" s="31">
        <v>40553</v>
      </c>
      <c r="C213" s="30">
        <v>2</v>
      </c>
      <c r="D213" s="37" t="s">
        <v>27</v>
      </c>
      <c r="E213" s="30" t="b">
        <v>0</v>
      </c>
      <c r="F213" s="37" t="s">
        <v>20</v>
      </c>
      <c r="G213" s="37" t="s">
        <v>8</v>
      </c>
      <c r="H213" s="30">
        <v>0.12</v>
      </c>
      <c r="I213" s="30">
        <v>0.12</v>
      </c>
      <c r="J213" s="30">
        <v>0.5</v>
      </c>
      <c r="K213" s="30">
        <v>0.22</v>
      </c>
      <c r="L213" s="30">
        <v>0</v>
      </c>
      <c r="M213" s="30">
        <v>3</v>
      </c>
      <c r="N213" s="30">
        <v>3</v>
      </c>
    </row>
    <row r="214" spans="1:14">
      <c r="A214" s="30">
        <v>213</v>
      </c>
      <c r="B214" s="31">
        <v>40553</v>
      </c>
      <c r="C214" s="30">
        <v>3</v>
      </c>
      <c r="D214" s="37" t="s">
        <v>27</v>
      </c>
      <c r="E214" s="30" t="b">
        <v>0</v>
      </c>
      <c r="F214" s="37" t="s">
        <v>20</v>
      </c>
      <c r="G214" s="37" t="s">
        <v>8</v>
      </c>
      <c r="H214" s="30">
        <v>0.12</v>
      </c>
      <c r="I214" s="30">
        <v>0.12</v>
      </c>
      <c r="J214" s="30">
        <v>0.5</v>
      </c>
      <c r="K214" s="30">
        <v>0.22</v>
      </c>
      <c r="L214" s="30">
        <v>0</v>
      </c>
      <c r="M214" s="30">
        <v>1</v>
      </c>
      <c r="N214" s="30">
        <v>1</v>
      </c>
    </row>
    <row r="215" spans="1:14">
      <c r="A215" s="30">
        <v>214</v>
      </c>
      <c r="B215" s="31">
        <v>40553</v>
      </c>
      <c r="C215" s="30">
        <v>4</v>
      </c>
      <c r="D215" s="37" t="s">
        <v>27</v>
      </c>
      <c r="E215" s="30" t="b">
        <v>0</v>
      </c>
      <c r="F215" s="37" t="s">
        <v>20</v>
      </c>
      <c r="G215" s="37" t="s">
        <v>8</v>
      </c>
      <c r="H215" s="30">
        <v>0.1</v>
      </c>
      <c r="I215" s="30">
        <v>0.12</v>
      </c>
      <c r="J215" s="30">
        <v>0.54</v>
      </c>
      <c r="K215" s="30">
        <v>0.13</v>
      </c>
      <c r="L215" s="30">
        <v>1</v>
      </c>
      <c r="M215" s="30">
        <v>2</v>
      </c>
      <c r="N215" s="30">
        <v>3</v>
      </c>
    </row>
    <row r="216" spans="1:14">
      <c r="A216" s="30">
        <v>215</v>
      </c>
      <c r="B216" s="31">
        <v>40553</v>
      </c>
      <c r="C216" s="30">
        <v>5</v>
      </c>
      <c r="D216" s="37" t="s">
        <v>27</v>
      </c>
      <c r="E216" s="30" t="b">
        <v>0</v>
      </c>
      <c r="F216" s="37" t="s">
        <v>20</v>
      </c>
      <c r="G216" s="37" t="s">
        <v>8</v>
      </c>
      <c r="H216" s="30">
        <v>0.1</v>
      </c>
      <c r="I216" s="30">
        <v>0.11</v>
      </c>
      <c r="J216" s="30">
        <v>0.54</v>
      </c>
      <c r="K216" s="30">
        <v>0.25</v>
      </c>
      <c r="L216" s="30">
        <v>0</v>
      </c>
      <c r="M216" s="30">
        <v>3</v>
      </c>
      <c r="N216" s="30">
        <v>3</v>
      </c>
    </row>
    <row r="217" spans="1:14">
      <c r="A217" s="30">
        <v>216</v>
      </c>
      <c r="B217" s="31">
        <v>40553</v>
      </c>
      <c r="C217" s="30">
        <v>6</v>
      </c>
      <c r="D217" s="37" t="s">
        <v>28</v>
      </c>
      <c r="E217" s="30" t="b">
        <v>0</v>
      </c>
      <c r="F217" s="37" t="s">
        <v>20</v>
      </c>
      <c r="G217" s="37" t="s">
        <v>8</v>
      </c>
      <c r="H217" s="30">
        <v>0.12</v>
      </c>
      <c r="I217" s="30">
        <v>0.12</v>
      </c>
      <c r="J217" s="30">
        <v>0.5</v>
      </c>
      <c r="K217" s="30">
        <v>0.28000000000000003</v>
      </c>
      <c r="L217" s="30">
        <v>0</v>
      </c>
      <c r="M217" s="30">
        <v>31</v>
      </c>
      <c r="N217" s="30">
        <v>31</v>
      </c>
    </row>
    <row r="218" spans="1:14">
      <c r="A218" s="30">
        <v>217</v>
      </c>
      <c r="B218" s="31">
        <v>40553</v>
      </c>
      <c r="C218" s="30">
        <v>7</v>
      </c>
      <c r="D218" s="37" t="s">
        <v>28</v>
      </c>
      <c r="E218" s="30" t="b">
        <v>0</v>
      </c>
      <c r="F218" s="37" t="s">
        <v>20</v>
      </c>
      <c r="G218" s="37" t="s">
        <v>8</v>
      </c>
      <c r="H218" s="30">
        <v>0.12</v>
      </c>
      <c r="I218" s="30">
        <v>0.12</v>
      </c>
      <c r="J218" s="30">
        <v>0.5</v>
      </c>
      <c r="K218" s="30">
        <v>0.22</v>
      </c>
      <c r="L218" s="30">
        <v>2</v>
      </c>
      <c r="M218" s="30">
        <v>75</v>
      </c>
      <c r="N218" s="30">
        <v>77</v>
      </c>
    </row>
    <row r="219" spans="1:14">
      <c r="A219" s="30">
        <v>218</v>
      </c>
      <c r="B219" s="31">
        <v>40553</v>
      </c>
      <c r="C219" s="30">
        <v>8</v>
      </c>
      <c r="D219" s="37" t="s">
        <v>28</v>
      </c>
      <c r="E219" s="30" t="b">
        <v>0</v>
      </c>
      <c r="F219" s="37" t="s">
        <v>20</v>
      </c>
      <c r="G219" s="37" t="s">
        <v>9</v>
      </c>
      <c r="H219" s="30">
        <v>0.12</v>
      </c>
      <c r="I219" s="30">
        <v>0.12</v>
      </c>
      <c r="J219" s="30">
        <v>0.5</v>
      </c>
      <c r="K219" s="30">
        <v>0.28000000000000003</v>
      </c>
      <c r="L219" s="30">
        <v>4</v>
      </c>
      <c r="M219" s="30">
        <v>184</v>
      </c>
      <c r="N219" s="30">
        <v>188</v>
      </c>
    </row>
    <row r="220" spans="1:14">
      <c r="A220" s="30">
        <v>219</v>
      </c>
      <c r="B220" s="31">
        <v>40553</v>
      </c>
      <c r="C220" s="30">
        <v>9</v>
      </c>
      <c r="D220" s="37" t="s">
        <v>28</v>
      </c>
      <c r="E220" s="30" t="b">
        <v>0</v>
      </c>
      <c r="F220" s="37" t="s">
        <v>20</v>
      </c>
      <c r="G220" s="37" t="s">
        <v>9</v>
      </c>
      <c r="H220" s="30">
        <v>0.14000000000000001</v>
      </c>
      <c r="I220" s="30">
        <v>0.12</v>
      </c>
      <c r="J220" s="30">
        <v>0.5</v>
      </c>
      <c r="K220" s="30">
        <v>0.25</v>
      </c>
      <c r="L220" s="30">
        <v>2</v>
      </c>
      <c r="M220" s="30">
        <v>92</v>
      </c>
      <c r="N220" s="30">
        <v>94</v>
      </c>
    </row>
    <row r="221" spans="1:14">
      <c r="A221" s="30">
        <v>220</v>
      </c>
      <c r="B221" s="31">
        <v>40553</v>
      </c>
      <c r="C221" s="30">
        <v>10</v>
      </c>
      <c r="D221" s="37" t="s">
        <v>28</v>
      </c>
      <c r="E221" s="30" t="b">
        <v>0</v>
      </c>
      <c r="F221" s="37" t="s">
        <v>20</v>
      </c>
      <c r="G221" s="37" t="s">
        <v>9</v>
      </c>
      <c r="H221" s="30">
        <v>0.14000000000000001</v>
      </c>
      <c r="I221" s="30">
        <v>0.12</v>
      </c>
      <c r="J221" s="30">
        <v>0.5</v>
      </c>
      <c r="K221" s="30">
        <v>0.3</v>
      </c>
      <c r="L221" s="30">
        <v>0</v>
      </c>
      <c r="M221" s="30">
        <v>31</v>
      </c>
      <c r="N221" s="30">
        <v>31</v>
      </c>
    </row>
    <row r="222" spans="1:14">
      <c r="A222" s="30">
        <v>221</v>
      </c>
      <c r="B222" s="31">
        <v>40553</v>
      </c>
      <c r="C222" s="30">
        <v>11</v>
      </c>
      <c r="D222" s="37" t="s">
        <v>28</v>
      </c>
      <c r="E222" s="30" t="b">
        <v>0</v>
      </c>
      <c r="F222" s="37" t="s">
        <v>20</v>
      </c>
      <c r="G222" s="37" t="s">
        <v>9</v>
      </c>
      <c r="H222" s="30">
        <v>0.16</v>
      </c>
      <c r="I222" s="30">
        <v>0.14000000000000001</v>
      </c>
      <c r="J222" s="30">
        <v>0.47</v>
      </c>
      <c r="K222" s="30">
        <v>0.28000000000000003</v>
      </c>
      <c r="L222" s="30">
        <v>2</v>
      </c>
      <c r="M222" s="30">
        <v>28</v>
      </c>
      <c r="N222" s="30">
        <v>30</v>
      </c>
    </row>
    <row r="223" spans="1:14">
      <c r="A223" s="30">
        <v>222</v>
      </c>
      <c r="B223" s="31">
        <v>40553</v>
      </c>
      <c r="C223" s="30">
        <v>12</v>
      </c>
      <c r="D223" s="37" t="s">
        <v>29</v>
      </c>
      <c r="E223" s="30" t="b">
        <v>0</v>
      </c>
      <c r="F223" s="37" t="s">
        <v>20</v>
      </c>
      <c r="G223" s="37" t="s">
        <v>9</v>
      </c>
      <c r="H223" s="30">
        <v>0.2</v>
      </c>
      <c r="I223" s="30">
        <v>0.18</v>
      </c>
      <c r="J223" s="30">
        <v>0.4</v>
      </c>
      <c r="K223" s="30">
        <v>0.28000000000000003</v>
      </c>
      <c r="L223" s="30">
        <v>5</v>
      </c>
      <c r="M223" s="30">
        <v>47</v>
      </c>
      <c r="N223" s="30">
        <v>52</v>
      </c>
    </row>
    <row r="224" spans="1:14">
      <c r="A224" s="30">
        <v>223</v>
      </c>
      <c r="B224" s="31">
        <v>40553</v>
      </c>
      <c r="C224" s="30">
        <v>13</v>
      </c>
      <c r="D224" s="37" t="s">
        <v>29</v>
      </c>
      <c r="E224" s="30" t="b">
        <v>0</v>
      </c>
      <c r="F224" s="37" t="s">
        <v>20</v>
      </c>
      <c r="G224" s="37" t="s">
        <v>9</v>
      </c>
      <c r="H224" s="30">
        <v>0.2</v>
      </c>
      <c r="I224" s="30">
        <v>0.18</v>
      </c>
      <c r="J224" s="30">
        <v>0.4</v>
      </c>
      <c r="K224" s="30">
        <v>0.28000000000000003</v>
      </c>
      <c r="L224" s="30">
        <v>4</v>
      </c>
      <c r="M224" s="30">
        <v>50</v>
      </c>
      <c r="N224" s="30">
        <v>54</v>
      </c>
    </row>
    <row r="225" spans="1:14">
      <c r="A225" s="30">
        <v>224</v>
      </c>
      <c r="B225" s="31">
        <v>40553</v>
      </c>
      <c r="C225" s="30">
        <v>14</v>
      </c>
      <c r="D225" s="37" t="s">
        <v>29</v>
      </c>
      <c r="E225" s="30" t="b">
        <v>0</v>
      </c>
      <c r="F225" s="37" t="s">
        <v>20</v>
      </c>
      <c r="G225" s="37" t="s">
        <v>9</v>
      </c>
      <c r="H225" s="30">
        <v>0.2</v>
      </c>
      <c r="I225" s="30">
        <v>0.2</v>
      </c>
      <c r="J225" s="30">
        <v>0.4</v>
      </c>
      <c r="K225" s="30">
        <v>0.22</v>
      </c>
      <c r="L225" s="30">
        <v>0</v>
      </c>
      <c r="M225" s="30">
        <v>47</v>
      </c>
      <c r="N225" s="30">
        <v>47</v>
      </c>
    </row>
    <row r="226" spans="1:14">
      <c r="A226" s="30">
        <v>225</v>
      </c>
      <c r="B226" s="31">
        <v>40553</v>
      </c>
      <c r="C226" s="30">
        <v>15</v>
      </c>
      <c r="D226" s="37" t="s">
        <v>29</v>
      </c>
      <c r="E226" s="30" t="b">
        <v>0</v>
      </c>
      <c r="F226" s="37" t="s">
        <v>20</v>
      </c>
      <c r="G226" s="37" t="s">
        <v>9</v>
      </c>
      <c r="H226" s="30">
        <v>0.2</v>
      </c>
      <c r="I226" s="30">
        <v>0.2</v>
      </c>
      <c r="J226" s="30">
        <v>0.4</v>
      </c>
      <c r="K226" s="30">
        <v>0.22</v>
      </c>
      <c r="L226" s="30">
        <v>2</v>
      </c>
      <c r="M226" s="30">
        <v>43</v>
      </c>
      <c r="N226" s="30">
        <v>45</v>
      </c>
    </row>
    <row r="227" spans="1:14">
      <c r="A227" s="30">
        <v>226</v>
      </c>
      <c r="B227" s="31">
        <v>40553</v>
      </c>
      <c r="C227" s="30">
        <v>16</v>
      </c>
      <c r="D227" s="37" t="s">
        <v>29</v>
      </c>
      <c r="E227" s="30" t="b">
        <v>0</v>
      </c>
      <c r="F227" s="37" t="s">
        <v>20</v>
      </c>
      <c r="G227" s="37" t="s">
        <v>8</v>
      </c>
      <c r="H227" s="30">
        <v>0.2</v>
      </c>
      <c r="I227" s="30">
        <v>0.21</v>
      </c>
      <c r="J227" s="30">
        <v>0.4</v>
      </c>
      <c r="K227" s="30">
        <v>0.13</v>
      </c>
      <c r="L227" s="30">
        <v>4</v>
      </c>
      <c r="M227" s="30">
        <v>70</v>
      </c>
      <c r="N227" s="30">
        <v>74</v>
      </c>
    </row>
    <row r="228" spans="1:14">
      <c r="A228" s="30">
        <v>227</v>
      </c>
      <c r="B228" s="31">
        <v>40553</v>
      </c>
      <c r="C228" s="30">
        <v>17</v>
      </c>
      <c r="D228" s="37" t="s">
        <v>29</v>
      </c>
      <c r="E228" s="30" t="b">
        <v>0</v>
      </c>
      <c r="F228" s="37" t="s">
        <v>20</v>
      </c>
      <c r="G228" s="37" t="s">
        <v>8</v>
      </c>
      <c r="H228" s="30">
        <v>0.2</v>
      </c>
      <c r="I228" s="30">
        <v>0.23</v>
      </c>
      <c r="J228" s="30">
        <v>0.4</v>
      </c>
      <c r="K228" s="30">
        <v>0.1</v>
      </c>
      <c r="L228" s="30">
        <v>4</v>
      </c>
      <c r="M228" s="30">
        <v>174</v>
      </c>
      <c r="N228" s="30">
        <v>178</v>
      </c>
    </row>
    <row r="229" spans="1:14">
      <c r="A229" s="30">
        <v>228</v>
      </c>
      <c r="B229" s="31">
        <v>40553</v>
      </c>
      <c r="C229" s="30">
        <v>18</v>
      </c>
      <c r="D229" s="37" t="s">
        <v>30</v>
      </c>
      <c r="E229" s="30" t="b">
        <v>0</v>
      </c>
      <c r="F229" s="37" t="s">
        <v>20</v>
      </c>
      <c r="G229" s="37" t="s">
        <v>8</v>
      </c>
      <c r="H229" s="30">
        <v>0.2</v>
      </c>
      <c r="I229" s="30">
        <v>0.2</v>
      </c>
      <c r="J229" s="30">
        <v>0.4</v>
      </c>
      <c r="K229" s="30">
        <v>0.22</v>
      </c>
      <c r="L229" s="30">
        <v>1</v>
      </c>
      <c r="M229" s="30">
        <v>154</v>
      </c>
      <c r="N229" s="30">
        <v>155</v>
      </c>
    </row>
    <row r="230" spans="1:14">
      <c r="A230" s="30">
        <v>229</v>
      </c>
      <c r="B230" s="31">
        <v>40553</v>
      </c>
      <c r="C230" s="30">
        <v>19</v>
      </c>
      <c r="D230" s="37" t="s">
        <v>30</v>
      </c>
      <c r="E230" s="30" t="b">
        <v>0</v>
      </c>
      <c r="F230" s="37" t="s">
        <v>20</v>
      </c>
      <c r="G230" s="37" t="s">
        <v>8</v>
      </c>
      <c r="H230" s="30">
        <v>0.16</v>
      </c>
      <c r="I230" s="30">
        <v>0.17</v>
      </c>
      <c r="J230" s="30">
        <v>0.47</v>
      </c>
      <c r="K230" s="30">
        <v>0.16</v>
      </c>
      <c r="L230" s="30">
        <v>3</v>
      </c>
      <c r="M230" s="30">
        <v>92</v>
      </c>
      <c r="N230" s="30">
        <v>95</v>
      </c>
    </row>
    <row r="231" spans="1:14">
      <c r="A231" s="30">
        <v>230</v>
      </c>
      <c r="B231" s="31">
        <v>40553</v>
      </c>
      <c r="C231" s="30">
        <v>20</v>
      </c>
      <c r="D231" s="37" t="s">
        <v>30</v>
      </c>
      <c r="E231" s="30" t="b">
        <v>0</v>
      </c>
      <c r="F231" s="37" t="s">
        <v>20</v>
      </c>
      <c r="G231" s="37" t="s">
        <v>8</v>
      </c>
      <c r="H231" s="30">
        <v>0.16</v>
      </c>
      <c r="I231" s="30">
        <v>0.17</v>
      </c>
      <c r="J231" s="30">
        <v>0.5</v>
      </c>
      <c r="K231" s="30">
        <v>0.16</v>
      </c>
      <c r="L231" s="30">
        <v>1</v>
      </c>
      <c r="M231" s="30">
        <v>73</v>
      </c>
      <c r="N231" s="30">
        <v>74</v>
      </c>
    </row>
    <row r="232" spans="1:14">
      <c r="A232" s="30">
        <v>231</v>
      </c>
      <c r="B232" s="31">
        <v>40553</v>
      </c>
      <c r="C232" s="30">
        <v>21</v>
      </c>
      <c r="D232" s="37" t="s">
        <v>30</v>
      </c>
      <c r="E232" s="30" t="b">
        <v>0</v>
      </c>
      <c r="F232" s="37" t="s">
        <v>20</v>
      </c>
      <c r="G232" s="37" t="s">
        <v>8</v>
      </c>
      <c r="H232" s="30">
        <v>0.14000000000000001</v>
      </c>
      <c r="I232" s="30">
        <v>0.14000000000000001</v>
      </c>
      <c r="J232" s="30">
        <v>0.59</v>
      </c>
      <c r="K232" s="30">
        <v>0.19</v>
      </c>
      <c r="L232" s="30">
        <v>1</v>
      </c>
      <c r="M232" s="30">
        <v>37</v>
      </c>
      <c r="N232" s="30">
        <v>38</v>
      </c>
    </row>
    <row r="233" spans="1:14">
      <c r="A233" s="30">
        <v>232</v>
      </c>
      <c r="B233" s="31">
        <v>40553</v>
      </c>
      <c r="C233" s="30">
        <v>22</v>
      </c>
      <c r="D233" s="37" t="s">
        <v>30</v>
      </c>
      <c r="E233" s="30" t="b">
        <v>0</v>
      </c>
      <c r="F233" s="37" t="s">
        <v>20</v>
      </c>
      <c r="G233" s="37" t="s">
        <v>8</v>
      </c>
      <c r="H233" s="30">
        <v>0.14000000000000001</v>
      </c>
      <c r="I233" s="30">
        <v>0.15</v>
      </c>
      <c r="J233" s="30">
        <v>0.59</v>
      </c>
      <c r="K233" s="30">
        <v>0.16</v>
      </c>
      <c r="L233" s="30">
        <v>2</v>
      </c>
      <c r="M233" s="30">
        <v>22</v>
      </c>
      <c r="N233" s="30">
        <v>24</v>
      </c>
    </row>
    <row r="234" spans="1:14">
      <c r="A234" s="30">
        <v>233</v>
      </c>
      <c r="B234" s="31">
        <v>40553</v>
      </c>
      <c r="C234" s="30">
        <v>23</v>
      </c>
      <c r="D234" s="37" t="s">
        <v>30</v>
      </c>
      <c r="E234" s="30" t="b">
        <v>0</v>
      </c>
      <c r="F234" s="37" t="s">
        <v>20</v>
      </c>
      <c r="G234" s="37" t="s">
        <v>8</v>
      </c>
      <c r="H234" s="30">
        <v>0.14000000000000001</v>
      </c>
      <c r="I234" s="30">
        <v>0.15</v>
      </c>
      <c r="J234" s="30">
        <v>0.59</v>
      </c>
      <c r="K234" s="30">
        <v>0.16</v>
      </c>
      <c r="L234" s="30">
        <v>0</v>
      </c>
      <c r="M234" s="30">
        <v>18</v>
      </c>
      <c r="N234" s="30">
        <v>18</v>
      </c>
    </row>
    <row r="235" spans="1:14">
      <c r="A235" s="30">
        <v>234</v>
      </c>
      <c r="B235" s="31">
        <v>40554</v>
      </c>
      <c r="C235" s="30">
        <v>0</v>
      </c>
      <c r="D235" s="37" t="s">
        <v>27</v>
      </c>
      <c r="E235" s="30" t="b">
        <v>0</v>
      </c>
      <c r="F235" s="37" t="s">
        <v>21</v>
      </c>
      <c r="G235" s="37" t="s">
        <v>8</v>
      </c>
      <c r="H235" s="30">
        <v>0.14000000000000001</v>
      </c>
      <c r="I235" s="30">
        <v>0.17</v>
      </c>
      <c r="J235" s="30">
        <v>0.59</v>
      </c>
      <c r="K235" s="30">
        <v>0.1</v>
      </c>
      <c r="L235" s="30">
        <v>2</v>
      </c>
      <c r="M235" s="30">
        <v>10</v>
      </c>
      <c r="N235" s="30">
        <v>12</v>
      </c>
    </row>
    <row r="236" spans="1:14">
      <c r="A236" s="30">
        <v>235</v>
      </c>
      <c r="B236" s="31">
        <v>40554</v>
      </c>
      <c r="C236" s="30">
        <v>1</v>
      </c>
      <c r="D236" s="37" t="s">
        <v>27</v>
      </c>
      <c r="E236" s="30" t="b">
        <v>0</v>
      </c>
      <c r="F236" s="37" t="s">
        <v>21</v>
      </c>
      <c r="G236" s="37" t="s">
        <v>8</v>
      </c>
      <c r="H236" s="30">
        <v>0.14000000000000001</v>
      </c>
      <c r="I236" s="30">
        <v>0.15</v>
      </c>
      <c r="J236" s="30">
        <v>0.59</v>
      </c>
      <c r="K236" s="30">
        <v>0.16</v>
      </c>
      <c r="L236" s="30">
        <v>0</v>
      </c>
      <c r="M236" s="30">
        <v>3</v>
      </c>
      <c r="N236" s="30">
        <v>3</v>
      </c>
    </row>
    <row r="237" spans="1:14">
      <c r="A237" s="30">
        <v>236</v>
      </c>
      <c r="B237" s="31">
        <v>40554</v>
      </c>
      <c r="C237" s="30">
        <v>2</v>
      </c>
      <c r="D237" s="37" t="s">
        <v>27</v>
      </c>
      <c r="E237" s="30" t="b">
        <v>0</v>
      </c>
      <c r="F237" s="37" t="s">
        <v>21</v>
      </c>
      <c r="G237" s="37" t="s">
        <v>9</v>
      </c>
      <c r="H237" s="30">
        <v>0.16</v>
      </c>
      <c r="I237" s="30">
        <v>0.15</v>
      </c>
      <c r="J237" s="30">
        <v>0.55000000000000004</v>
      </c>
      <c r="K237" s="30">
        <v>0.19</v>
      </c>
      <c r="L237" s="30">
        <v>0</v>
      </c>
      <c r="M237" s="30">
        <v>3</v>
      </c>
      <c r="N237" s="30">
        <v>3</v>
      </c>
    </row>
    <row r="238" spans="1:14">
      <c r="A238" s="30">
        <v>237</v>
      </c>
      <c r="B238" s="31">
        <v>40554</v>
      </c>
      <c r="C238" s="30">
        <v>5</v>
      </c>
      <c r="D238" s="37" t="s">
        <v>27</v>
      </c>
      <c r="E238" s="30" t="b">
        <v>0</v>
      </c>
      <c r="F238" s="37" t="s">
        <v>21</v>
      </c>
      <c r="G238" s="37" t="s">
        <v>9</v>
      </c>
      <c r="H238" s="30">
        <v>0.16</v>
      </c>
      <c r="I238" s="30">
        <v>0.18</v>
      </c>
      <c r="J238" s="30">
        <v>0.55000000000000004</v>
      </c>
      <c r="K238" s="30">
        <v>0.13</v>
      </c>
      <c r="L238" s="30">
        <v>0</v>
      </c>
      <c r="M238" s="30">
        <v>6</v>
      </c>
      <c r="N238" s="30">
        <v>6</v>
      </c>
    </row>
    <row r="239" spans="1:14">
      <c r="A239" s="30">
        <v>238</v>
      </c>
      <c r="B239" s="31">
        <v>40554</v>
      </c>
      <c r="C239" s="30">
        <v>6</v>
      </c>
      <c r="D239" s="37" t="s">
        <v>28</v>
      </c>
      <c r="E239" s="30" t="b">
        <v>0</v>
      </c>
      <c r="F239" s="37" t="s">
        <v>21</v>
      </c>
      <c r="G239" s="37" t="s">
        <v>9</v>
      </c>
      <c r="H239" s="30">
        <v>0.16</v>
      </c>
      <c r="I239" s="30">
        <v>0.18</v>
      </c>
      <c r="J239" s="30">
        <v>0.55000000000000004</v>
      </c>
      <c r="K239" s="30">
        <v>0.13</v>
      </c>
      <c r="L239" s="30">
        <v>0</v>
      </c>
      <c r="M239" s="30">
        <v>27</v>
      </c>
      <c r="N239" s="30">
        <v>27</v>
      </c>
    </row>
    <row r="240" spans="1:14">
      <c r="A240" s="30">
        <v>239</v>
      </c>
      <c r="B240" s="31">
        <v>40554</v>
      </c>
      <c r="C240" s="30">
        <v>7</v>
      </c>
      <c r="D240" s="37" t="s">
        <v>28</v>
      </c>
      <c r="E240" s="30" t="b">
        <v>0</v>
      </c>
      <c r="F240" s="37" t="s">
        <v>21</v>
      </c>
      <c r="G240" s="37" t="s">
        <v>9</v>
      </c>
      <c r="H240" s="30">
        <v>0.16</v>
      </c>
      <c r="I240" s="30">
        <v>0.23</v>
      </c>
      <c r="J240" s="30">
        <v>0.55000000000000004</v>
      </c>
      <c r="K240" s="30">
        <v>0</v>
      </c>
      <c r="L240" s="30">
        <v>2</v>
      </c>
      <c r="M240" s="30">
        <v>97</v>
      </c>
      <c r="N240" s="30">
        <v>99</v>
      </c>
    </row>
    <row r="241" spans="1:14">
      <c r="A241" s="30">
        <v>240</v>
      </c>
      <c r="B241" s="31">
        <v>40554</v>
      </c>
      <c r="C241" s="30">
        <v>8</v>
      </c>
      <c r="D241" s="37" t="s">
        <v>28</v>
      </c>
      <c r="E241" s="30" t="b">
        <v>0</v>
      </c>
      <c r="F241" s="37" t="s">
        <v>21</v>
      </c>
      <c r="G241" s="37" t="s">
        <v>9</v>
      </c>
      <c r="H241" s="30">
        <v>0.18</v>
      </c>
      <c r="I241" s="30">
        <v>0.21</v>
      </c>
      <c r="J241" s="30">
        <v>0.51</v>
      </c>
      <c r="K241" s="30">
        <v>0.09</v>
      </c>
      <c r="L241" s="30">
        <v>3</v>
      </c>
      <c r="M241" s="30">
        <v>214</v>
      </c>
      <c r="N241" s="30">
        <v>217</v>
      </c>
    </row>
    <row r="242" spans="1:14">
      <c r="A242" s="30">
        <v>241</v>
      </c>
      <c r="B242" s="31">
        <v>40554</v>
      </c>
      <c r="C242" s="30">
        <v>9</v>
      </c>
      <c r="D242" s="37" t="s">
        <v>28</v>
      </c>
      <c r="E242" s="30" t="b">
        <v>0</v>
      </c>
      <c r="F242" s="37" t="s">
        <v>21</v>
      </c>
      <c r="G242" s="37" t="s">
        <v>9</v>
      </c>
      <c r="H242" s="30">
        <v>0.18</v>
      </c>
      <c r="I242" s="30">
        <v>0.2</v>
      </c>
      <c r="J242" s="30">
        <v>0.51</v>
      </c>
      <c r="K242" s="30">
        <v>0.16</v>
      </c>
      <c r="L242" s="30">
        <v>3</v>
      </c>
      <c r="M242" s="30">
        <v>127</v>
      </c>
      <c r="N242" s="30">
        <v>130</v>
      </c>
    </row>
    <row r="243" spans="1:14">
      <c r="A243" s="30">
        <v>242</v>
      </c>
      <c r="B243" s="31">
        <v>40554</v>
      </c>
      <c r="C243" s="30">
        <v>10</v>
      </c>
      <c r="D243" s="37" t="s">
        <v>28</v>
      </c>
      <c r="E243" s="30" t="b">
        <v>0</v>
      </c>
      <c r="F243" s="37" t="s">
        <v>21</v>
      </c>
      <c r="G243" s="37" t="s">
        <v>9</v>
      </c>
      <c r="H243" s="30">
        <v>0.2</v>
      </c>
      <c r="I243" s="30">
        <v>0.21</v>
      </c>
      <c r="J243" s="30">
        <v>0.51</v>
      </c>
      <c r="K243" s="30">
        <v>0.16</v>
      </c>
      <c r="L243" s="30">
        <v>3</v>
      </c>
      <c r="M243" s="30">
        <v>51</v>
      </c>
      <c r="N243" s="30">
        <v>54</v>
      </c>
    </row>
    <row r="244" spans="1:14">
      <c r="A244" s="30">
        <v>243</v>
      </c>
      <c r="B244" s="31">
        <v>40554</v>
      </c>
      <c r="C244" s="30">
        <v>11</v>
      </c>
      <c r="D244" s="37" t="s">
        <v>28</v>
      </c>
      <c r="E244" s="30" t="b">
        <v>0</v>
      </c>
      <c r="F244" s="37" t="s">
        <v>21</v>
      </c>
      <c r="G244" s="37" t="s">
        <v>9</v>
      </c>
      <c r="H244" s="30">
        <v>0.2</v>
      </c>
      <c r="I244" s="30">
        <v>0.21</v>
      </c>
      <c r="J244" s="30">
        <v>0.47</v>
      </c>
      <c r="K244" s="30">
        <v>0.13</v>
      </c>
      <c r="L244" s="30">
        <v>4</v>
      </c>
      <c r="M244" s="30">
        <v>31</v>
      </c>
      <c r="N244" s="30">
        <v>35</v>
      </c>
    </row>
    <row r="245" spans="1:14">
      <c r="A245" s="30">
        <v>244</v>
      </c>
      <c r="B245" s="31">
        <v>40554</v>
      </c>
      <c r="C245" s="30">
        <v>12</v>
      </c>
      <c r="D245" s="37" t="s">
        <v>29</v>
      </c>
      <c r="E245" s="30" t="b">
        <v>0</v>
      </c>
      <c r="F245" s="37" t="s">
        <v>21</v>
      </c>
      <c r="G245" s="37" t="s">
        <v>9</v>
      </c>
      <c r="H245" s="30">
        <v>0.2</v>
      </c>
      <c r="I245" s="30">
        <v>0.23</v>
      </c>
      <c r="J245" s="30">
        <v>0.51</v>
      </c>
      <c r="K245" s="30">
        <v>0.1</v>
      </c>
      <c r="L245" s="30">
        <v>2</v>
      </c>
      <c r="M245" s="30">
        <v>55</v>
      </c>
      <c r="N245" s="30">
        <v>57</v>
      </c>
    </row>
    <row r="246" spans="1:14">
      <c r="A246" s="30">
        <v>245</v>
      </c>
      <c r="B246" s="31">
        <v>40554</v>
      </c>
      <c r="C246" s="30">
        <v>13</v>
      </c>
      <c r="D246" s="37" t="s">
        <v>29</v>
      </c>
      <c r="E246" s="30" t="b">
        <v>0</v>
      </c>
      <c r="F246" s="37" t="s">
        <v>21</v>
      </c>
      <c r="G246" s="37" t="s">
        <v>9</v>
      </c>
      <c r="H246" s="30">
        <v>0.2</v>
      </c>
      <c r="I246" s="30">
        <v>0.23</v>
      </c>
      <c r="J246" s="30">
        <v>0.59</v>
      </c>
      <c r="K246" s="30">
        <v>0.09</v>
      </c>
      <c r="L246" s="30">
        <v>6</v>
      </c>
      <c r="M246" s="30">
        <v>46</v>
      </c>
      <c r="N246" s="30">
        <v>52</v>
      </c>
    </row>
    <row r="247" spans="1:14">
      <c r="A247" s="30">
        <v>246</v>
      </c>
      <c r="B247" s="31">
        <v>40554</v>
      </c>
      <c r="C247" s="30">
        <v>14</v>
      </c>
      <c r="D247" s="37" t="s">
        <v>29</v>
      </c>
      <c r="E247" s="30" t="b">
        <v>0</v>
      </c>
      <c r="F247" s="37" t="s">
        <v>21</v>
      </c>
      <c r="G247" s="37" t="s">
        <v>9</v>
      </c>
      <c r="H247" s="30">
        <v>0.2</v>
      </c>
      <c r="I247" s="30">
        <v>0.23</v>
      </c>
      <c r="J247" s="30">
        <v>0.59</v>
      </c>
      <c r="K247" s="30">
        <v>0.09</v>
      </c>
      <c r="L247" s="30">
        <v>3</v>
      </c>
      <c r="M247" s="30">
        <v>60</v>
      </c>
      <c r="N247" s="30">
        <v>63</v>
      </c>
    </row>
    <row r="248" spans="1:14">
      <c r="A248" s="30">
        <v>247</v>
      </c>
      <c r="B248" s="31">
        <v>40554</v>
      </c>
      <c r="C248" s="30">
        <v>15</v>
      </c>
      <c r="D248" s="37" t="s">
        <v>29</v>
      </c>
      <c r="E248" s="30" t="b">
        <v>0</v>
      </c>
      <c r="F248" s="37" t="s">
        <v>21</v>
      </c>
      <c r="G248" s="37" t="s">
        <v>9</v>
      </c>
      <c r="H248" s="30">
        <v>0.16</v>
      </c>
      <c r="I248" s="30">
        <v>0.2</v>
      </c>
      <c r="J248" s="30">
        <v>0.8</v>
      </c>
      <c r="K248" s="30">
        <v>0.09</v>
      </c>
      <c r="L248" s="30">
        <v>2</v>
      </c>
      <c r="M248" s="30">
        <v>45</v>
      </c>
      <c r="N248" s="30">
        <v>47</v>
      </c>
    </row>
    <row r="249" spans="1:14">
      <c r="A249" s="30">
        <v>248</v>
      </c>
      <c r="B249" s="31">
        <v>40554</v>
      </c>
      <c r="C249" s="30">
        <v>16</v>
      </c>
      <c r="D249" s="37" t="s">
        <v>29</v>
      </c>
      <c r="E249" s="30" t="b">
        <v>0</v>
      </c>
      <c r="F249" s="37" t="s">
        <v>21</v>
      </c>
      <c r="G249" s="37" t="s">
        <v>9</v>
      </c>
      <c r="H249" s="30">
        <v>0.16</v>
      </c>
      <c r="I249" s="30">
        <v>0.15</v>
      </c>
      <c r="J249" s="30">
        <v>0.86</v>
      </c>
      <c r="K249" s="30">
        <v>0.22</v>
      </c>
      <c r="L249" s="30">
        <v>4</v>
      </c>
      <c r="M249" s="30">
        <v>72</v>
      </c>
      <c r="N249" s="30">
        <v>76</v>
      </c>
    </row>
    <row r="250" spans="1:14">
      <c r="A250" s="30">
        <v>249</v>
      </c>
      <c r="B250" s="31">
        <v>40554</v>
      </c>
      <c r="C250" s="30">
        <v>17</v>
      </c>
      <c r="D250" s="37" t="s">
        <v>29</v>
      </c>
      <c r="E250" s="30" t="b">
        <v>0</v>
      </c>
      <c r="F250" s="37" t="s">
        <v>21</v>
      </c>
      <c r="G250" s="37" t="s">
        <v>9</v>
      </c>
      <c r="H250" s="30">
        <v>0.16</v>
      </c>
      <c r="I250" s="30">
        <v>0.15</v>
      </c>
      <c r="J250" s="30">
        <v>0.86</v>
      </c>
      <c r="K250" s="30">
        <v>0.22</v>
      </c>
      <c r="L250" s="30">
        <v>6</v>
      </c>
      <c r="M250" s="30">
        <v>130</v>
      </c>
      <c r="N250" s="30">
        <v>136</v>
      </c>
    </row>
    <row r="251" spans="1:14">
      <c r="A251" s="30">
        <v>250</v>
      </c>
      <c r="B251" s="31">
        <v>40554</v>
      </c>
      <c r="C251" s="30">
        <v>18</v>
      </c>
      <c r="D251" s="37" t="s">
        <v>30</v>
      </c>
      <c r="E251" s="30" t="b">
        <v>0</v>
      </c>
      <c r="F251" s="37" t="s">
        <v>21</v>
      </c>
      <c r="G251" s="37" t="s">
        <v>10</v>
      </c>
      <c r="H251" s="30">
        <v>0.16</v>
      </c>
      <c r="I251" s="30">
        <v>0.18</v>
      </c>
      <c r="J251" s="30">
        <v>0.93</v>
      </c>
      <c r="K251" s="30">
        <v>0.1</v>
      </c>
      <c r="L251" s="30">
        <v>1</v>
      </c>
      <c r="M251" s="30">
        <v>94</v>
      </c>
      <c r="N251" s="30">
        <v>95</v>
      </c>
    </row>
    <row r="252" spans="1:14">
      <c r="A252" s="30">
        <v>251</v>
      </c>
      <c r="B252" s="31">
        <v>40554</v>
      </c>
      <c r="C252" s="30">
        <v>19</v>
      </c>
      <c r="D252" s="37" t="s">
        <v>30</v>
      </c>
      <c r="E252" s="30" t="b">
        <v>0</v>
      </c>
      <c r="F252" s="37" t="s">
        <v>21</v>
      </c>
      <c r="G252" s="37" t="s">
        <v>10</v>
      </c>
      <c r="H252" s="30">
        <v>0.16</v>
      </c>
      <c r="I252" s="30">
        <v>0.23</v>
      </c>
      <c r="J252" s="30">
        <v>0.93</v>
      </c>
      <c r="K252" s="30">
        <v>0</v>
      </c>
      <c r="L252" s="30">
        <v>0</v>
      </c>
      <c r="M252" s="30">
        <v>51</v>
      </c>
      <c r="N252" s="30">
        <v>51</v>
      </c>
    </row>
    <row r="253" spans="1:14">
      <c r="A253" s="30">
        <v>252</v>
      </c>
      <c r="B253" s="31">
        <v>40554</v>
      </c>
      <c r="C253" s="30">
        <v>20</v>
      </c>
      <c r="D253" s="37" t="s">
        <v>30</v>
      </c>
      <c r="E253" s="30" t="b">
        <v>0</v>
      </c>
      <c r="F253" s="37" t="s">
        <v>21</v>
      </c>
      <c r="G253" s="37" t="s">
        <v>10</v>
      </c>
      <c r="H253" s="30">
        <v>0.16</v>
      </c>
      <c r="I253" s="30">
        <v>0.15</v>
      </c>
      <c r="J253" s="30">
        <v>0.93</v>
      </c>
      <c r="K253" s="30">
        <v>0.19</v>
      </c>
      <c r="L253" s="30">
        <v>0</v>
      </c>
      <c r="M253" s="30">
        <v>32</v>
      </c>
      <c r="N253" s="30">
        <v>32</v>
      </c>
    </row>
    <row r="254" spans="1:14">
      <c r="A254" s="30">
        <v>253</v>
      </c>
      <c r="B254" s="31">
        <v>40554</v>
      </c>
      <c r="C254" s="30">
        <v>21</v>
      </c>
      <c r="D254" s="37" t="s">
        <v>30</v>
      </c>
      <c r="E254" s="30" t="b">
        <v>0</v>
      </c>
      <c r="F254" s="37" t="s">
        <v>21</v>
      </c>
      <c r="G254" s="37" t="s">
        <v>10</v>
      </c>
      <c r="H254" s="30">
        <v>0.16</v>
      </c>
      <c r="I254" s="30">
        <v>0.2</v>
      </c>
      <c r="J254" s="30">
        <v>0.86</v>
      </c>
      <c r="K254" s="30">
        <v>0.09</v>
      </c>
      <c r="L254" s="30">
        <v>0</v>
      </c>
      <c r="M254" s="30">
        <v>20</v>
      </c>
      <c r="N254" s="30">
        <v>20</v>
      </c>
    </row>
    <row r="255" spans="1:14">
      <c r="A255" s="30">
        <v>254</v>
      </c>
      <c r="B255" s="31">
        <v>40554</v>
      </c>
      <c r="C255" s="30">
        <v>22</v>
      </c>
      <c r="D255" s="37" t="s">
        <v>30</v>
      </c>
      <c r="E255" s="30" t="b">
        <v>0</v>
      </c>
      <c r="F255" s="37" t="s">
        <v>21</v>
      </c>
      <c r="G255" s="37" t="s">
        <v>10</v>
      </c>
      <c r="H255" s="30">
        <v>0.16</v>
      </c>
      <c r="I255" s="30">
        <v>0.18</v>
      </c>
      <c r="J255" s="30">
        <v>0.93</v>
      </c>
      <c r="K255" s="30">
        <v>0.1</v>
      </c>
      <c r="L255" s="30">
        <v>1</v>
      </c>
      <c r="M255" s="30">
        <v>28</v>
      </c>
      <c r="N255" s="30">
        <v>29</v>
      </c>
    </row>
    <row r="256" spans="1:14">
      <c r="A256" s="30">
        <v>255</v>
      </c>
      <c r="B256" s="31">
        <v>40554</v>
      </c>
      <c r="C256" s="30">
        <v>23</v>
      </c>
      <c r="D256" s="37" t="s">
        <v>30</v>
      </c>
      <c r="E256" s="30" t="b">
        <v>0</v>
      </c>
      <c r="F256" s="37" t="s">
        <v>21</v>
      </c>
      <c r="G256" s="37" t="s">
        <v>10</v>
      </c>
      <c r="H256" s="30">
        <v>0.16</v>
      </c>
      <c r="I256" s="30">
        <v>0.2</v>
      </c>
      <c r="J256" s="30">
        <v>0.93</v>
      </c>
      <c r="K256" s="30">
        <v>0.09</v>
      </c>
      <c r="L256" s="30">
        <v>1</v>
      </c>
      <c r="M256" s="30">
        <v>18</v>
      </c>
      <c r="N256" s="30">
        <v>19</v>
      </c>
    </row>
    <row r="257" spans="1:14">
      <c r="A257" s="30">
        <v>256</v>
      </c>
      <c r="B257" s="31">
        <v>40555</v>
      </c>
      <c r="C257" s="30">
        <v>0</v>
      </c>
      <c r="D257" s="37" t="s">
        <v>27</v>
      </c>
      <c r="E257" s="30" t="b">
        <v>0</v>
      </c>
      <c r="F257" s="37" t="s">
        <v>22</v>
      </c>
      <c r="G257" s="37" t="s">
        <v>9</v>
      </c>
      <c r="H257" s="30">
        <v>0.16</v>
      </c>
      <c r="I257" s="30">
        <v>0.2</v>
      </c>
      <c r="J257" s="30">
        <v>0.86</v>
      </c>
      <c r="K257" s="30">
        <v>0.09</v>
      </c>
      <c r="L257" s="30">
        <v>0</v>
      </c>
      <c r="M257" s="30">
        <v>7</v>
      </c>
      <c r="N257" s="30">
        <v>7</v>
      </c>
    </row>
    <row r="258" spans="1:14">
      <c r="A258" s="30">
        <v>257</v>
      </c>
      <c r="B258" s="31">
        <v>40555</v>
      </c>
      <c r="C258" s="30">
        <v>1</v>
      </c>
      <c r="D258" s="37" t="s">
        <v>27</v>
      </c>
      <c r="E258" s="30" t="b">
        <v>0</v>
      </c>
      <c r="F258" s="37" t="s">
        <v>22</v>
      </c>
      <c r="G258" s="37" t="s">
        <v>9</v>
      </c>
      <c r="H258" s="30">
        <v>0.16</v>
      </c>
      <c r="I258" s="30">
        <v>0.18</v>
      </c>
      <c r="J258" s="30">
        <v>0.86</v>
      </c>
      <c r="K258" s="30">
        <v>0.1</v>
      </c>
      <c r="L258" s="30">
        <v>0</v>
      </c>
      <c r="M258" s="30">
        <v>6</v>
      </c>
      <c r="N258" s="30">
        <v>6</v>
      </c>
    </row>
    <row r="259" spans="1:14">
      <c r="A259" s="30">
        <v>258</v>
      </c>
      <c r="B259" s="31">
        <v>40555</v>
      </c>
      <c r="C259" s="30">
        <v>2</v>
      </c>
      <c r="D259" s="37" t="s">
        <v>27</v>
      </c>
      <c r="E259" s="30" t="b">
        <v>0</v>
      </c>
      <c r="F259" s="37" t="s">
        <v>22</v>
      </c>
      <c r="G259" s="37" t="s">
        <v>8</v>
      </c>
      <c r="H259" s="30">
        <v>0.14000000000000001</v>
      </c>
      <c r="I259" s="30">
        <v>0.15</v>
      </c>
      <c r="J259" s="30">
        <v>0.86</v>
      </c>
      <c r="K259" s="30">
        <v>0.13</v>
      </c>
      <c r="L259" s="30">
        <v>0</v>
      </c>
      <c r="M259" s="30">
        <v>1</v>
      </c>
      <c r="N259" s="30">
        <v>1</v>
      </c>
    </row>
    <row r="260" spans="1:14">
      <c r="A260" s="30">
        <v>259</v>
      </c>
      <c r="B260" s="31">
        <v>40555</v>
      </c>
      <c r="C260" s="30">
        <v>5</v>
      </c>
      <c r="D260" s="37" t="s">
        <v>27</v>
      </c>
      <c r="E260" s="30" t="b">
        <v>0</v>
      </c>
      <c r="F260" s="37" t="s">
        <v>22</v>
      </c>
      <c r="G260" s="37" t="s">
        <v>8</v>
      </c>
      <c r="H260" s="30">
        <v>0.14000000000000001</v>
      </c>
      <c r="I260" s="30">
        <v>0.15</v>
      </c>
      <c r="J260" s="30">
        <v>0.86</v>
      </c>
      <c r="K260" s="30">
        <v>0.16</v>
      </c>
      <c r="L260" s="30">
        <v>0</v>
      </c>
      <c r="M260" s="30">
        <v>5</v>
      </c>
      <c r="N260" s="30">
        <v>5</v>
      </c>
    </row>
    <row r="261" spans="1:14">
      <c r="A261" s="30">
        <v>260</v>
      </c>
      <c r="B261" s="31">
        <v>40555</v>
      </c>
      <c r="C261" s="30">
        <v>6</v>
      </c>
      <c r="D261" s="37" t="s">
        <v>28</v>
      </c>
      <c r="E261" s="30" t="b">
        <v>0</v>
      </c>
      <c r="F261" s="37" t="s">
        <v>22</v>
      </c>
      <c r="G261" s="37" t="s">
        <v>8</v>
      </c>
      <c r="H261" s="30">
        <v>0.12</v>
      </c>
      <c r="I261" s="30">
        <v>0.15</v>
      </c>
      <c r="J261" s="30">
        <v>0.93</v>
      </c>
      <c r="K261" s="30">
        <v>0.13</v>
      </c>
      <c r="L261" s="30">
        <v>0</v>
      </c>
      <c r="M261" s="30">
        <v>16</v>
      </c>
      <c r="N261" s="30">
        <v>16</v>
      </c>
    </row>
    <row r="262" spans="1:14">
      <c r="A262" s="30">
        <v>261</v>
      </c>
      <c r="B262" s="31">
        <v>40555</v>
      </c>
      <c r="C262" s="30">
        <v>7</v>
      </c>
      <c r="D262" s="37" t="s">
        <v>28</v>
      </c>
      <c r="E262" s="30" t="b">
        <v>0</v>
      </c>
      <c r="F262" s="37" t="s">
        <v>22</v>
      </c>
      <c r="G262" s="37" t="s">
        <v>8</v>
      </c>
      <c r="H262" s="30">
        <v>0.14000000000000001</v>
      </c>
      <c r="I262" s="30">
        <v>0.15</v>
      </c>
      <c r="J262" s="30">
        <v>0.69</v>
      </c>
      <c r="K262" s="30">
        <v>0.13</v>
      </c>
      <c r="L262" s="30">
        <v>0</v>
      </c>
      <c r="M262" s="30">
        <v>54</v>
      </c>
      <c r="N262" s="30">
        <v>54</v>
      </c>
    </row>
    <row r="263" spans="1:14">
      <c r="A263" s="30">
        <v>262</v>
      </c>
      <c r="B263" s="31">
        <v>40555</v>
      </c>
      <c r="C263" s="30">
        <v>8</v>
      </c>
      <c r="D263" s="37" t="s">
        <v>28</v>
      </c>
      <c r="E263" s="30" t="b">
        <v>0</v>
      </c>
      <c r="F263" s="37" t="s">
        <v>22</v>
      </c>
      <c r="G263" s="37" t="s">
        <v>8</v>
      </c>
      <c r="H263" s="30">
        <v>0.16</v>
      </c>
      <c r="I263" s="30">
        <v>0.17</v>
      </c>
      <c r="J263" s="30">
        <v>0.59</v>
      </c>
      <c r="K263" s="30">
        <v>0.16</v>
      </c>
      <c r="L263" s="30">
        <v>3</v>
      </c>
      <c r="M263" s="30">
        <v>125</v>
      </c>
      <c r="N263" s="30">
        <v>128</v>
      </c>
    </row>
    <row r="264" spans="1:14">
      <c r="A264" s="30">
        <v>263</v>
      </c>
      <c r="B264" s="31">
        <v>40555</v>
      </c>
      <c r="C264" s="30">
        <v>9</v>
      </c>
      <c r="D264" s="37" t="s">
        <v>28</v>
      </c>
      <c r="E264" s="30" t="b">
        <v>0</v>
      </c>
      <c r="F264" s="37" t="s">
        <v>22</v>
      </c>
      <c r="G264" s="37" t="s">
        <v>8</v>
      </c>
      <c r="H264" s="30">
        <v>0.16</v>
      </c>
      <c r="I264" s="30">
        <v>0.14000000000000001</v>
      </c>
      <c r="J264" s="30">
        <v>0.59</v>
      </c>
      <c r="K264" s="30">
        <v>0.33</v>
      </c>
      <c r="L264" s="30">
        <v>3</v>
      </c>
      <c r="M264" s="30">
        <v>78</v>
      </c>
      <c r="N264" s="30">
        <v>81</v>
      </c>
    </row>
    <row r="265" spans="1:14">
      <c r="A265" s="30">
        <v>264</v>
      </c>
      <c r="B265" s="31">
        <v>40555</v>
      </c>
      <c r="C265" s="30">
        <v>10</v>
      </c>
      <c r="D265" s="37" t="s">
        <v>28</v>
      </c>
      <c r="E265" s="30" t="b">
        <v>0</v>
      </c>
      <c r="F265" s="37" t="s">
        <v>22</v>
      </c>
      <c r="G265" s="37" t="s">
        <v>8</v>
      </c>
      <c r="H265" s="30">
        <v>0.18</v>
      </c>
      <c r="I265" s="30">
        <v>0.18</v>
      </c>
      <c r="J265" s="30">
        <v>0.55000000000000004</v>
      </c>
      <c r="K265" s="30">
        <v>0.22</v>
      </c>
      <c r="L265" s="30">
        <v>0</v>
      </c>
      <c r="M265" s="30">
        <v>39</v>
      </c>
      <c r="N265" s="30">
        <v>39</v>
      </c>
    </row>
    <row r="266" spans="1:14">
      <c r="A266" s="30">
        <v>265</v>
      </c>
      <c r="B266" s="31">
        <v>40555</v>
      </c>
      <c r="C266" s="30">
        <v>11</v>
      </c>
      <c r="D266" s="37" t="s">
        <v>28</v>
      </c>
      <c r="E266" s="30" t="b">
        <v>0</v>
      </c>
      <c r="F266" s="37" t="s">
        <v>22</v>
      </c>
      <c r="G266" s="37" t="s">
        <v>8</v>
      </c>
      <c r="H266" s="30">
        <v>0.2</v>
      </c>
      <c r="I266" s="30">
        <v>0.18</v>
      </c>
      <c r="J266" s="30">
        <v>0.51</v>
      </c>
      <c r="K266" s="30">
        <v>0.39</v>
      </c>
      <c r="L266" s="30">
        <v>3</v>
      </c>
      <c r="M266" s="30">
        <v>32</v>
      </c>
      <c r="N266" s="30">
        <v>35</v>
      </c>
    </row>
    <row r="267" spans="1:14">
      <c r="A267" s="30">
        <v>266</v>
      </c>
      <c r="B267" s="31">
        <v>40555</v>
      </c>
      <c r="C267" s="30">
        <v>12</v>
      </c>
      <c r="D267" s="37" t="s">
        <v>29</v>
      </c>
      <c r="E267" s="30" t="b">
        <v>0</v>
      </c>
      <c r="F267" s="37" t="s">
        <v>22</v>
      </c>
      <c r="G267" s="37" t="s">
        <v>8</v>
      </c>
      <c r="H267" s="30">
        <v>0.2</v>
      </c>
      <c r="I267" s="30">
        <v>0.15</v>
      </c>
      <c r="J267" s="30">
        <v>0.47</v>
      </c>
      <c r="K267" s="30">
        <v>0.57999999999999996</v>
      </c>
      <c r="L267" s="30">
        <v>3</v>
      </c>
      <c r="M267" s="30">
        <v>52</v>
      </c>
      <c r="N267" s="30">
        <v>55</v>
      </c>
    </row>
    <row r="268" spans="1:14">
      <c r="A268" s="30">
        <v>267</v>
      </c>
      <c r="B268" s="31">
        <v>40555</v>
      </c>
      <c r="C268" s="30">
        <v>13</v>
      </c>
      <c r="D268" s="37" t="s">
        <v>29</v>
      </c>
      <c r="E268" s="30" t="b">
        <v>0</v>
      </c>
      <c r="F268" s="37" t="s">
        <v>22</v>
      </c>
      <c r="G268" s="37" t="s">
        <v>8</v>
      </c>
      <c r="H268" s="30">
        <v>0.22</v>
      </c>
      <c r="I268" s="30">
        <v>0.2</v>
      </c>
      <c r="J268" s="30">
        <v>0.44</v>
      </c>
      <c r="K268" s="30">
        <v>0.36</v>
      </c>
      <c r="L268" s="30">
        <v>0</v>
      </c>
      <c r="M268" s="30">
        <v>49</v>
      </c>
      <c r="N268" s="30">
        <v>49</v>
      </c>
    </row>
    <row r="269" spans="1:14">
      <c r="A269" s="30">
        <v>268</v>
      </c>
      <c r="B269" s="31">
        <v>40555</v>
      </c>
      <c r="C269" s="30">
        <v>14</v>
      </c>
      <c r="D269" s="37" t="s">
        <v>29</v>
      </c>
      <c r="E269" s="30" t="b">
        <v>0</v>
      </c>
      <c r="F269" s="37" t="s">
        <v>22</v>
      </c>
      <c r="G269" s="37" t="s">
        <v>8</v>
      </c>
      <c r="H269" s="30">
        <v>0.2</v>
      </c>
      <c r="I269" s="30">
        <v>0.18</v>
      </c>
      <c r="J269" s="30">
        <v>0.47</v>
      </c>
      <c r="K269" s="30">
        <v>0.33</v>
      </c>
      <c r="L269" s="30">
        <v>0</v>
      </c>
      <c r="M269" s="30">
        <v>44</v>
      </c>
      <c r="N269" s="30">
        <v>44</v>
      </c>
    </row>
    <row r="270" spans="1:14">
      <c r="A270" s="30">
        <v>269</v>
      </c>
      <c r="B270" s="31">
        <v>40555</v>
      </c>
      <c r="C270" s="30">
        <v>15</v>
      </c>
      <c r="D270" s="37" t="s">
        <v>29</v>
      </c>
      <c r="E270" s="30" t="b">
        <v>0</v>
      </c>
      <c r="F270" s="37" t="s">
        <v>22</v>
      </c>
      <c r="G270" s="37" t="s">
        <v>8</v>
      </c>
      <c r="H270" s="30">
        <v>0.2</v>
      </c>
      <c r="I270" s="30">
        <v>0.17</v>
      </c>
      <c r="J270" s="30">
        <v>0.47</v>
      </c>
      <c r="K270" s="30">
        <v>0.42</v>
      </c>
      <c r="L270" s="30">
        <v>1</v>
      </c>
      <c r="M270" s="30">
        <v>48</v>
      </c>
      <c r="N270" s="30">
        <v>49</v>
      </c>
    </row>
    <row r="271" spans="1:14">
      <c r="A271" s="30">
        <v>270</v>
      </c>
      <c r="B271" s="31">
        <v>40555</v>
      </c>
      <c r="C271" s="30">
        <v>16</v>
      </c>
      <c r="D271" s="37" t="s">
        <v>29</v>
      </c>
      <c r="E271" s="30" t="b">
        <v>0</v>
      </c>
      <c r="F271" s="37" t="s">
        <v>22</v>
      </c>
      <c r="G271" s="37" t="s">
        <v>8</v>
      </c>
      <c r="H271" s="30">
        <v>0.22</v>
      </c>
      <c r="I271" s="30">
        <v>0.2</v>
      </c>
      <c r="J271" s="30">
        <v>0.44</v>
      </c>
      <c r="K271" s="30">
        <v>0.33</v>
      </c>
      <c r="L271" s="30">
        <v>5</v>
      </c>
      <c r="M271" s="30">
        <v>63</v>
      </c>
      <c r="N271" s="30">
        <v>68</v>
      </c>
    </row>
    <row r="272" spans="1:14">
      <c r="A272" s="30">
        <v>271</v>
      </c>
      <c r="B272" s="31">
        <v>40555</v>
      </c>
      <c r="C272" s="30">
        <v>17</v>
      </c>
      <c r="D272" s="37" t="s">
        <v>29</v>
      </c>
      <c r="E272" s="30" t="b">
        <v>0</v>
      </c>
      <c r="F272" s="37" t="s">
        <v>22</v>
      </c>
      <c r="G272" s="37" t="s">
        <v>8</v>
      </c>
      <c r="H272" s="30">
        <v>0.2</v>
      </c>
      <c r="I272" s="30">
        <v>0.18</v>
      </c>
      <c r="J272" s="30">
        <v>0.47</v>
      </c>
      <c r="K272" s="30">
        <v>0.36</v>
      </c>
      <c r="L272" s="30">
        <v>0</v>
      </c>
      <c r="M272" s="30">
        <v>139</v>
      </c>
      <c r="N272" s="30">
        <v>139</v>
      </c>
    </row>
    <row r="273" spans="1:14">
      <c r="A273" s="30">
        <v>272</v>
      </c>
      <c r="B273" s="31">
        <v>40555</v>
      </c>
      <c r="C273" s="30">
        <v>18</v>
      </c>
      <c r="D273" s="37" t="s">
        <v>30</v>
      </c>
      <c r="E273" s="30" t="b">
        <v>0</v>
      </c>
      <c r="F273" s="37" t="s">
        <v>22</v>
      </c>
      <c r="G273" s="37" t="s">
        <v>8</v>
      </c>
      <c r="H273" s="30">
        <v>0.2</v>
      </c>
      <c r="I273" s="30">
        <v>0.15</v>
      </c>
      <c r="J273" s="30">
        <v>0.47</v>
      </c>
      <c r="K273" s="30">
        <v>0.52</v>
      </c>
      <c r="L273" s="30">
        <v>2</v>
      </c>
      <c r="M273" s="30">
        <v>135</v>
      </c>
      <c r="N273" s="30">
        <v>137</v>
      </c>
    </row>
    <row r="274" spans="1:14">
      <c r="A274" s="30">
        <v>273</v>
      </c>
      <c r="B274" s="31">
        <v>40555</v>
      </c>
      <c r="C274" s="30">
        <v>19</v>
      </c>
      <c r="D274" s="37" t="s">
        <v>30</v>
      </c>
      <c r="E274" s="30" t="b">
        <v>0</v>
      </c>
      <c r="F274" s="37" t="s">
        <v>22</v>
      </c>
      <c r="G274" s="37" t="s">
        <v>8</v>
      </c>
      <c r="H274" s="30">
        <v>0.18</v>
      </c>
      <c r="I274" s="30">
        <v>0.15</v>
      </c>
      <c r="J274" s="30">
        <v>0.47</v>
      </c>
      <c r="K274" s="30">
        <v>0.42</v>
      </c>
      <c r="L274" s="30">
        <v>1</v>
      </c>
      <c r="M274" s="30">
        <v>82</v>
      </c>
      <c r="N274" s="30">
        <v>83</v>
      </c>
    </row>
    <row r="275" spans="1:14">
      <c r="A275" s="30">
        <v>274</v>
      </c>
      <c r="B275" s="31">
        <v>40555</v>
      </c>
      <c r="C275" s="30">
        <v>20</v>
      </c>
      <c r="D275" s="37" t="s">
        <v>30</v>
      </c>
      <c r="E275" s="30" t="b">
        <v>0</v>
      </c>
      <c r="F275" s="37" t="s">
        <v>22</v>
      </c>
      <c r="G275" s="37" t="s">
        <v>8</v>
      </c>
      <c r="H275" s="30">
        <v>0.16</v>
      </c>
      <c r="I275" s="30">
        <v>0.14000000000000001</v>
      </c>
      <c r="J275" s="30">
        <v>0.5</v>
      </c>
      <c r="K275" s="30">
        <v>0.33</v>
      </c>
      <c r="L275" s="30">
        <v>2</v>
      </c>
      <c r="M275" s="30">
        <v>54</v>
      </c>
      <c r="N275" s="30">
        <v>56</v>
      </c>
    </row>
    <row r="276" spans="1:14">
      <c r="A276" s="30">
        <v>275</v>
      </c>
      <c r="B276" s="31">
        <v>40555</v>
      </c>
      <c r="C276" s="30">
        <v>21</v>
      </c>
      <c r="D276" s="37" t="s">
        <v>30</v>
      </c>
      <c r="E276" s="30" t="b">
        <v>0</v>
      </c>
      <c r="F276" s="37" t="s">
        <v>22</v>
      </c>
      <c r="G276" s="37" t="s">
        <v>8</v>
      </c>
      <c r="H276" s="30">
        <v>0.16</v>
      </c>
      <c r="I276" s="30">
        <v>0.14000000000000001</v>
      </c>
      <c r="J276" s="30">
        <v>0.55000000000000004</v>
      </c>
      <c r="K276" s="30">
        <v>0.33</v>
      </c>
      <c r="L276" s="30">
        <v>0</v>
      </c>
      <c r="M276" s="30">
        <v>57</v>
      </c>
      <c r="N276" s="30">
        <v>57</v>
      </c>
    </row>
    <row r="277" spans="1:14">
      <c r="A277" s="30">
        <v>276</v>
      </c>
      <c r="B277" s="31">
        <v>40555</v>
      </c>
      <c r="C277" s="30">
        <v>22</v>
      </c>
      <c r="D277" s="37" t="s">
        <v>30</v>
      </c>
      <c r="E277" s="30" t="b">
        <v>0</v>
      </c>
      <c r="F277" s="37" t="s">
        <v>22</v>
      </c>
      <c r="G277" s="37" t="s">
        <v>8</v>
      </c>
      <c r="H277" s="30">
        <v>0.16</v>
      </c>
      <c r="I277" s="30">
        <v>0.12</v>
      </c>
      <c r="J277" s="30">
        <v>0.55000000000000004</v>
      </c>
      <c r="K277" s="30">
        <v>0.45</v>
      </c>
      <c r="L277" s="30">
        <v>1</v>
      </c>
      <c r="M277" s="30">
        <v>32</v>
      </c>
      <c r="N277" s="30">
        <v>33</v>
      </c>
    </row>
    <row r="278" spans="1:14">
      <c r="A278" s="30">
        <v>277</v>
      </c>
      <c r="B278" s="31">
        <v>40555</v>
      </c>
      <c r="C278" s="30">
        <v>23</v>
      </c>
      <c r="D278" s="37" t="s">
        <v>30</v>
      </c>
      <c r="E278" s="30" t="b">
        <v>0</v>
      </c>
      <c r="F278" s="37" t="s">
        <v>22</v>
      </c>
      <c r="G278" s="37" t="s">
        <v>8</v>
      </c>
      <c r="H278" s="30">
        <v>0.14000000000000001</v>
      </c>
      <c r="I278" s="30">
        <v>0.11</v>
      </c>
      <c r="J278" s="30">
        <v>0.59</v>
      </c>
      <c r="K278" s="30">
        <v>0.42</v>
      </c>
      <c r="L278" s="30">
        <v>1</v>
      </c>
      <c r="M278" s="30">
        <v>19</v>
      </c>
      <c r="N278" s="30">
        <v>20</v>
      </c>
    </row>
    <row r="279" spans="1:14">
      <c r="A279" s="30">
        <v>278</v>
      </c>
      <c r="B279" s="31">
        <v>40556</v>
      </c>
      <c r="C279" s="30">
        <v>0</v>
      </c>
      <c r="D279" s="37" t="s">
        <v>27</v>
      </c>
      <c r="E279" s="30" t="b">
        <v>0</v>
      </c>
      <c r="F279" s="37" t="s">
        <v>23</v>
      </c>
      <c r="G279" s="37" t="s">
        <v>8</v>
      </c>
      <c r="H279" s="30">
        <v>0.14000000000000001</v>
      </c>
      <c r="I279" s="30">
        <v>0.12</v>
      </c>
      <c r="J279" s="30">
        <v>0.59</v>
      </c>
      <c r="K279" s="30">
        <v>0.28000000000000003</v>
      </c>
      <c r="L279" s="30">
        <v>1</v>
      </c>
      <c r="M279" s="30">
        <v>6</v>
      </c>
      <c r="N279" s="30">
        <v>7</v>
      </c>
    </row>
    <row r="280" spans="1:14">
      <c r="A280" s="30">
        <v>279</v>
      </c>
      <c r="B280" s="31">
        <v>40556</v>
      </c>
      <c r="C280" s="30">
        <v>1</v>
      </c>
      <c r="D280" s="37" t="s">
        <v>27</v>
      </c>
      <c r="E280" s="30" t="b">
        <v>0</v>
      </c>
      <c r="F280" s="37" t="s">
        <v>23</v>
      </c>
      <c r="G280" s="37" t="s">
        <v>8</v>
      </c>
      <c r="H280" s="30">
        <v>0.14000000000000001</v>
      </c>
      <c r="I280" s="30">
        <v>0.12</v>
      </c>
      <c r="J280" s="30">
        <v>0.5</v>
      </c>
      <c r="K280" s="30">
        <v>0.28000000000000003</v>
      </c>
      <c r="L280" s="30">
        <v>0</v>
      </c>
      <c r="M280" s="30">
        <v>2</v>
      </c>
      <c r="N280" s="30">
        <v>2</v>
      </c>
    </row>
    <row r="281" spans="1:14">
      <c r="A281" s="30">
        <v>280</v>
      </c>
      <c r="B281" s="31">
        <v>40556</v>
      </c>
      <c r="C281" s="30">
        <v>2</v>
      </c>
      <c r="D281" s="37" t="s">
        <v>27</v>
      </c>
      <c r="E281" s="30" t="b">
        <v>0</v>
      </c>
      <c r="F281" s="37" t="s">
        <v>23</v>
      </c>
      <c r="G281" s="37" t="s">
        <v>8</v>
      </c>
      <c r="H281" s="30">
        <v>0.14000000000000001</v>
      </c>
      <c r="I281" s="30">
        <v>0.12</v>
      </c>
      <c r="J281" s="30">
        <v>0.5</v>
      </c>
      <c r="K281" s="30">
        <v>0.36</v>
      </c>
      <c r="L281" s="30">
        <v>0</v>
      </c>
      <c r="M281" s="30">
        <v>2</v>
      </c>
      <c r="N281" s="30">
        <v>2</v>
      </c>
    </row>
    <row r="282" spans="1:14">
      <c r="A282" s="30">
        <v>281</v>
      </c>
      <c r="B282" s="31">
        <v>40556</v>
      </c>
      <c r="C282" s="30">
        <v>3</v>
      </c>
      <c r="D282" s="37" t="s">
        <v>27</v>
      </c>
      <c r="E282" s="30" t="b">
        <v>0</v>
      </c>
      <c r="F282" s="37" t="s">
        <v>23</v>
      </c>
      <c r="G282" s="37" t="s">
        <v>8</v>
      </c>
      <c r="H282" s="30">
        <v>0.14000000000000001</v>
      </c>
      <c r="I282" s="30">
        <v>0.12</v>
      </c>
      <c r="J282" s="30">
        <v>0.5</v>
      </c>
      <c r="K282" s="30">
        <v>0.33</v>
      </c>
      <c r="L282" s="30">
        <v>0</v>
      </c>
      <c r="M282" s="30">
        <v>3</v>
      </c>
      <c r="N282" s="30">
        <v>3</v>
      </c>
    </row>
    <row r="283" spans="1:14">
      <c r="A283" s="30">
        <v>282</v>
      </c>
      <c r="B283" s="31">
        <v>40556</v>
      </c>
      <c r="C283" s="30">
        <v>4</v>
      </c>
      <c r="D283" s="37" t="s">
        <v>27</v>
      </c>
      <c r="E283" s="30" t="b">
        <v>0</v>
      </c>
      <c r="F283" s="37" t="s">
        <v>23</v>
      </c>
      <c r="G283" s="37" t="s">
        <v>8</v>
      </c>
      <c r="H283" s="30">
        <v>0.14000000000000001</v>
      </c>
      <c r="I283" s="30">
        <v>0.12</v>
      </c>
      <c r="J283" s="30">
        <v>0.5</v>
      </c>
      <c r="K283" s="30">
        <v>0.25</v>
      </c>
      <c r="L283" s="30">
        <v>0</v>
      </c>
      <c r="M283" s="30">
        <v>4</v>
      </c>
      <c r="N283" s="30">
        <v>4</v>
      </c>
    </row>
    <row r="284" spans="1:14">
      <c r="A284" s="30">
        <v>283</v>
      </c>
      <c r="B284" s="31">
        <v>40556</v>
      </c>
      <c r="C284" s="30">
        <v>5</v>
      </c>
      <c r="D284" s="37" t="s">
        <v>27</v>
      </c>
      <c r="E284" s="30" t="b">
        <v>0</v>
      </c>
      <c r="F284" s="37" t="s">
        <v>23</v>
      </c>
      <c r="G284" s="37" t="s">
        <v>8</v>
      </c>
      <c r="H284" s="30">
        <v>0.14000000000000001</v>
      </c>
      <c r="I284" s="30">
        <v>0.12</v>
      </c>
      <c r="J284" s="30">
        <v>0.5</v>
      </c>
      <c r="K284" s="30">
        <v>0.3</v>
      </c>
      <c r="L284" s="30">
        <v>0</v>
      </c>
      <c r="M284" s="30">
        <v>3</v>
      </c>
      <c r="N284" s="30">
        <v>3</v>
      </c>
    </row>
    <row r="285" spans="1:14">
      <c r="A285" s="30">
        <v>284</v>
      </c>
      <c r="B285" s="31">
        <v>40556</v>
      </c>
      <c r="C285" s="30">
        <v>6</v>
      </c>
      <c r="D285" s="37" t="s">
        <v>28</v>
      </c>
      <c r="E285" s="30" t="b">
        <v>0</v>
      </c>
      <c r="F285" s="37" t="s">
        <v>23</v>
      </c>
      <c r="G285" s="37" t="s">
        <v>8</v>
      </c>
      <c r="H285" s="30">
        <v>0.12</v>
      </c>
      <c r="I285" s="30">
        <v>0.15</v>
      </c>
      <c r="J285" s="30">
        <v>0.54</v>
      </c>
      <c r="K285" s="30">
        <v>0.13</v>
      </c>
      <c r="L285" s="30">
        <v>0</v>
      </c>
      <c r="M285" s="30">
        <v>28</v>
      </c>
      <c r="N285" s="30">
        <v>28</v>
      </c>
    </row>
    <row r="286" spans="1:14">
      <c r="A286" s="30">
        <v>285</v>
      </c>
      <c r="B286" s="31">
        <v>40556</v>
      </c>
      <c r="C286" s="30">
        <v>7</v>
      </c>
      <c r="D286" s="37" t="s">
        <v>28</v>
      </c>
      <c r="E286" s="30" t="b">
        <v>0</v>
      </c>
      <c r="F286" s="37" t="s">
        <v>23</v>
      </c>
      <c r="G286" s="37" t="s">
        <v>8</v>
      </c>
      <c r="H286" s="30">
        <v>0.12</v>
      </c>
      <c r="I286" s="30">
        <v>0.15</v>
      </c>
      <c r="J286" s="30">
        <v>0.54</v>
      </c>
      <c r="K286" s="30">
        <v>0.13</v>
      </c>
      <c r="L286" s="30">
        <v>0</v>
      </c>
      <c r="M286" s="30">
        <v>72</v>
      </c>
      <c r="N286" s="30">
        <v>72</v>
      </c>
    </row>
    <row r="287" spans="1:14">
      <c r="A287" s="30">
        <v>286</v>
      </c>
      <c r="B287" s="31">
        <v>40556</v>
      </c>
      <c r="C287" s="30">
        <v>8</v>
      </c>
      <c r="D287" s="37" t="s">
        <v>28</v>
      </c>
      <c r="E287" s="30" t="b">
        <v>0</v>
      </c>
      <c r="F287" s="37" t="s">
        <v>23</v>
      </c>
      <c r="G287" s="37" t="s">
        <v>8</v>
      </c>
      <c r="H287" s="30">
        <v>0.14000000000000001</v>
      </c>
      <c r="I287" s="30">
        <v>0.14000000000000001</v>
      </c>
      <c r="J287" s="30">
        <v>0.5</v>
      </c>
      <c r="K287" s="30">
        <v>0.19</v>
      </c>
      <c r="L287" s="30">
        <v>5</v>
      </c>
      <c r="M287" s="30">
        <v>197</v>
      </c>
      <c r="N287" s="30">
        <v>202</v>
      </c>
    </row>
    <row r="288" spans="1:14">
      <c r="A288" s="30">
        <v>287</v>
      </c>
      <c r="B288" s="31">
        <v>40556</v>
      </c>
      <c r="C288" s="30">
        <v>9</v>
      </c>
      <c r="D288" s="37" t="s">
        <v>28</v>
      </c>
      <c r="E288" s="30" t="b">
        <v>0</v>
      </c>
      <c r="F288" s="37" t="s">
        <v>23</v>
      </c>
      <c r="G288" s="37" t="s">
        <v>8</v>
      </c>
      <c r="H288" s="30">
        <v>0.14000000000000001</v>
      </c>
      <c r="I288" s="30">
        <v>0.12</v>
      </c>
      <c r="J288" s="30">
        <v>0.5</v>
      </c>
      <c r="K288" s="30">
        <v>0.33</v>
      </c>
      <c r="L288" s="30">
        <v>2</v>
      </c>
      <c r="M288" s="30">
        <v>137</v>
      </c>
      <c r="N288" s="30">
        <v>139</v>
      </c>
    </row>
    <row r="289" spans="1:14">
      <c r="A289" s="30">
        <v>288</v>
      </c>
      <c r="B289" s="31">
        <v>40556</v>
      </c>
      <c r="C289" s="30">
        <v>10</v>
      </c>
      <c r="D289" s="37" t="s">
        <v>28</v>
      </c>
      <c r="E289" s="30" t="b">
        <v>0</v>
      </c>
      <c r="F289" s="37" t="s">
        <v>23</v>
      </c>
      <c r="G289" s="37" t="s">
        <v>9</v>
      </c>
      <c r="H289" s="30">
        <v>0.16</v>
      </c>
      <c r="I289" s="30">
        <v>0.14000000000000001</v>
      </c>
      <c r="J289" s="30">
        <v>0.5</v>
      </c>
      <c r="K289" s="30">
        <v>0.36</v>
      </c>
      <c r="L289" s="30">
        <v>2</v>
      </c>
      <c r="M289" s="30">
        <v>36</v>
      </c>
      <c r="N289" s="30">
        <v>38</v>
      </c>
    </row>
    <row r="290" spans="1:14">
      <c r="A290" s="30">
        <v>289</v>
      </c>
      <c r="B290" s="31">
        <v>40556</v>
      </c>
      <c r="C290" s="30">
        <v>11</v>
      </c>
      <c r="D290" s="37" t="s">
        <v>28</v>
      </c>
      <c r="E290" s="30" t="b">
        <v>0</v>
      </c>
      <c r="F290" s="37" t="s">
        <v>23</v>
      </c>
      <c r="G290" s="37" t="s">
        <v>9</v>
      </c>
      <c r="H290" s="30">
        <v>0.2</v>
      </c>
      <c r="I290" s="30">
        <v>0.17</v>
      </c>
      <c r="J290" s="30">
        <v>0.44</v>
      </c>
      <c r="K290" s="30">
        <v>0.45</v>
      </c>
      <c r="L290" s="30">
        <v>4</v>
      </c>
      <c r="M290" s="30">
        <v>33</v>
      </c>
      <c r="N290" s="30">
        <v>37</v>
      </c>
    </row>
    <row r="291" spans="1:14">
      <c r="A291" s="30">
        <v>290</v>
      </c>
      <c r="B291" s="31">
        <v>40556</v>
      </c>
      <c r="C291" s="30">
        <v>12</v>
      </c>
      <c r="D291" s="37" t="s">
        <v>29</v>
      </c>
      <c r="E291" s="30" t="b">
        <v>0</v>
      </c>
      <c r="F291" s="37" t="s">
        <v>23</v>
      </c>
      <c r="G291" s="37" t="s">
        <v>8</v>
      </c>
      <c r="H291" s="30">
        <v>0.2</v>
      </c>
      <c r="I291" s="30">
        <v>0.17</v>
      </c>
      <c r="J291" s="30">
        <v>0.44</v>
      </c>
      <c r="K291" s="30">
        <v>0.42</v>
      </c>
      <c r="L291" s="30">
        <v>3</v>
      </c>
      <c r="M291" s="30">
        <v>49</v>
      </c>
      <c r="N291" s="30">
        <v>52</v>
      </c>
    </row>
    <row r="292" spans="1:14">
      <c r="A292" s="30">
        <v>291</v>
      </c>
      <c r="B292" s="31">
        <v>40556</v>
      </c>
      <c r="C292" s="30">
        <v>13</v>
      </c>
      <c r="D292" s="37" t="s">
        <v>29</v>
      </c>
      <c r="E292" s="30" t="b">
        <v>0</v>
      </c>
      <c r="F292" s="37" t="s">
        <v>23</v>
      </c>
      <c r="G292" s="37" t="s">
        <v>8</v>
      </c>
      <c r="H292" s="30">
        <v>0.22</v>
      </c>
      <c r="I292" s="30">
        <v>0.2</v>
      </c>
      <c r="J292" s="30">
        <v>0.41</v>
      </c>
      <c r="K292" s="30">
        <v>0.45</v>
      </c>
      <c r="L292" s="30">
        <v>2</v>
      </c>
      <c r="M292" s="30">
        <v>81</v>
      </c>
      <c r="N292" s="30">
        <v>83</v>
      </c>
    </row>
    <row r="293" spans="1:14">
      <c r="A293" s="30">
        <v>292</v>
      </c>
      <c r="B293" s="31">
        <v>40556</v>
      </c>
      <c r="C293" s="30">
        <v>14</v>
      </c>
      <c r="D293" s="37" t="s">
        <v>29</v>
      </c>
      <c r="E293" s="30" t="b">
        <v>0</v>
      </c>
      <c r="F293" s="37" t="s">
        <v>23</v>
      </c>
      <c r="G293" s="37" t="s">
        <v>8</v>
      </c>
      <c r="H293" s="30">
        <v>0.22</v>
      </c>
      <c r="I293" s="30">
        <v>0.2</v>
      </c>
      <c r="J293" s="30">
        <v>0.41</v>
      </c>
      <c r="K293" s="30">
        <v>0.39</v>
      </c>
      <c r="L293" s="30">
        <v>3</v>
      </c>
      <c r="M293" s="30">
        <v>39</v>
      </c>
      <c r="N293" s="30">
        <v>42</v>
      </c>
    </row>
    <row r="294" spans="1:14">
      <c r="A294" s="30">
        <v>293</v>
      </c>
      <c r="B294" s="31">
        <v>40556</v>
      </c>
      <c r="C294" s="30">
        <v>15</v>
      </c>
      <c r="D294" s="37" t="s">
        <v>29</v>
      </c>
      <c r="E294" s="30" t="b">
        <v>0</v>
      </c>
      <c r="F294" s="37" t="s">
        <v>23</v>
      </c>
      <c r="G294" s="37" t="s">
        <v>8</v>
      </c>
      <c r="H294" s="30">
        <v>0.24</v>
      </c>
      <c r="I294" s="30">
        <v>0.21</v>
      </c>
      <c r="J294" s="30">
        <v>0.38</v>
      </c>
      <c r="K294" s="30">
        <v>0.3</v>
      </c>
      <c r="L294" s="30">
        <v>5</v>
      </c>
      <c r="M294" s="30">
        <v>55</v>
      </c>
      <c r="N294" s="30">
        <v>60</v>
      </c>
    </row>
    <row r="295" spans="1:14">
      <c r="A295" s="30">
        <v>294</v>
      </c>
      <c r="B295" s="31">
        <v>40556</v>
      </c>
      <c r="C295" s="30">
        <v>16</v>
      </c>
      <c r="D295" s="37" t="s">
        <v>29</v>
      </c>
      <c r="E295" s="30" t="b">
        <v>0</v>
      </c>
      <c r="F295" s="37" t="s">
        <v>23</v>
      </c>
      <c r="G295" s="37" t="s">
        <v>8</v>
      </c>
      <c r="H295" s="30">
        <v>0.24</v>
      </c>
      <c r="I295" s="30">
        <v>0.21</v>
      </c>
      <c r="J295" s="30">
        <v>0.38</v>
      </c>
      <c r="K295" s="30">
        <v>0.36</v>
      </c>
      <c r="L295" s="30">
        <v>2</v>
      </c>
      <c r="M295" s="30">
        <v>76</v>
      </c>
      <c r="N295" s="30">
        <v>78</v>
      </c>
    </row>
    <row r="296" spans="1:14">
      <c r="A296" s="30">
        <v>295</v>
      </c>
      <c r="B296" s="31">
        <v>40556</v>
      </c>
      <c r="C296" s="30">
        <v>17</v>
      </c>
      <c r="D296" s="37" t="s">
        <v>29</v>
      </c>
      <c r="E296" s="30" t="b">
        <v>0</v>
      </c>
      <c r="F296" s="37" t="s">
        <v>23</v>
      </c>
      <c r="G296" s="37" t="s">
        <v>8</v>
      </c>
      <c r="H296" s="30">
        <v>0.2</v>
      </c>
      <c r="I296" s="30">
        <v>0.18</v>
      </c>
      <c r="J296" s="30">
        <v>0.4</v>
      </c>
      <c r="K296" s="30">
        <v>0.28000000000000003</v>
      </c>
      <c r="L296" s="30">
        <v>4</v>
      </c>
      <c r="M296" s="30">
        <v>158</v>
      </c>
      <c r="N296" s="30">
        <v>162</v>
      </c>
    </row>
    <row r="297" spans="1:14">
      <c r="A297" s="30">
        <v>296</v>
      </c>
      <c r="B297" s="31">
        <v>40556</v>
      </c>
      <c r="C297" s="30">
        <v>18</v>
      </c>
      <c r="D297" s="37" t="s">
        <v>30</v>
      </c>
      <c r="E297" s="30" t="b">
        <v>0</v>
      </c>
      <c r="F297" s="37" t="s">
        <v>23</v>
      </c>
      <c r="G297" s="37" t="s">
        <v>8</v>
      </c>
      <c r="H297" s="30">
        <v>0.2</v>
      </c>
      <c r="I297" s="30">
        <v>0.18</v>
      </c>
      <c r="J297" s="30">
        <v>0.4</v>
      </c>
      <c r="K297" s="30">
        <v>0.33</v>
      </c>
      <c r="L297" s="30">
        <v>3</v>
      </c>
      <c r="M297" s="30">
        <v>141</v>
      </c>
      <c r="N297" s="30">
        <v>144</v>
      </c>
    </row>
    <row r="298" spans="1:14">
      <c r="A298" s="30">
        <v>297</v>
      </c>
      <c r="B298" s="31">
        <v>40556</v>
      </c>
      <c r="C298" s="30">
        <v>19</v>
      </c>
      <c r="D298" s="37" t="s">
        <v>30</v>
      </c>
      <c r="E298" s="30" t="b">
        <v>0</v>
      </c>
      <c r="F298" s="37" t="s">
        <v>23</v>
      </c>
      <c r="G298" s="37" t="s">
        <v>8</v>
      </c>
      <c r="H298" s="30">
        <v>0.16</v>
      </c>
      <c r="I298" s="30">
        <v>0.15</v>
      </c>
      <c r="J298" s="30">
        <v>0.47</v>
      </c>
      <c r="K298" s="30">
        <v>0.25</v>
      </c>
      <c r="L298" s="30">
        <v>1</v>
      </c>
      <c r="M298" s="30">
        <v>98</v>
      </c>
      <c r="N298" s="30">
        <v>99</v>
      </c>
    </row>
    <row r="299" spans="1:14">
      <c r="A299" s="30">
        <v>298</v>
      </c>
      <c r="B299" s="31">
        <v>40556</v>
      </c>
      <c r="C299" s="30">
        <v>20</v>
      </c>
      <c r="D299" s="37" t="s">
        <v>30</v>
      </c>
      <c r="E299" s="30" t="b">
        <v>0</v>
      </c>
      <c r="F299" s="37" t="s">
        <v>23</v>
      </c>
      <c r="G299" s="37" t="s">
        <v>8</v>
      </c>
      <c r="H299" s="30">
        <v>0.16</v>
      </c>
      <c r="I299" s="30">
        <v>0.15</v>
      </c>
      <c r="J299" s="30">
        <v>0.47</v>
      </c>
      <c r="K299" s="30">
        <v>0.22</v>
      </c>
      <c r="L299" s="30">
        <v>0</v>
      </c>
      <c r="M299" s="30">
        <v>64</v>
      </c>
      <c r="N299" s="30">
        <v>64</v>
      </c>
    </row>
    <row r="300" spans="1:14">
      <c r="A300" s="30">
        <v>299</v>
      </c>
      <c r="B300" s="31">
        <v>40556</v>
      </c>
      <c r="C300" s="30">
        <v>21</v>
      </c>
      <c r="D300" s="37" t="s">
        <v>30</v>
      </c>
      <c r="E300" s="30" t="b">
        <v>0</v>
      </c>
      <c r="F300" s="37" t="s">
        <v>23</v>
      </c>
      <c r="G300" s="37" t="s">
        <v>8</v>
      </c>
      <c r="H300" s="30">
        <v>0.14000000000000001</v>
      </c>
      <c r="I300" s="30">
        <v>0.12</v>
      </c>
      <c r="J300" s="30">
        <v>0.46</v>
      </c>
      <c r="K300" s="30">
        <v>0.3</v>
      </c>
      <c r="L300" s="30">
        <v>0</v>
      </c>
      <c r="M300" s="30">
        <v>40</v>
      </c>
      <c r="N300" s="30">
        <v>40</v>
      </c>
    </row>
    <row r="301" spans="1:14">
      <c r="A301" s="30">
        <v>300</v>
      </c>
      <c r="B301" s="31">
        <v>40556</v>
      </c>
      <c r="C301" s="30">
        <v>22</v>
      </c>
      <c r="D301" s="37" t="s">
        <v>30</v>
      </c>
      <c r="E301" s="30" t="b">
        <v>0</v>
      </c>
      <c r="F301" s="37" t="s">
        <v>23</v>
      </c>
      <c r="G301" s="37" t="s">
        <v>8</v>
      </c>
      <c r="H301" s="30">
        <v>0.14000000000000001</v>
      </c>
      <c r="I301" s="30">
        <v>0.12</v>
      </c>
      <c r="J301" s="30">
        <v>0.46</v>
      </c>
      <c r="K301" s="30">
        <v>0.33</v>
      </c>
      <c r="L301" s="30">
        <v>0</v>
      </c>
      <c r="M301" s="30">
        <v>30</v>
      </c>
      <c r="N301" s="30">
        <v>30</v>
      </c>
    </row>
    <row r="302" spans="1:14">
      <c r="A302" s="30">
        <v>301</v>
      </c>
      <c r="B302" s="31">
        <v>40556</v>
      </c>
      <c r="C302" s="30">
        <v>23</v>
      </c>
      <c r="D302" s="37" t="s">
        <v>30</v>
      </c>
      <c r="E302" s="30" t="b">
        <v>0</v>
      </c>
      <c r="F302" s="37" t="s">
        <v>23</v>
      </c>
      <c r="G302" s="37" t="s">
        <v>8</v>
      </c>
      <c r="H302" s="30">
        <v>0.12</v>
      </c>
      <c r="I302" s="30">
        <v>0.14000000000000001</v>
      </c>
      <c r="J302" s="30">
        <v>0.5</v>
      </c>
      <c r="K302" s="30">
        <v>0.19</v>
      </c>
      <c r="L302" s="30">
        <v>1</v>
      </c>
      <c r="M302" s="30">
        <v>14</v>
      </c>
      <c r="N302" s="30">
        <v>15</v>
      </c>
    </row>
    <row r="303" spans="1:14">
      <c r="A303" s="30">
        <v>302</v>
      </c>
      <c r="B303" s="31">
        <v>40557</v>
      </c>
      <c r="C303" s="30">
        <v>0</v>
      </c>
      <c r="D303" s="37" t="s">
        <v>27</v>
      </c>
      <c r="E303" s="30" t="b">
        <v>0</v>
      </c>
      <c r="F303" s="37" t="s">
        <v>24</v>
      </c>
      <c r="G303" s="37" t="s">
        <v>8</v>
      </c>
      <c r="H303" s="30">
        <v>0.12</v>
      </c>
      <c r="I303" s="30">
        <v>0.14000000000000001</v>
      </c>
      <c r="J303" s="30">
        <v>0.5</v>
      </c>
      <c r="K303" s="30">
        <v>0.19</v>
      </c>
      <c r="L303" s="30">
        <v>0</v>
      </c>
      <c r="M303" s="30">
        <v>14</v>
      </c>
      <c r="N303" s="30">
        <v>14</v>
      </c>
    </row>
    <row r="304" spans="1:14">
      <c r="A304" s="30">
        <v>303</v>
      </c>
      <c r="B304" s="31">
        <v>40557</v>
      </c>
      <c r="C304" s="30">
        <v>1</v>
      </c>
      <c r="D304" s="37" t="s">
        <v>27</v>
      </c>
      <c r="E304" s="30" t="b">
        <v>0</v>
      </c>
      <c r="F304" s="37" t="s">
        <v>24</v>
      </c>
      <c r="G304" s="37" t="s">
        <v>8</v>
      </c>
      <c r="H304" s="30">
        <v>0.1</v>
      </c>
      <c r="I304" s="30">
        <v>0.12</v>
      </c>
      <c r="J304" s="30">
        <v>0.54</v>
      </c>
      <c r="K304" s="30">
        <v>0.16</v>
      </c>
      <c r="L304" s="30">
        <v>0</v>
      </c>
      <c r="M304" s="30">
        <v>5</v>
      </c>
      <c r="N304" s="30">
        <v>5</v>
      </c>
    </row>
    <row r="305" spans="1:14">
      <c r="A305" s="30">
        <v>304</v>
      </c>
      <c r="B305" s="31">
        <v>40557</v>
      </c>
      <c r="C305" s="30">
        <v>2</v>
      </c>
      <c r="D305" s="37" t="s">
        <v>27</v>
      </c>
      <c r="E305" s="30" t="b">
        <v>0</v>
      </c>
      <c r="F305" s="37" t="s">
        <v>24</v>
      </c>
      <c r="G305" s="37" t="s">
        <v>8</v>
      </c>
      <c r="H305" s="30">
        <v>0.1</v>
      </c>
      <c r="I305" s="30">
        <v>0.12</v>
      </c>
      <c r="J305" s="30">
        <v>0.54</v>
      </c>
      <c r="K305" s="30">
        <v>0.13</v>
      </c>
      <c r="L305" s="30">
        <v>0</v>
      </c>
      <c r="M305" s="30">
        <v>1</v>
      </c>
      <c r="N305" s="30">
        <v>1</v>
      </c>
    </row>
    <row r="306" spans="1:14">
      <c r="A306" s="30">
        <v>305</v>
      </c>
      <c r="B306" s="31">
        <v>40557</v>
      </c>
      <c r="C306" s="30">
        <v>3</v>
      </c>
      <c r="D306" s="37" t="s">
        <v>27</v>
      </c>
      <c r="E306" s="30" t="b">
        <v>0</v>
      </c>
      <c r="F306" s="37" t="s">
        <v>24</v>
      </c>
      <c r="G306" s="37" t="s">
        <v>8</v>
      </c>
      <c r="H306" s="30">
        <v>0.1</v>
      </c>
      <c r="I306" s="30">
        <v>0.14000000000000001</v>
      </c>
      <c r="J306" s="30">
        <v>0.54</v>
      </c>
      <c r="K306" s="30">
        <v>0.1</v>
      </c>
      <c r="L306" s="30">
        <v>0</v>
      </c>
      <c r="M306" s="30">
        <v>1</v>
      </c>
      <c r="N306" s="30">
        <v>1</v>
      </c>
    </row>
    <row r="307" spans="1:14">
      <c r="A307" s="30">
        <v>306</v>
      </c>
      <c r="B307" s="31">
        <v>40557</v>
      </c>
      <c r="C307" s="30">
        <v>5</v>
      </c>
      <c r="D307" s="37" t="s">
        <v>27</v>
      </c>
      <c r="E307" s="30" t="b">
        <v>0</v>
      </c>
      <c r="F307" s="37" t="s">
        <v>24</v>
      </c>
      <c r="G307" s="37" t="s">
        <v>8</v>
      </c>
      <c r="H307" s="30">
        <v>0.1</v>
      </c>
      <c r="I307" s="30">
        <v>0.14000000000000001</v>
      </c>
      <c r="J307" s="30">
        <v>0.54</v>
      </c>
      <c r="K307" s="30">
        <v>0.09</v>
      </c>
      <c r="L307" s="30">
        <v>0</v>
      </c>
      <c r="M307" s="30">
        <v>8</v>
      </c>
      <c r="N307" s="30">
        <v>8</v>
      </c>
    </row>
    <row r="308" spans="1:14">
      <c r="A308" s="30">
        <v>307</v>
      </c>
      <c r="B308" s="31">
        <v>40557</v>
      </c>
      <c r="C308" s="30">
        <v>6</v>
      </c>
      <c r="D308" s="37" t="s">
        <v>28</v>
      </c>
      <c r="E308" s="30" t="b">
        <v>0</v>
      </c>
      <c r="F308" s="37" t="s">
        <v>24</v>
      </c>
      <c r="G308" s="37" t="s">
        <v>8</v>
      </c>
      <c r="H308" s="30">
        <v>0.1</v>
      </c>
      <c r="I308" s="30">
        <v>0.18</v>
      </c>
      <c r="J308" s="30">
        <v>0.54</v>
      </c>
      <c r="K308" s="30">
        <v>0</v>
      </c>
      <c r="L308" s="30">
        <v>0</v>
      </c>
      <c r="M308" s="30">
        <v>17</v>
      </c>
      <c r="N308" s="30">
        <v>17</v>
      </c>
    </row>
    <row r="309" spans="1:14">
      <c r="A309" s="30">
        <v>308</v>
      </c>
      <c r="B309" s="31">
        <v>40557</v>
      </c>
      <c r="C309" s="30">
        <v>7</v>
      </c>
      <c r="D309" s="37" t="s">
        <v>28</v>
      </c>
      <c r="E309" s="30" t="b">
        <v>0</v>
      </c>
      <c r="F309" s="37" t="s">
        <v>24</v>
      </c>
      <c r="G309" s="37" t="s">
        <v>8</v>
      </c>
      <c r="H309" s="30">
        <v>0.1</v>
      </c>
      <c r="I309" s="30">
        <v>0.12</v>
      </c>
      <c r="J309" s="30">
        <v>0.74</v>
      </c>
      <c r="K309" s="30">
        <v>0.16</v>
      </c>
      <c r="L309" s="30">
        <v>0</v>
      </c>
      <c r="M309" s="30">
        <v>70</v>
      </c>
      <c r="N309" s="30">
        <v>70</v>
      </c>
    </row>
    <row r="310" spans="1:14">
      <c r="A310" s="30">
        <v>309</v>
      </c>
      <c r="B310" s="31">
        <v>40557</v>
      </c>
      <c r="C310" s="30">
        <v>8</v>
      </c>
      <c r="D310" s="37" t="s">
        <v>28</v>
      </c>
      <c r="E310" s="30" t="b">
        <v>0</v>
      </c>
      <c r="F310" s="37" t="s">
        <v>24</v>
      </c>
      <c r="G310" s="37" t="s">
        <v>8</v>
      </c>
      <c r="H310" s="30">
        <v>0.12</v>
      </c>
      <c r="I310" s="30">
        <v>0.17</v>
      </c>
      <c r="J310" s="30">
        <v>0.68</v>
      </c>
      <c r="K310" s="30">
        <v>0</v>
      </c>
      <c r="L310" s="30">
        <v>2</v>
      </c>
      <c r="M310" s="30">
        <v>156</v>
      </c>
      <c r="N310" s="30">
        <v>158</v>
      </c>
    </row>
    <row r="311" spans="1:14">
      <c r="A311" s="30">
        <v>310</v>
      </c>
      <c r="B311" s="31">
        <v>40557</v>
      </c>
      <c r="C311" s="30">
        <v>9</v>
      </c>
      <c r="D311" s="37" t="s">
        <v>28</v>
      </c>
      <c r="E311" s="30" t="b">
        <v>0</v>
      </c>
      <c r="F311" s="37" t="s">
        <v>24</v>
      </c>
      <c r="G311" s="37" t="s">
        <v>8</v>
      </c>
      <c r="H311" s="30">
        <v>0.14000000000000001</v>
      </c>
      <c r="I311" s="30">
        <v>0.15</v>
      </c>
      <c r="J311" s="30">
        <v>0.69</v>
      </c>
      <c r="K311" s="30">
        <v>0.13</v>
      </c>
      <c r="L311" s="30">
        <v>0</v>
      </c>
      <c r="M311" s="30">
        <v>117</v>
      </c>
      <c r="N311" s="30">
        <v>117</v>
      </c>
    </row>
    <row r="312" spans="1:14">
      <c r="A312" s="30">
        <v>311</v>
      </c>
      <c r="B312" s="31">
        <v>40557</v>
      </c>
      <c r="C312" s="30">
        <v>10</v>
      </c>
      <c r="D312" s="37" t="s">
        <v>28</v>
      </c>
      <c r="E312" s="30" t="b">
        <v>0</v>
      </c>
      <c r="F312" s="37" t="s">
        <v>24</v>
      </c>
      <c r="G312" s="37" t="s">
        <v>8</v>
      </c>
      <c r="H312" s="30">
        <v>0.18</v>
      </c>
      <c r="I312" s="30">
        <v>0.18</v>
      </c>
      <c r="J312" s="30">
        <v>0.55000000000000004</v>
      </c>
      <c r="K312" s="30">
        <v>0.19</v>
      </c>
      <c r="L312" s="30">
        <v>4</v>
      </c>
      <c r="M312" s="30">
        <v>40</v>
      </c>
      <c r="N312" s="30">
        <v>44</v>
      </c>
    </row>
    <row r="313" spans="1:14">
      <c r="A313" s="30">
        <v>312</v>
      </c>
      <c r="B313" s="31">
        <v>40557</v>
      </c>
      <c r="C313" s="30">
        <v>11</v>
      </c>
      <c r="D313" s="37" t="s">
        <v>28</v>
      </c>
      <c r="E313" s="30" t="b">
        <v>0</v>
      </c>
      <c r="F313" s="37" t="s">
        <v>24</v>
      </c>
      <c r="G313" s="37" t="s">
        <v>8</v>
      </c>
      <c r="H313" s="30">
        <v>0.18</v>
      </c>
      <c r="I313" s="30">
        <v>0.17</v>
      </c>
      <c r="J313" s="30">
        <v>0.51</v>
      </c>
      <c r="K313" s="30">
        <v>0.28000000000000003</v>
      </c>
      <c r="L313" s="30">
        <v>6</v>
      </c>
      <c r="M313" s="30">
        <v>47</v>
      </c>
      <c r="N313" s="30">
        <v>53</v>
      </c>
    </row>
    <row r="314" spans="1:14">
      <c r="A314" s="30">
        <v>313</v>
      </c>
      <c r="B314" s="31">
        <v>40557</v>
      </c>
      <c r="C314" s="30">
        <v>12</v>
      </c>
      <c r="D314" s="37" t="s">
        <v>29</v>
      </c>
      <c r="E314" s="30" t="b">
        <v>0</v>
      </c>
      <c r="F314" s="37" t="s">
        <v>24</v>
      </c>
      <c r="G314" s="37" t="s">
        <v>8</v>
      </c>
      <c r="H314" s="30">
        <v>0.2</v>
      </c>
      <c r="I314" s="30">
        <v>0.2</v>
      </c>
      <c r="J314" s="30">
        <v>0.44</v>
      </c>
      <c r="K314" s="30">
        <v>0.25</v>
      </c>
      <c r="L314" s="30">
        <v>2</v>
      </c>
      <c r="M314" s="30">
        <v>59</v>
      </c>
      <c r="N314" s="30">
        <v>61</v>
      </c>
    </row>
    <row r="315" spans="1:14">
      <c r="A315" s="30">
        <v>314</v>
      </c>
      <c r="B315" s="31">
        <v>40557</v>
      </c>
      <c r="C315" s="30">
        <v>13</v>
      </c>
      <c r="D315" s="37" t="s">
        <v>29</v>
      </c>
      <c r="E315" s="30" t="b">
        <v>0</v>
      </c>
      <c r="F315" s="37" t="s">
        <v>24</v>
      </c>
      <c r="G315" s="37" t="s">
        <v>8</v>
      </c>
      <c r="H315" s="30">
        <v>0.22</v>
      </c>
      <c r="I315" s="30">
        <v>0.2</v>
      </c>
      <c r="J315" s="30">
        <v>0.37</v>
      </c>
      <c r="K315" s="30">
        <v>0.39</v>
      </c>
      <c r="L315" s="30">
        <v>4</v>
      </c>
      <c r="M315" s="30">
        <v>73</v>
      </c>
      <c r="N315" s="30">
        <v>77</v>
      </c>
    </row>
    <row r="316" spans="1:14">
      <c r="A316" s="30">
        <v>315</v>
      </c>
      <c r="B316" s="31">
        <v>40557</v>
      </c>
      <c r="C316" s="30">
        <v>14</v>
      </c>
      <c r="D316" s="37" t="s">
        <v>29</v>
      </c>
      <c r="E316" s="30" t="b">
        <v>0</v>
      </c>
      <c r="F316" s="37" t="s">
        <v>24</v>
      </c>
      <c r="G316" s="37" t="s">
        <v>8</v>
      </c>
      <c r="H316" s="30">
        <v>0.22</v>
      </c>
      <c r="I316" s="30">
        <v>0.21</v>
      </c>
      <c r="J316" s="30">
        <v>0.41</v>
      </c>
      <c r="K316" s="30">
        <v>0.28000000000000003</v>
      </c>
      <c r="L316" s="30">
        <v>5</v>
      </c>
      <c r="M316" s="30">
        <v>59</v>
      </c>
      <c r="N316" s="30">
        <v>64</v>
      </c>
    </row>
    <row r="317" spans="1:14">
      <c r="A317" s="30">
        <v>316</v>
      </c>
      <c r="B317" s="31">
        <v>40557</v>
      </c>
      <c r="C317" s="30">
        <v>15</v>
      </c>
      <c r="D317" s="37" t="s">
        <v>29</v>
      </c>
      <c r="E317" s="30" t="b">
        <v>0</v>
      </c>
      <c r="F317" s="37" t="s">
        <v>24</v>
      </c>
      <c r="G317" s="37" t="s">
        <v>8</v>
      </c>
      <c r="H317" s="30">
        <v>0.24</v>
      </c>
      <c r="I317" s="30">
        <v>0.24</v>
      </c>
      <c r="J317" s="30">
        <v>0.38</v>
      </c>
      <c r="K317" s="30">
        <v>0.16</v>
      </c>
      <c r="L317" s="30">
        <v>9</v>
      </c>
      <c r="M317" s="30">
        <v>59</v>
      </c>
      <c r="N317" s="30">
        <v>68</v>
      </c>
    </row>
    <row r="318" spans="1:14">
      <c r="A318" s="30">
        <v>317</v>
      </c>
      <c r="B318" s="31">
        <v>40557</v>
      </c>
      <c r="C318" s="30">
        <v>16</v>
      </c>
      <c r="D318" s="37" t="s">
        <v>29</v>
      </c>
      <c r="E318" s="30" t="b">
        <v>0</v>
      </c>
      <c r="F318" s="37" t="s">
        <v>24</v>
      </c>
      <c r="G318" s="37" t="s">
        <v>8</v>
      </c>
      <c r="H318" s="30">
        <v>0.22</v>
      </c>
      <c r="I318" s="30">
        <v>0.24</v>
      </c>
      <c r="J318" s="30">
        <v>0.41</v>
      </c>
      <c r="K318" s="30">
        <v>0.1</v>
      </c>
      <c r="L318" s="30">
        <v>3</v>
      </c>
      <c r="M318" s="30">
        <v>87</v>
      </c>
      <c r="N318" s="30">
        <v>90</v>
      </c>
    </row>
    <row r="319" spans="1:14">
      <c r="A319" s="30">
        <v>318</v>
      </c>
      <c r="B319" s="31">
        <v>40557</v>
      </c>
      <c r="C319" s="30">
        <v>17</v>
      </c>
      <c r="D319" s="37" t="s">
        <v>29</v>
      </c>
      <c r="E319" s="30" t="b">
        <v>0</v>
      </c>
      <c r="F319" s="37" t="s">
        <v>24</v>
      </c>
      <c r="G319" s="37" t="s">
        <v>8</v>
      </c>
      <c r="H319" s="30">
        <v>0.22</v>
      </c>
      <c r="I319" s="30">
        <v>0.23</v>
      </c>
      <c r="J319" s="30">
        <v>0.41</v>
      </c>
      <c r="K319" s="30">
        <v>0.16</v>
      </c>
      <c r="L319" s="30">
        <v>4</v>
      </c>
      <c r="M319" s="30">
        <v>155</v>
      </c>
      <c r="N319" s="30">
        <v>159</v>
      </c>
    </row>
    <row r="320" spans="1:14">
      <c r="A320" s="30">
        <v>319</v>
      </c>
      <c r="B320" s="31">
        <v>40557</v>
      </c>
      <c r="C320" s="30">
        <v>18</v>
      </c>
      <c r="D320" s="37" t="s">
        <v>30</v>
      </c>
      <c r="E320" s="30" t="b">
        <v>0</v>
      </c>
      <c r="F320" s="37" t="s">
        <v>24</v>
      </c>
      <c r="G320" s="37" t="s">
        <v>8</v>
      </c>
      <c r="H320" s="30">
        <v>0.2</v>
      </c>
      <c r="I320" s="30">
        <v>0.26</v>
      </c>
      <c r="J320" s="30">
        <v>0.47</v>
      </c>
      <c r="K320" s="30">
        <v>0</v>
      </c>
      <c r="L320" s="30">
        <v>5</v>
      </c>
      <c r="M320" s="30">
        <v>134</v>
      </c>
      <c r="N320" s="30">
        <v>139</v>
      </c>
    </row>
    <row r="321" spans="1:14">
      <c r="A321" s="30">
        <v>320</v>
      </c>
      <c r="B321" s="31">
        <v>40557</v>
      </c>
      <c r="C321" s="30">
        <v>19</v>
      </c>
      <c r="D321" s="37" t="s">
        <v>30</v>
      </c>
      <c r="E321" s="30" t="b">
        <v>0</v>
      </c>
      <c r="F321" s="37" t="s">
        <v>24</v>
      </c>
      <c r="G321" s="37" t="s">
        <v>8</v>
      </c>
      <c r="H321" s="30">
        <v>0.16</v>
      </c>
      <c r="I321" s="30">
        <v>0.2</v>
      </c>
      <c r="J321" s="30">
        <v>0.59</v>
      </c>
      <c r="K321" s="30">
        <v>0.09</v>
      </c>
      <c r="L321" s="30">
        <v>3</v>
      </c>
      <c r="M321" s="30">
        <v>89</v>
      </c>
      <c r="N321" s="30">
        <v>92</v>
      </c>
    </row>
    <row r="322" spans="1:14">
      <c r="A322" s="30">
        <v>321</v>
      </c>
      <c r="B322" s="31">
        <v>40557</v>
      </c>
      <c r="C322" s="30">
        <v>20</v>
      </c>
      <c r="D322" s="37" t="s">
        <v>30</v>
      </c>
      <c r="E322" s="30" t="b">
        <v>0</v>
      </c>
      <c r="F322" s="37" t="s">
        <v>24</v>
      </c>
      <c r="G322" s="37" t="s">
        <v>8</v>
      </c>
      <c r="H322" s="30">
        <v>0.18</v>
      </c>
      <c r="I322" s="30">
        <v>0.24</v>
      </c>
      <c r="J322" s="30">
        <v>0.59</v>
      </c>
      <c r="K322" s="30">
        <v>0</v>
      </c>
      <c r="L322" s="30">
        <v>0</v>
      </c>
      <c r="M322" s="30">
        <v>68</v>
      </c>
      <c r="N322" s="30">
        <v>68</v>
      </c>
    </row>
    <row r="323" spans="1:14">
      <c r="A323" s="30">
        <v>322</v>
      </c>
      <c r="B323" s="31">
        <v>40557</v>
      </c>
      <c r="C323" s="30">
        <v>21</v>
      </c>
      <c r="D323" s="37" t="s">
        <v>30</v>
      </c>
      <c r="E323" s="30" t="b">
        <v>0</v>
      </c>
      <c r="F323" s="37" t="s">
        <v>24</v>
      </c>
      <c r="G323" s="37" t="s">
        <v>8</v>
      </c>
      <c r="H323" s="30">
        <v>0.16</v>
      </c>
      <c r="I323" s="30">
        <v>0.23</v>
      </c>
      <c r="J323" s="30">
        <v>0.69</v>
      </c>
      <c r="K323" s="30">
        <v>0</v>
      </c>
      <c r="L323" s="30">
        <v>4</v>
      </c>
      <c r="M323" s="30">
        <v>48</v>
      </c>
      <c r="N323" s="30">
        <v>52</v>
      </c>
    </row>
    <row r="324" spans="1:14">
      <c r="A324" s="30">
        <v>323</v>
      </c>
      <c r="B324" s="31">
        <v>40557</v>
      </c>
      <c r="C324" s="30">
        <v>22</v>
      </c>
      <c r="D324" s="37" t="s">
        <v>30</v>
      </c>
      <c r="E324" s="30" t="b">
        <v>0</v>
      </c>
      <c r="F324" s="37" t="s">
        <v>24</v>
      </c>
      <c r="G324" s="37" t="s">
        <v>9</v>
      </c>
      <c r="H324" s="30">
        <v>0.16</v>
      </c>
      <c r="I324" s="30">
        <v>0.23</v>
      </c>
      <c r="J324" s="30">
        <v>0.69</v>
      </c>
      <c r="K324" s="30">
        <v>0</v>
      </c>
      <c r="L324" s="30">
        <v>2</v>
      </c>
      <c r="M324" s="30">
        <v>34</v>
      </c>
      <c r="N324" s="30">
        <v>36</v>
      </c>
    </row>
    <row r="325" spans="1:14">
      <c r="A325" s="30">
        <v>324</v>
      </c>
      <c r="B325" s="31">
        <v>40557</v>
      </c>
      <c r="C325" s="30">
        <v>23</v>
      </c>
      <c r="D325" s="37" t="s">
        <v>30</v>
      </c>
      <c r="E325" s="30" t="b">
        <v>0</v>
      </c>
      <c r="F325" s="37" t="s">
        <v>24</v>
      </c>
      <c r="G325" s="37" t="s">
        <v>9</v>
      </c>
      <c r="H325" s="30">
        <v>0.18</v>
      </c>
      <c r="I325" s="30">
        <v>0.24</v>
      </c>
      <c r="J325" s="30">
        <v>0.55000000000000004</v>
      </c>
      <c r="K325" s="30">
        <v>0</v>
      </c>
      <c r="L325" s="30">
        <v>1</v>
      </c>
      <c r="M325" s="30">
        <v>26</v>
      </c>
      <c r="N325" s="30">
        <v>27</v>
      </c>
    </row>
    <row r="326" spans="1:14">
      <c r="A326" s="30">
        <v>325</v>
      </c>
      <c r="B326" s="31">
        <v>40558</v>
      </c>
      <c r="C326" s="30">
        <v>0</v>
      </c>
      <c r="D326" s="37" t="s">
        <v>27</v>
      </c>
      <c r="E326" s="30" t="b">
        <v>0</v>
      </c>
      <c r="F326" s="37" t="s">
        <v>25</v>
      </c>
      <c r="G326" s="37" t="s">
        <v>8</v>
      </c>
      <c r="H326" s="30">
        <v>0.18</v>
      </c>
      <c r="I326" s="30">
        <v>0.24</v>
      </c>
      <c r="J326" s="30">
        <v>0.55000000000000004</v>
      </c>
      <c r="K326" s="30">
        <v>0</v>
      </c>
      <c r="L326" s="30">
        <v>3</v>
      </c>
      <c r="M326" s="30">
        <v>25</v>
      </c>
      <c r="N326" s="30">
        <v>28</v>
      </c>
    </row>
    <row r="327" spans="1:14">
      <c r="A327" s="30">
        <v>326</v>
      </c>
      <c r="B327" s="31">
        <v>40558</v>
      </c>
      <c r="C327" s="30">
        <v>1</v>
      </c>
      <c r="D327" s="37" t="s">
        <v>27</v>
      </c>
      <c r="E327" s="30" t="b">
        <v>0</v>
      </c>
      <c r="F327" s="37" t="s">
        <v>25</v>
      </c>
      <c r="G327" s="37" t="s">
        <v>9</v>
      </c>
      <c r="H327" s="30">
        <v>0.16</v>
      </c>
      <c r="I327" s="30">
        <v>0.2</v>
      </c>
      <c r="J327" s="30">
        <v>0.59</v>
      </c>
      <c r="K327" s="30">
        <v>0.09</v>
      </c>
      <c r="L327" s="30">
        <v>2</v>
      </c>
      <c r="M327" s="30">
        <v>18</v>
      </c>
      <c r="N327" s="30">
        <v>20</v>
      </c>
    </row>
    <row r="328" spans="1:14">
      <c r="A328" s="30">
        <v>327</v>
      </c>
      <c r="B328" s="31">
        <v>40558</v>
      </c>
      <c r="C328" s="30">
        <v>2</v>
      </c>
      <c r="D328" s="37" t="s">
        <v>27</v>
      </c>
      <c r="E328" s="30" t="b">
        <v>0</v>
      </c>
      <c r="F328" s="37" t="s">
        <v>25</v>
      </c>
      <c r="G328" s="37" t="s">
        <v>9</v>
      </c>
      <c r="H328" s="30">
        <v>0.16</v>
      </c>
      <c r="I328" s="30">
        <v>0.2</v>
      </c>
      <c r="J328" s="30">
        <v>0.59</v>
      </c>
      <c r="K328" s="30">
        <v>0.09</v>
      </c>
      <c r="L328" s="30">
        <v>0</v>
      </c>
      <c r="M328" s="30">
        <v>12</v>
      </c>
      <c r="N328" s="30">
        <v>12</v>
      </c>
    </row>
    <row r="329" spans="1:14">
      <c r="A329" s="30">
        <v>328</v>
      </c>
      <c r="B329" s="31">
        <v>40558</v>
      </c>
      <c r="C329" s="30">
        <v>3</v>
      </c>
      <c r="D329" s="37" t="s">
        <v>27</v>
      </c>
      <c r="E329" s="30" t="b">
        <v>0</v>
      </c>
      <c r="F329" s="37" t="s">
        <v>25</v>
      </c>
      <c r="G329" s="37" t="s">
        <v>9</v>
      </c>
      <c r="H329" s="30">
        <v>0.16</v>
      </c>
      <c r="I329" s="30">
        <v>0.23</v>
      </c>
      <c r="J329" s="30">
        <v>0.59</v>
      </c>
      <c r="K329" s="30">
        <v>0</v>
      </c>
      <c r="L329" s="30">
        <v>1</v>
      </c>
      <c r="M329" s="30">
        <v>7</v>
      </c>
      <c r="N329" s="30">
        <v>8</v>
      </c>
    </row>
    <row r="330" spans="1:14">
      <c r="A330" s="30">
        <v>329</v>
      </c>
      <c r="B330" s="31">
        <v>40558</v>
      </c>
      <c r="C330" s="30">
        <v>4</v>
      </c>
      <c r="D330" s="37" t="s">
        <v>27</v>
      </c>
      <c r="E330" s="30" t="b">
        <v>0</v>
      </c>
      <c r="F330" s="37" t="s">
        <v>25</v>
      </c>
      <c r="G330" s="37" t="s">
        <v>9</v>
      </c>
      <c r="H330" s="30">
        <v>0.16</v>
      </c>
      <c r="I330" s="30">
        <v>0.23</v>
      </c>
      <c r="J330" s="30">
        <v>0.59</v>
      </c>
      <c r="K330" s="30">
        <v>0</v>
      </c>
      <c r="L330" s="30">
        <v>0</v>
      </c>
      <c r="M330" s="30">
        <v>5</v>
      </c>
      <c r="N330" s="30">
        <v>5</v>
      </c>
    </row>
    <row r="331" spans="1:14">
      <c r="A331" s="30">
        <v>330</v>
      </c>
      <c r="B331" s="31">
        <v>40558</v>
      </c>
      <c r="C331" s="30">
        <v>5</v>
      </c>
      <c r="D331" s="37" t="s">
        <v>27</v>
      </c>
      <c r="E331" s="30" t="b">
        <v>0</v>
      </c>
      <c r="F331" s="37" t="s">
        <v>25</v>
      </c>
      <c r="G331" s="37" t="s">
        <v>8</v>
      </c>
      <c r="H331" s="30">
        <v>0.16</v>
      </c>
      <c r="I331" s="30">
        <v>0.23</v>
      </c>
      <c r="J331" s="30">
        <v>0.59</v>
      </c>
      <c r="K331" s="30">
        <v>0</v>
      </c>
      <c r="L331" s="30">
        <v>0</v>
      </c>
      <c r="M331" s="30">
        <v>1</v>
      </c>
      <c r="N331" s="30">
        <v>1</v>
      </c>
    </row>
    <row r="332" spans="1:14">
      <c r="A332" s="30">
        <v>331</v>
      </c>
      <c r="B332" s="31">
        <v>40558</v>
      </c>
      <c r="C332" s="30">
        <v>6</v>
      </c>
      <c r="D332" s="37" t="s">
        <v>28</v>
      </c>
      <c r="E332" s="30" t="b">
        <v>0</v>
      </c>
      <c r="F332" s="37" t="s">
        <v>25</v>
      </c>
      <c r="G332" s="37" t="s">
        <v>8</v>
      </c>
      <c r="H332" s="30">
        <v>0.14000000000000001</v>
      </c>
      <c r="I332" s="30">
        <v>0.17</v>
      </c>
      <c r="J332" s="30">
        <v>0.63</v>
      </c>
      <c r="K332" s="30">
        <v>0.1</v>
      </c>
      <c r="L332" s="30">
        <v>1</v>
      </c>
      <c r="M332" s="30">
        <v>2</v>
      </c>
      <c r="N332" s="30">
        <v>3</v>
      </c>
    </row>
    <row r="333" spans="1:14">
      <c r="A333" s="30">
        <v>332</v>
      </c>
      <c r="B333" s="31">
        <v>40558</v>
      </c>
      <c r="C333" s="30">
        <v>7</v>
      </c>
      <c r="D333" s="37" t="s">
        <v>28</v>
      </c>
      <c r="E333" s="30" t="b">
        <v>0</v>
      </c>
      <c r="F333" s="37" t="s">
        <v>25</v>
      </c>
      <c r="G333" s="37" t="s">
        <v>8</v>
      </c>
      <c r="H333" s="30">
        <v>0.14000000000000001</v>
      </c>
      <c r="I333" s="30">
        <v>0.21</v>
      </c>
      <c r="J333" s="30">
        <v>0.63</v>
      </c>
      <c r="K333" s="30">
        <v>0</v>
      </c>
      <c r="L333" s="30">
        <v>1</v>
      </c>
      <c r="M333" s="30">
        <v>9</v>
      </c>
      <c r="N333" s="30">
        <v>10</v>
      </c>
    </row>
    <row r="334" spans="1:14">
      <c r="A334" s="30">
        <v>333</v>
      </c>
      <c r="B334" s="31">
        <v>40558</v>
      </c>
      <c r="C334" s="30">
        <v>8</v>
      </c>
      <c r="D334" s="37" t="s">
        <v>28</v>
      </c>
      <c r="E334" s="30" t="b">
        <v>0</v>
      </c>
      <c r="F334" s="37" t="s">
        <v>25</v>
      </c>
      <c r="G334" s="37" t="s">
        <v>8</v>
      </c>
      <c r="H334" s="30">
        <v>0.14000000000000001</v>
      </c>
      <c r="I334" s="30">
        <v>0.15</v>
      </c>
      <c r="J334" s="30">
        <v>0.63</v>
      </c>
      <c r="K334" s="30">
        <v>0.13</v>
      </c>
      <c r="L334" s="30">
        <v>1</v>
      </c>
      <c r="M334" s="30">
        <v>22</v>
      </c>
      <c r="N334" s="30">
        <v>23</v>
      </c>
    </row>
    <row r="335" spans="1:14">
      <c r="A335" s="30">
        <v>334</v>
      </c>
      <c r="B335" s="31">
        <v>40558</v>
      </c>
      <c r="C335" s="30">
        <v>9</v>
      </c>
      <c r="D335" s="37" t="s">
        <v>28</v>
      </c>
      <c r="E335" s="30" t="b">
        <v>0</v>
      </c>
      <c r="F335" s="37" t="s">
        <v>25</v>
      </c>
      <c r="G335" s="37" t="s">
        <v>8</v>
      </c>
      <c r="H335" s="30">
        <v>0.16</v>
      </c>
      <c r="I335" s="30">
        <v>0.18</v>
      </c>
      <c r="J335" s="30">
        <v>0.64</v>
      </c>
      <c r="K335" s="30">
        <v>0.13</v>
      </c>
      <c r="L335" s="30">
        <v>2</v>
      </c>
      <c r="M335" s="30">
        <v>31</v>
      </c>
      <c r="N335" s="30">
        <v>33</v>
      </c>
    </row>
    <row r="336" spans="1:14">
      <c r="A336" s="30">
        <v>335</v>
      </c>
      <c r="B336" s="31">
        <v>40558</v>
      </c>
      <c r="C336" s="30">
        <v>10</v>
      </c>
      <c r="D336" s="37" t="s">
        <v>28</v>
      </c>
      <c r="E336" s="30" t="b">
        <v>0</v>
      </c>
      <c r="F336" s="37" t="s">
        <v>25</v>
      </c>
      <c r="G336" s="37" t="s">
        <v>8</v>
      </c>
      <c r="H336" s="30">
        <v>0.18</v>
      </c>
      <c r="I336" s="30">
        <v>0.2</v>
      </c>
      <c r="J336" s="30">
        <v>0.59</v>
      </c>
      <c r="K336" s="30">
        <v>0.16</v>
      </c>
      <c r="L336" s="30">
        <v>2</v>
      </c>
      <c r="M336" s="30">
        <v>57</v>
      </c>
      <c r="N336" s="30">
        <v>59</v>
      </c>
    </row>
    <row r="337" spans="1:14">
      <c r="A337" s="30">
        <v>336</v>
      </c>
      <c r="B337" s="31">
        <v>40558</v>
      </c>
      <c r="C337" s="30">
        <v>11</v>
      </c>
      <c r="D337" s="37" t="s">
        <v>28</v>
      </c>
      <c r="E337" s="30" t="b">
        <v>0</v>
      </c>
      <c r="F337" s="37" t="s">
        <v>25</v>
      </c>
      <c r="G337" s="37" t="s">
        <v>8</v>
      </c>
      <c r="H337" s="30">
        <v>0.2</v>
      </c>
      <c r="I337" s="30">
        <v>0.2</v>
      </c>
      <c r="J337" s="30">
        <v>0.55000000000000004</v>
      </c>
      <c r="K337" s="30">
        <v>0.22</v>
      </c>
      <c r="L337" s="30">
        <v>18</v>
      </c>
      <c r="M337" s="30">
        <v>54</v>
      </c>
      <c r="N337" s="30">
        <v>72</v>
      </c>
    </row>
    <row r="338" spans="1:14">
      <c r="A338" s="30">
        <v>337</v>
      </c>
      <c r="B338" s="31">
        <v>40558</v>
      </c>
      <c r="C338" s="30">
        <v>12</v>
      </c>
      <c r="D338" s="37" t="s">
        <v>29</v>
      </c>
      <c r="E338" s="30" t="b">
        <v>0</v>
      </c>
      <c r="F338" s="37" t="s">
        <v>25</v>
      </c>
      <c r="G338" s="37" t="s">
        <v>8</v>
      </c>
      <c r="H338" s="30">
        <v>0.24</v>
      </c>
      <c r="I338" s="30">
        <v>0.23</v>
      </c>
      <c r="J338" s="30">
        <v>0.48</v>
      </c>
      <c r="K338" s="30">
        <v>0.22</v>
      </c>
      <c r="L338" s="30">
        <v>15</v>
      </c>
      <c r="M338" s="30">
        <v>74</v>
      </c>
      <c r="N338" s="30">
        <v>89</v>
      </c>
    </row>
    <row r="339" spans="1:14">
      <c r="A339" s="30">
        <v>338</v>
      </c>
      <c r="B339" s="31">
        <v>40558</v>
      </c>
      <c r="C339" s="30">
        <v>13</v>
      </c>
      <c r="D339" s="37" t="s">
        <v>29</v>
      </c>
      <c r="E339" s="30" t="b">
        <v>0</v>
      </c>
      <c r="F339" s="37" t="s">
        <v>25</v>
      </c>
      <c r="G339" s="37" t="s">
        <v>8</v>
      </c>
      <c r="H339" s="30">
        <v>0.28000000000000003</v>
      </c>
      <c r="I339" s="30">
        <v>0.26</v>
      </c>
      <c r="J339" s="30">
        <v>0.38</v>
      </c>
      <c r="K339" s="30">
        <v>0.3</v>
      </c>
      <c r="L339" s="30">
        <v>21</v>
      </c>
      <c r="M339" s="30">
        <v>80</v>
      </c>
      <c r="N339" s="30">
        <v>101</v>
      </c>
    </row>
    <row r="340" spans="1:14">
      <c r="A340" s="30">
        <v>339</v>
      </c>
      <c r="B340" s="31">
        <v>40558</v>
      </c>
      <c r="C340" s="30">
        <v>14</v>
      </c>
      <c r="D340" s="37" t="s">
        <v>29</v>
      </c>
      <c r="E340" s="30" t="b">
        <v>0</v>
      </c>
      <c r="F340" s="37" t="s">
        <v>25</v>
      </c>
      <c r="G340" s="37" t="s">
        <v>8</v>
      </c>
      <c r="H340" s="30">
        <v>0.3</v>
      </c>
      <c r="I340" s="30">
        <v>0.28999999999999998</v>
      </c>
      <c r="J340" s="30">
        <v>0.39</v>
      </c>
      <c r="K340" s="30">
        <v>0.28000000000000003</v>
      </c>
      <c r="L340" s="30">
        <v>26</v>
      </c>
      <c r="M340" s="30">
        <v>92</v>
      </c>
      <c r="N340" s="30">
        <v>118</v>
      </c>
    </row>
    <row r="341" spans="1:14">
      <c r="A341" s="30">
        <v>340</v>
      </c>
      <c r="B341" s="31">
        <v>40558</v>
      </c>
      <c r="C341" s="30">
        <v>15</v>
      </c>
      <c r="D341" s="37" t="s">
        <v>29</v>
      </c>
      <c r="E341" s="30" t="b">
        <v>0</v>
      </c>
      <c r="F341" s="37" t="s">
        <v>25</v>
      </c>
      <c r="G341" s="37" t="s">
        <v>9</v>
      </c>
      <c r="H341" s="30">
        <v>0.32</v>
      </c>
      <c r="I341" s="30">
        <v>0.32</v>
      </c>
      <c r="J341" s="30">
        <v>0.36</v>
      </c>
      <c r="K341" s="30">
        <v>0.19</v>
      </c>
      <c r="L341" s="30">
        <v>21</v>
      </c>
      <c r="M341" s="30">
        <v>108</v>
      </c>
      <c r="N341" s="30">
        <v>129</v>
      </c>
    </row>
    <row r="342" spans="1:14">
      <c r="A342" s="30">
        <v>341</v>
      </c>
      <c r="B342" s="31">
        <v>40558</v>
      </c>
      <c r="C342" s="30">
        <v>16</v>
      </c>
      <c r="D342" s="37" t="s">
        <v>29</v>
      </c>
      <c r="E342" s="30" t="b">
        <v>0</v>
      </c>
      <c r="F342" s="37" t="s">
        <v>25</v>
      </c>
      <c r="G342" s="37" t="s">
        <v>9</v>
      </c>
      <c r="H342" s="30">
        <v>0.34</v>
      </c>
      <c r="I342" s="30">
        <v>0.33</v>
      </c>
      <c r="J342" s="30">
        <v>0.34</v>
      </c>
      <c r="K342" s="30">
        <v>0.19</v>
      </c>
      <c r="L342" s="30">
        <v>33</v>
      </c>
      <c r="M342" s="30">
        <v>95</v>
      </c>
      <c r="N342" s="30">
        <v>128</v>
      </c>
    </row>
    <row r="343" spans="1:14">
      <c r="A343" s="30">
        <v>342</v>
      </c>
      <c r="B343" s="31">
        <v>40558</v>
      </c>
      <c r="C343" s="30">
        <v>17</v>
      </c>
      <c r="D343" s="37" t="s">
        <v>29</v>
      </c>
      <c r="E343" s="30" t="b">
        <v>0</v>
      </c>
      <c r="F343" s="37" t="s">
        <v>25</v>
      </c>
      <c r="G343" s="37" t="s">
        <v>9</v>
      </c>
      <c r="H343" s="30">
        <v>0.32</v>
      </c>
      <c r="I343" s="30">
        <v>0.3</v>
      </c>
      <c r="J343" s="30">
        <v>0.36</v>
      </c>
      <c r="K343" s="30">
        <v>0.28000000000000003</v>
      </c>
      <c r="L343" s="30">
        <v>29</v>
      </c>
      <c r="M343" s="30">
        <v>54</v>
      </c>
      <c r="N343" s="30">
        <v>83</v>
      </c>
    </row>
    <row r="344" spans="1:14">
      <c r="A344" s="30">
        <v>343</v>
      </c>
      <c r="B344" s="31">
        <v>40558</v>
      </c>
      <c r="C344" s="30">
        <v>18</v>
      </c>
      <c r="D344" s="37" t="s">
        <v>30</v>
      </c>
      <c r="E344" s="30" t="b">
        <v>0</v>
      </c>
      <c r="F344" s="37" t="s">
        <v>25</v>
      </c>
      <c r="G344" s="37" t="s">
        <v>9</v>
      </c>
      <c r="H344" s="30">
        <v>0.3</v>
      </c>
      <c r="I344" s="30">
        <v>0.28999999999999998</v>
      </c>
      <c r="J344" s="30">
        <v>0.45</v>
      </c>
      <c r="K344" s="30">
        <v>0.25</v>
      </c>
      <c r="L344" s="30">
        <v>15</v>
      </c>
      <c r="M344" s="30">
        <v>69</v>
      </c>
      <c r="N344" s="30">
        <v>84</v>
      </c>
    </row>
    <row r="345" spans="1:14">
      <c r="A345" s="30">
        <v>344</v>
      </c>
      <c r="B345" s="31">
        <v>40558</v>
      </c>
      <c r="C345" s="30">
        <v>19</v>
      </c>
      <c r="D345" s="37" t="s">
        <v>30</v>
      </c>
      <c r="E345" s="30" t="b">
        <v>0</v>
      </c>
      <c r="F345" s="37" t="s">
        <v>25</v>
      </c>
      <c r="G345" s="37" t="s">
        <v>9</v>
      </c>
      <c r="H345" s="30">
        <v>0.32</v>
      </c>
      <c r="I345" s="30">
        <v>0.3</v>
      </c>
      <c r="J345" s="30">
        <v>0.39</v>
      </c>
      <c r="K345" s="30">
        <v>0.25</v>
      </c>
      <c r="L345" s="30">
        <v>14</v>
      </c>
      <c r="M345" s="30">
        <v>60</v>
      </c>
      <c r="N345" s="30">
        <v>74</v>
      </c>
    </row>
    <row r="346" spans="1:14">
      <c r="A346" s="30">
        <v>345</v>
      </c>
      <c r="B346" s="31">
        <v>40558</v>
      </c>
      <c r="C346" s="30">
        <v>20</v>
      </c>
      <c r="D346" s="37" t="s">
        <v>30</v>
      </c>
      <c r="E346" s="30" t="b">
        <v>0</v>
      </c>
      <c r="F346" s="37" t="s">
        <v>25</v>
      </c>
      <c r="G346" s="37" t="s">
        <v>9</v>
      </c>
      <c r="H346" s="30">
        <v>0.32</v>
      </c>
      <c r="I346" s="30">
        <v>0.3</v>
      </c>
      <c r="J346" s="30">
        <v>0.39</v>
      </c>
      <c r="K346" s="30">
        <v>0.25</v>
      </c>
      <c r="L346" s="30">
        <v>6</v>
      </c>
      <c r="M346" s="30">
        <v>35</v>
      </c>
      <c r="N346" s="30">
        <v>41</v>
      </c>
    </row>
    <row r="347" spans="1:14">
      <c r="A347" s="30">
        <v>346</v>
      </c>
      <c r="B347" s="31">
        <v>40558</v>
      </c>
      <c r="C347" s="30">
        <v>21</v>
      </c>
      <c r="D347" s="37" t="s">
        <v>30</v>
      </c>
      <c r="E347" s="30" t="b">
        <v>0</v>
      </c>
      <c r="F347" s="37" t="s">
        <v>25</v>
      </c>
      <c r="G347" s="37" t="s">
        <v>9</v>
      </c>
      <c r="H347" s="30">
        <v>0.32</v>
      </c>
      <c r="I347" s="30">
        <v>0.3</v>
      </c>
      <c r="J347" s="30">
        <v>0.39</v>
      </c>
      <c r="K347" s="30">
        <v>0.22</v>
      </c>
      <c r="L347" s="30">
        <v>6</v>
      </c>
      <c r="M347" s="30">
        <v>51</v>
      </c>
      <c r="N347" s="30">
        <v>57</v>
      </c>
    </row>
    <row r="348" spans="1:14">
      <c r="A348" s="30">
        <v>347</v>
      </c>
      <c r="B348" s="31">
        <v>40558</v>
      </c>
      <c r="C348" s="30">
        <v>22</v>
      </c>
      <c r="D348" s="37" t="s">
        <v>30</v>
      </c>
      <c r="E348" s="30" t="b">
        <v>0</v>
      </c>
      <c r="F348" s="37" t="s">
        <v>25</v>
      </c>
      <c r="G348" s="37" t="s">
        <v>9</v>
      </c>
      <c r="H348" s="30">
        <v>0.3</v>
      </c>
      <c r="I348" s="30">
        <v>0.32</v>
      </c>
      <c r="J348" s="30">
        <v>0.42</v>
      </c>
      <c r="K348" s="30">
        <v>0.1</v>
      </c>
      <c r="L348" s="30">
        <v>0</v>
      </c>
      <c r="M348" s="30">
        <v>26</v>
      </c>
      <c r="N348" s="30">
        <v>26</v>
      </c>
    </row>
    <row r="349" spans="1:14">
      <c r="A349" s="30">
        <v>348</v>
      </c>
      <c r="B349" s="31">
        <v>40558</v>
      </c>
      <c r="C349" s="30">
        <v>23</v>
      </c>
      <c r="D349" s="37" t="s">
        <v>30</v>
      </c>
      <c r="E349" s="30" t="b">
        <v>0</v>
      </c>
      <c r="F349" s="37" t="s">
        <v>25</v>
      </c>
      <c r="G349" s="37" t="s">
        <v>8</v>
      </c>
      <c r="H349" s="30">
        <v>0.3</v>
      </c>
      <c r="I349" s="30">
        <v>0.28999999999999998</v>
      </c>
      <c r="J349" s="30">
        <v>0.45</v>
      </c>
      <c r="K349" s="30">
        <v>0.28000000000000003</v>
      </c>
      <c r="L349" s="30">
        <v>5</v>
      </c>
      <c r="M349" s="30">
        <v>39</v>
      </c>
      <c r="N349" s="30">
        <v>44</v>
      </c>
    </row>
    <row r="350" spans="1:14">
      <c r="A350" s="30">
        <v>349</v>
      </c>
      <c r="B350" s="31">
        <v>40559</v>
      </c>
      <c r="C350" s="30">
        <v>0</v>
      </c>
      <c r="D350" s="37" t="s">
        <v>27</v>
      </c>
      <c r="E350" s="30" t="b">
        <v>0</v>
      </c>
      <c r="F350" s="37" t="s">
        <v>19</v>
      </c>
      <c r="G350" s="37" t="s">
        <v>8</v>
      </c>
      <c r="H350" s="30">
        <v>0.26</v>
      </c>
      <c r="I350" s="30">
        <v>0.3</v>
      </c>
      <c r="J350" s="30">
        <v>0.56000000000000005</v>
      </c>
      <c r="K350" s="30">
        <v>0</v>
      </c>
      <c r="L350" s="30">
        <v>6</v>
      </c>
      <c r="M350" s="30">
        <v>33</v>
      </c>
      <c r="N350" s="30">
        <v>39</v>
      </c>
    </row>
    <row r="351" spans="1:14">
      <c r="A351" s="30">
        <v>350</v>
      </c>
      <c r="B351" s="31">
        <v>40559</v>
      </c>
      <c r="C351" s="30">
        <v>1</v>
      </c>
      <c r="D351" s="37" t="s">
        <v>27</v>
      </c>
      <c r="E351" s="30" t="b">
        <v>0</v>
      </c>
      <c r="F351" s="37" t="s">
        <v>19</v>
      </c>
      <c r="G351" s="37" t="s">
        <v>8</v>
      </c>
      <c r="H351" s="30">
        <v>0.26</v>
      </c>
      <c r="I351" s="30">
        <v>0.27</v>
      </c>
      <c r="J351" s="30">
        <v>0.56000000000000005</v>
      </c>
      <c r="K351" s="30">
        <v>0.13</v>
      </c>
      <c r="L351" s="30">
        <v>4</v>
      </c>
      <c r="M351" s="30">
        <v>19</v>
      </c>
      <c r="N351" s="30">
        <v>23</v>
      </c>
    </row>
    <row r="352" spans="1:14">
      <c r="A352" s="30">
        <v>351</v>
      </c>
      <c r="B352" s="31">
        <v>40559</v>
      </c>
      <c r="C352" s="30">
        <v>2</v>
      </c>
      <c r="D352" s="37" t="s">
        <v>27</v>
      </c>
      <c r="E352" s="30" t="b">
        <v>0</v>
      </c>
      <c r="F352" s="37" t="s">
        <v>19</v>
      </c>
      <c r="G352" s="37" t="s">
        <v>8</v>
      </c>
      <c r="H352" s="30">
        <v>0.26</v>
      </c>
      <c r="I352" s="30">
        <v>0.28999999999999998</v>
      </c>
      <c r="J352" s="30">
        <v>0.56000000000000005</v>
      </c>
      <c r="K352" s="30">
        <v>0.09</v>
      </c>
      <c r="L352" s="30">
        <v>3</v>
      </c>
      <c r="M352" s="30">
        <v>13</v>
      </c>
      <c r="N352" s="30">
        <v>16</v>
      </c>
    </row>
    <row r="353" spans="1:14">
      <c r="A353" s="30">
        <v>352</v>
      </c>
      <c r="B353" s="31">
        <v>40559</v>
      </c>
      <c r="C353" s="30">
        <v>3</v>
      </c>
      <c r="D353" s="37" t="s">
        <v>27</v>
      </c>
      <c r="E353" s="30" t="b">
        <v>0</v>
      </c>
      <c r="F353" s="37" t="s">
        <v>19</v>
      </c>
      <c r="G353" s="37" t="s">
        <v>8</v>
      </c>
      <c r="H353" s="30">
        <v>0.22</v>
      </c>
      <c r="I353" s="30">
        <v>0.27</v>
      </c>
      <c r="J353" s="30">
        <v>0.69</v>
      </c>
      <c r="K353" s="30">
        <v>0</v>
      </c>
      <c r="L353" s="30">
        <v>9</v>
      </c>
      <c r="M353" s="30">
        <v>6</v>
      </c>
      <c r="N353" s="30">
        <v>15</v>
      </c>
    </row>
    <row r="354" spans="1:14">
      <c r="A354" s="30">
        <v>353</v>
      </c>
      <c r="B354" s="31">
        <v>40559</v>
      </c>
      <c r="C354" s="30">
        <v>4</v>
      </c>
      <c r="D354" s="37" t="s">
        <v>27</v>
      </c>
      <c r="E354" s="30" t="b">
        <v>0</v>
      </c>
      <c r="F354" s="37" t="s">
        <v>19</v>
      </c>
      <c r="G354" s="37" t="s">
        <v>8</v>
      </c>
      <c r="H354" s="30">
        <v>0.26</v>
      </c>
      <c r="I354" s="30">
        <v>0.26</v>
      </c>
      <c r="J354" s="30">
        <v>0.56000000000000005</v>
      </c>
      <c r="K354" s="30">
        <v>0.16</v>
      </c>
      <c r="L354" s="30">
        <v>0</v>
      </c>
      <c r="M354" s="30">
        <v>1</v>
      </c>
      <c r="N354" s="30">
        <v>1</v>
      </c>
    </row>
    <row r="355" spans="1:14">
      <c r="A355" s="30">
        <v>354</v>
      </c>
      <c r="B355" s="31">
        <v>40559</v>
      </c>
      <c r="C355" s="30">
        <v>5</v>
      </c>
      <c r="D355" s="37" t="s">
        <v>27</v>
      </c>
      <c r="E355" s="30" t="b">
        <v>0</v>
      </c>
      <c r="F355" s="37" t="s">
        <v>19</v>
      </c>
      <c r="G355" s="37" t="s">
        <v>9</v>
      </c>
      <c r="H355" s="30">
        <v>0.26</v>
      </c>
      <c r="I355" s="30">
        <v>0.26</v>
      </c>
      <c r="J355" s="30">
        <v>0.56000000000000005</v>
      </c>
      <c r="K355" s="30">
        <v>0.16</v>
      </c>
      <c r="L355" s="30">
        <v>1</v>
      </c>
      <c r="M355" s="30">
        <v>1</v>
      </c>
      <c r="N355" s="30">
        <v>2</v>
      </c>
    </row>
    <row r="356" spans="1:14">
      <c r="A356" s="30">
        <v>355</v>
      </c>
      <c r="B356" s="31">
        <v>40559</v>
      </c>
      <c r="C356" s="30">
        <v>6</v>
      </c>
      <c r="D356" s="37" t="s">
        <v>28</v>
      </c>
      <c r="E356" s="30" t="b">
        <v>0</v>
      </c>
      <c r="F356" s="37" t="s">
        <v>19</v>
      </c>
      <c r="G356" s="37" t="s">
        <v>9</v>
      </c>
      <c r="H356" s="30">
        <v>0.26</v>
      </c>
      <c r="I356" s="30">
        <v>0.26</v>
      </c>
      <c r="J356" s="30">
        <v>0.56000000000000005</v>
      </c>
      <c r="K356" s="30">
        <v>0.16</v>
      </c>
      <c r="L356" s="30">
        <v>0</v>
      </c>
      <c r="M356" s="30">
        <v>1</v>
      </c>
      <c r="N356" s="30">
        <v>1</v>
      </c>
    </row>
    <row r="357" spans="1:14">
      <c r="A357" s="30">
        <v>356</v>
      </c>
      <c r="B357" s="31">
        <v>40559</v>
      </c>
      <c r="C357" s="30">
        <v>7</v>
      </c>
      <c r="D357" s="37" t="s">
        <v>28</v>
      </c>
      <c r="E357" s="30" t="b">
        <v>0</v>
      </c>
      <c r="F357" s="37" t="s">
        <v>19</v>
      </c>
      <c r="G357" s="37" t="s">
        <v>9</v>
      </c>
      <c r="H357" s="30">
        <v>0.24</v>
      </c>
      <c r="I357" s="30">
        <v>0.21</v>
      </c>
      <c r="J357" s="30">
        <v>0.56000000000000005</v>
      </c>
      <c r="K357" s="30">
        <v>0.3</v>
      </c>
      <c r="L357" s="30">
        <v>0</v>
      </c>
      <c r="M357" s="30">
        <v>3</v>
      </c>
      <c r="N357" s="30">
        <v>3</v>
      </c>
    </row>
    <row r="358" spans="1:14">
      <c r="A358" s="30">
        <v>357</v>
      </c>
      <c r="B358" s="31">
        <v>40559</v>
      </c>
      <c r="C358" s="30">
        <v>8</v>
      </c>
      <c r="D358" s="37" t="s">
        <v>28</v>
      </c>
      <c r="E358" s="30" t="b">
        <v>0</v>
      </c>
      <c r="F358" s="37" t="s">
        <v>19</v>
      </c>
      <c r="G358" s="37" t="s">
        <v>8</v>
      </c>
      <c r="H358" s="30">
        <v>0.22</v>
      </c>
      <c r="I358" s="30">
        <v>0.21</v>
      </c>
      <c r="J358" s="30">
        <v>0.55000000000000004</v>
      </c>
      <c r="K358" s="30">
        <v>0.28000000000000003</v>
      </c>
      <c r="L358" s="30">
        <v>0</v>
      </c>
      <c r="M358" s="30">
        <v>18</v>
      </c>
      <c r="N358" s="30">
        <v>18</v>
      </c>
    </row>
    <row r="359" spans="1:14">
      <c r="A359" s="30">
        <v>358</v>
      </c>
      <c r="B359" s="31">
        <v>40559</v>
      </c>
      <c r="C359" s="30">
        <v>9</v>
      </c>
      <c r="D359" s="37" t="s">
        <v>28</v>
      </c>
      <c r="E359" s="30" t="b">
        <v>0</v>
      </c>
      <c r="F359" s="37" t="s">
        <v>19</v>
      </c>
      <c r="G359" s="37" t="s">
        <v>8</v>
      </c>
      <c r="H359" s="30">
        <v>0.22</v>
      </c>
      <c r="I359" s="30">
        <v>0.21</v>
      </c>
      <c r="J359" s="30">
        <v>0.51</v>
      </c>
      <c r="K359" s="30">
        <v>0.25</v>
      </c>
      <c r="L359" s="30">
        <v>3</v>
      </c>
      <c r="M359" s="30">
        <v>29</v>
      </c>
      <c r="N359" s="30">
        <v>32</v>
      </c>
    </row>
    <row r="360" spans="1:14">
      <c r="A360" s="30">
        <v>359</v>
      </c>
      <c r="B360" s="31">
        <v>40559</v>
      </c>
      <c r="C360" s="30">
        <v>10</v>
      </c>
      <c r="D360" s="37" t="s">
        <v>28</v>
      </c>
      <c r="E360" s="30" t="b">
        <v>0</v>
      </c>
      <c r="F360" s="37" t="s">
        <v>19</v>
      </c>
      <c r="G360" s="37" t="s">
        <v>8</v>
      </c>
      <c r="H360" s="30">
        <v>0.22</v>
      </c>
      <c r="I360" s="30">
        <v>0.21</v>
      </c>
      <c r="J360" s="30">
        <v>0.51</v>
      </c>
      <c r="K360" s="30">
        <v>0.28000000000000003</v>
      </c>
      <c r="L360" s="30">
        <v>8</v>
      </c>
      <c r="M360" s="30">
        <v>71</v>
      </c>
      <c r="N360" s="30">
        <v>79</v>
      </c>
    </row>
    <row r="361" spans="1:14">
      <c r="A361" s="30">
        <v>360</v>
      </c>
      <c r="B361" s="31">
        <v>40559</v>
      </c>
      <c r="C361" s="30">
        <v>11</v>
      </c>
      <c r="D361" s="37" t="s">
        <v>28</v>
      </c>
      <c r="E361" s="30" t="b">
        <v>0</v>
      </c>
      <c r="F361" s="37" t="s">
        <v>19</v>
      </c>
      <c r="G361" s="37" t="s">
        <v>8</v>
      </c>
      <c r="H361" s="30">
        <v>0.24</v>
      </c>
      <c r="I361" s="30">
        <v>0.23</v>
      </c>
      <c r="J361" s="30">
        <v>0.44</v>
      </c>
      <c r="K361" s="30">
        <v>0.25</v>
      </c>
      <c r="L361" s="30">
        <v>23</v>
      </c>
      <c r="M361" s="30">
        <v>70</v>
      </c>
      <c r="N361" s="30">
        <v>93</v>
      </c>
    </row>
    <row r="362" spans="1:14">
      <c r="A362" s="30">
        <v>361</v>
      </c>
      <c r="B362" s="31">
        <v>40559</v>
      </c>
      <c r="C362" s="30">
        <v>12</v>
      </c>
      <c r="D362" s="37" t="s">
        <v>29</v>
      </c>
      <c r="E362" s="30" t="b">
        <v>0</v>
      </c>
      <c r="F362" s="37" t="s">
        <v>19</v>
      </c>
      <c r="G362" s="37" t="s">
        <v>8</v>
      </c>
      <c r="H362" s="30">
        <v>0.24</v>
      </c>
      <c r="I362" s="30">
        <v>0.21</v>
      </c>
      <c r="J362" s="30">
        <v>0.41</v>
      </c>
      <c r="K362" s="30">
        <v>0.28000000000000003</v>
      </c>
      <c r="L362" s="30">
        <v>29</v>
      </c>
      <c r="M362" s="30">
        <v>75</v>
      </c>
      <c r="N362" s="30">
        <v>104</v>
      </c>
    </row>
    <row r="363" spans="1:14">
      <c r="A363" s="30">
        <v>362</v>
      </c>
      <c r="B363" s="31">
        <v>40559</v>
      </c>
      <c r="C363" s="30">
        <v>13</v>
      </c>
      <c r="D363" s="37" t="s">
        <v>29</v>
      </c>
      <c r="E363" s="30" t="b">
        <v>0</v>
      </c>
      <c r="F363" s="37" t="s">
        <v>19</v>
      </c>
      <c r="G363" s="37" t="s">
        <v>8</v>
      </c>
      <c r="H363" s="30">
        <v>0.26</v>
      </c>
      <c r="I363" s="30">
        <v>0.23</v>
      </c>
      <c r="J363" s="30">
        <v>0.35</v>
      </c>
      <c r="K363" s="30">
        <v>0.3</v>
      </c>
      <c r="L363" s="30">
        <v>23</v>
      </c>
      <c r="M363" s="30">
        <v>95</v>
      </c>
      <c r="N363" s="30">
        <v>118</v>
      </c>
    </row>
    <row r="364" spans="1:14">
      <c r="A364" s="30">
        <v>363</v>
      </c>
      <c r="B364" s="31">
        <v>40559</v>
      </c>
      <c r="C364" s="30">
        <v>14</v>
      </c>
      <c r="D364" s="37" t="s">
        <v>29</v>
      </c>
      <c r="E364" s="30" t="b">
        <v>0</v>
      </c>
      <c r="F364" s="37" t="s">
        <v>19</v>
      </c>
      <c r="G364" s="37" t="s">
        <v>8</v>
      </c>
      <c r="H364" s="30">
        <v>0.28000000000000003</v>
      </c>
      <c r="I364" s="30">
        <v>0.27</v>
      </c>
      <c r="J364" s="30">
        <v>0.36</v>
      </c>
      <c r="K364" s="30">
        <v>0.25</v>
      </c>
      <c r="L364" s="30">
        <v>22</v>
      </c>
      <c r="M364" s="30">
        <v>69</v>
      </c>
      <c r="N364" s="30">
        <v>91</v>
      </c>
    </row>
    <row r="365" spans="1:14">
      <c r="A365" s="30">
        <v>364</v>
      </c>
      <c r="B365" s="31">
        <v>40559</v>
      </c>
      <c r="C365" s="30">
        <v>15</v>
      </c>
      <c r="D365" s="37" t="s">
        <v>29</v>
      </c>
      <c r="E365" s="30" t="b">
        <v>0</v>
      </c>
      <c r="F365" s="37" t="s">
        <v>19</v>
      </c>
      <c r="G365" s="37" t="s">
        <v>8</v>
      </c>
      <c r="H365" s="30">
        <v>0.26</v>
      </c>
      <c r="I365" s="30">
        <v>0.24</v>
      </c>
      <c r="J365" s="30">
        <v>0.38</v>
      </c>
      <c r="K365" s="30">
        <v>0.25</v>
      </c>
      <c r="L365" s="30">
        <v>35</v>
      </c>
      <c r="M365" s="30">
        <v>78</v>
      </c>
      <c r="N365" s="30">
        <v>113</v>
      </c>
    </row>
    <row r="366" spans="1:14">
      <c r="A366" s="30">
        <v>365</v>
      </c>
      <c r="B366" s="31">
        <v>40559</v>
      </c>
      <c r="C366" s="30">
        <v>16</v>
      </c>
      <c r="D366" s="37" t="s">
        <v>29</v>
      </c>
      <c r="E366" s="30" t="b">
        <v>0</v>
      </c>
      <c r="F366" s="37" t="s">
        <v>19</v>
      </c>
      <c r="G366" s="37" t="s">
        <v>8</v>
      </c>
      <c r="H366" s="30">
        <v>0.24</v>
      </c>
      <c r="I366" s="30">
        <v>0.23</v>
      </c>
      <c r="J366" s="30">
        <v>0.38</v>
      </c>
      <c r="K366" s="30">
        <v>0.22</v>
      </c>
      <c r="L366" s="30">
        <v>22</v>
      </c>
      <c r="M366" s="30">
        <v>77</v>
      </c>
      <c r="N366" s="30">
        <v>99</v>
      </c>
    </row>
    <row r="367" spans="1:14">
      <c r="A367" s="30">
        <v>366</v>
      </c>
      <c r="B367" s="31">
        <v>40559</v>
      </c>
      <c r="C367" s="30">
        <v>17</v>
      </c>
      <c r="D367" s="37" t="s">
        <v>29</v>
      </c>
      <c r="E367" s="30" t="b">
        <v>0</v>
      </c>
      <c r="F367" s="37" t="s">
        <v>19</v>
      </c>
      <c r="G367" s="37" t="s">
        <v>8</v>
      </c>
      <c r="H367" s="30">
        <v>0.22</v>
      </c>
      <c r="I367" s="30">
        <v>0.21</v>
      </c>
      <c r="J367" s="30">
        <v>0.37</v>
      </c>
      <c r="K367" s="30">
        <v>0.25</v>
      </c>
      <c r="L367" s="30">
        <v>23</v>
      </c>
      <c r="M367" s="30">
        <v>82</v>
      </c>
      <c r="N367" s="30">
        <v>105</v>
      </c>
    </row>
    <row r="368" spans="1:14">
      <c r="A368" s="30">
        <v>367</v>
      </c>
      <c r="B368" s="31">
        <v>40559</v>
      </c>
      <c r="C368" s="30">
        <v>18</v>
      </c>
      <c r="D368" s="37" t="s">
        <v>30</v>
      </c>
      <c r="E368" s="30" t="b">
        <v>0</v>
      </c>
      <c r="F368" s="37" t="s">
        <v>19</v>
      </c>
      <c r="G368" s="37" t="s">
        <v>8</v>
      </c>
      <c r="H368" s="30">
        <v>0.2</v>
      </c>
      <c r="I368" s="30">
        <v>0.21</v>
      </c>
      <c r="J368" s="30">
        <v>0.4</v>
      </c>
      <c r="K368" s="30">
        <v>0.16</v>
      </c>
      <c r="L368" s="30">
        <v>11</v>
      </c>
      <c r="M368" s="30">
        <v>56</v>
      </c>
      <c r="N368" s="30">
        <v>67</v>
      </c>
    </row>
    <row r="369" spans="1:14">
      <c r="A369" s="30">
        <v>368</v>
      </c>
      <c r="B369" s="31">
        <v>40559</v>
      </c>
      <c r="C369" s="30">
        <v>19</v>
      </c>
      <c r="D369" s="37" t="s">
        <v>30</v>
      </c>
      <c r="E369" s="30" t="b">
        <v>0</v>
      </c>
      <c r="F369" s="37" t="s">
        <v>19</v>
      </c>
      <c r="G369" s="37" t="s">
        <v>8</v>
      </c>
      <c r="H369" s="30">
        <v>0.18</v>
      </c>
      <c r="I369" s="30">
        <v>0.2</v>
      </c>
      <c r="J369" s="30">
        <v>0.47</v>
      </c>
      <c r="K369" s="30">
        <v>0.13</v>
      </c>
      <c r="L369" s="30">
        <v>14</v>
      </c>
      <c r="M369" s="30">
        <v>47</v>
      </c>
      <c r="N369" s="30">
        <v>61</v>
      </c>
    </row>
    <row r="370" spans="1:14">
      <c r="A370" s="30">
        <v>369</v>
      </c>
      <c r="B370" s="31">
        <v>40559</v>
      </c>
      <c r="C370" s="30">
        <v>20</v>
      </c>
      <c r="D370" s="37" t="s">
        <v>30</v>
      </c>
      <c r="E370" s="30" t="b">
        <v>0</v>
      </c>
      <c r="F370" s="37" t="s">
        <v>19</v>
      </c>
      <c r="G370" s="37" t="s">
        <v>8</v>
      </c>
      <c r="H370" s="30">
        <v>0.18</v>
      </c>
      <c r="I370" s="30">
        <v>0.2</v>
      </c>
      <c r="J370" s="30">
        <v>0.47</v>
      </c>
      <c r="K370" s="30">
        <v>0.16</v>
      </c>
      <c r="L370" s="30">
        <v>7</v>
      </c>
      <c r="M370" s="30">
        <v>50</v>
      </c>
      <c r="N370" s="30">
        <v>57</v>
      </c>
    </row>
    <row r="371" spans="1:14">
      <c r="A371" s="30">
        <v>370</v>
      </c>
      <c r="B371" s="31">
        <v>40559</v>
      </c>
      <c r="C371" s="30">
        <v>21</v>
      </c>
      <c r="D371" s="37" t="s">
        <v>30</v>
      </c>
      <c r="E371" s="30" t="b">
        <v>0</v>
      </c>
      <c r="F371" s="37" t="s">
        <v>19</v>
      </c>
      <c r="G371" s="37" t="s">
        <v>8</v>
      </c>
      <c r="H371" s="30">
        <v>0.18</v>
      </c>
      <c r="I371" s="30">
        <v>0.2</v>
      </c>
      <c r="J371" s="30">
        <v>0.51</v>
      </c>
      <c r="K371" s="30">
        <v>0.16</v>
      </c>
      <c r="L371" s="30">
        <v>6</v>
      </c>
      <c r="M371" s="30">
        <v>22</v>
      </c>
      <c r="N371" s="30">
        <v>28</v>
      </c>
    </row>
    <row r="372" spans="1:14">
      <c r="A372" s="30">
        <v>371</v>
      </c>
      <c r="B372" s="31">
        <v>40559</v>
      </c>
      <c r="C372" s="30">
        <v>22</v>
      </c>
      <c r="D372" s="37" t="s">
        <v>30</v>
      </c>
      <c r="E372" s="30" t="b">
        <v>0</v>
      </c>
      <c r="F372" s="37" t="s">
        <v>19</v>
      </c>
      <c r="G372" s="37" t="s">
        <v>9</v>
      </c>
      <c r="H372" s="30">
        <v>0.2</v>
      </c>
      <c r="I372" s="30">
        <v>0.21</v>
      </c>
      <c r="J372" s="30">
        <v>0.49</v>
      </c>
      <c r="K372" s="30">
        <v>0.13</v>
      </c>
      <c r="L372" s="30">
        <v>2</v>
      </c>
      <c r="M372" s="30">
        <v>19</v>
      </c>
      <c r="N372" s="30">
        <v>21</v>
      </c>
    </row>
    <row r="373" spans="1:14">
      <c r="A373" s="30">
        <v>372</v>
      </c>
      <c r="B373" s="31">
        <v>40559</v>
      </c>
      <c r="C373" s="30">
        <v>23</v>
      </c>
      <c r="D373" s="37" t="s">
        <v>30</v>
      </c>
      <c r="E373" s="30" t="b">
        <v>0</v>
      </c>
      <c r="F373" s="37" t="s">
        <v>19</v>
      </c>
      <c r="G373" s="37" t="s">
        <v>9</v>
      </c>
      <c r="H373" s="30">
        <v>0.2</v>
      </c>
      <c r="I373" s="30">
        <v>0.23</v>
      </c>
      <c r="J373" s="30">
        <v>0.4</v>
      </c>
      <c r="K373" s="30">
        <v>0.1</v>
      </c>
      <c r="L373" s="30">
        <v>0</v>
      </c>
      <c r="M373" s="30">
        <v>18</v>
      </c>
      <c r="N373" s="30">
        <v>18</v>
      </c>
    </row>
    <row r="374" spans="1:14">
      <c r="A374" s="30">
        <v>373</v>
      </c>
      <c r="B374" s="31">
        <v>40560</v>
      </c>
      <c r="C374" s="30">
        <v>0</v>
      </c>
      <c r="D374" s="37" t="s">
        <v>27</v>
      </c>
      <c r="E374" s="30" t="b">
        <v>1</v>
      </c>
      <c r="F374" s="37" t="s">
        <v>20</v>
      </c>
      <c r="G374" s="37" t="s">
        <v>9</v>
      </c>
      <c r="H374" s="30">
        <v>0.2</v>
      </c>
      <c r="I374" s="30">
        <v>0.2</v>
      </c>
      <c r="J374" s="30">
        <v>0.47</v>
      </c>
      <c r="K374" s="30">
        <v>0.22</v>
      </c>
      <c r="L374" s="30">
        <v>1</v>
      </c>
      <c r="M374" s="30">
        <v>16</v>
      </c>
      <c r="N374" s="30">
        <v>17</v>
      </c>
    </row>
    <row r="375" spans="1:14">
      <c r="A375" s="30">
        <v>374</v>
      </c>
      <c r="B375" s="31">
        <v>40560</v>
      </c>
      <c r="C375" s="30">
        <v>1</v>
      </c>
      <c r="D375" s="37" t="s">
        <v>27</v>
      </c>
      <c r="E375" s="30" t="b">
        <v>1</v>
      </c>
      <c r="F375" s="37" t="s">
        <v>20</v>
      </c>
      <c r="G375" s="37" t="s">
        <v>9</v>
      </c>
      <c r="H375" s="30">
        <v>0.2</v>
      </c>
      <c r="I375" s="30">
        <v>0.2</v>
      </c>
      <c r="J375" s="30">
        <v>0.44</v>
      </c>
      <c r="K375" s="30">
        <v>0.19</v>
      </c>
      <c r="L375" s="30">
        <v>1</v>
      </c>
      <c r="M375" s="30">
        <v>15</v>
      </c>
      <c r="N375" s="30">
        <v>16</v>
      </c>
    </row>
    <row r="376" spans="1:14">
      <c r="A376" s="30">
        <v>375</v>
      </c>
      <c r="B376" s="31">
        <v>40560</v>
      </c>
      <c r="C376" s="30">
        <v>2</v>
      </c>
      <c r="D376" s="37" t="s">
        <v>27</v>
      </c>
      <c r="E376" s="30" t="b">
        <v>1</v>
      </c>
      <c r="F376" s="37" t="s">
        <v>20</v>
      </c>
      <c r="G376" s="37" t="s">
        <v>9</v>
      </c>
      <c r="H376" s="30">
        <v>0.18</v>
      </c>
      <c r="I376" s="30">
        <v>0.17</v>
      </c>
      <c r="J376" s="30">
        <v>0.43</v>
      </c>
      <c r="K376" s="30">
        <v>0.25</v>
      </c>
      <c r="L376" s="30">
        <v>0</v>
      </c>
      <c r="M376" s="30">
        <v>8</v>
      </c>
      <c r="N376" s="30">
        <v>8</v>
      </c>
    </row>
    <row r="377" spans="1:14">
      <c r="A377" s="30">
        <v>376</v>
      </c>
      <c r="B377" s="31">
        <v>40560</v>
      </c>
      <c r="C377" s="30">
        <v>3</v>
      </c>
      <c r="D377" s="37" t="s">
        <v>27</v>
      </c>
      <c r="E377" s="30" t="b">
        <v>1</v>
      </c>
      <c r="F377" s="37" t="s">
        <v>20</v>
      </c>
      <c r="G377" s="37" t="s">
        <v>9</v>
      </c>
      <c r="H377" s="30">
        <v>0.18</v>
      </c>
      <c r="I377" s="30">
        <v>0.18</v>
      </c>
      <c r="J377" s="30">
        <v>0.43</v>
      </c>
      <c r="K377" s="30">
        <v>0.19</v>
      </c>
      <c r="L377" s="30">
        <v>0</v>
      </c>
      <c r="M377" s="30">
        <v>2</v>
      </c>
      <c r="N377" s="30">
        <v>2</v>
      </c>
    </row>
    <row r="378" spans="1:14">
      <c r="A378" s="30">
        <v>377</v>
      </c>
      <c r="B378" s="31">
        <v>40560</v>
      </c>
      <c r="C378" s="30">
        <v>4</v>
      </c>
      <c r="D378" s="37" t="s">
        <v>27</v>
      </c>
      <c r="E378" s="30" t="b">
        <v>1</v>
      </c>
      <c r="F378" s="37" t="s">
        <v>20</v>
      </c>
      <c r="G378" s="37" t="s">
        <v>9</v>
      </c>
      <c r="H378" s="30">
        <v>0.18</v>
      </c>
      <c r="I378" s="30">
        <v>0.2</v>
      </c>
      <c r="J378" s="30">
        <v>0.43</v>
      </c>
      <c r="K378" s="30">
        <v>0.13</v>
      </c>
      <c r="L378" s="30">
        <v>1</v>
      </c>
      <c r="M378" s="30">
        <v>2</v>
      </c>
      <c r="N378" s="30">
        <v>3</v>
      </c>
    </row>
    <row r="379" spans="1:14">
      <c r="A379" s="30">
        <v>378</v>
      </c>
      <c r="B379" s="31">
        <v>40560</v>
      </c>
      <c r="C379" s="30">
        <v>5</v>
      </c>
      <c r="D379" s="37" t="s">
        <v>27</v>
      </c>
      <c r="E379" s="30" t="b">
        <v>1</v>
      </c>
      <c r="F379" s="37" t="s">
        <v>20</v>
      </c>
      <c r="G379" s="37" t="s">
        <v>9</v>
      </c>
      <c r="H379" s="30">
        <v>0.18</v>
      </c>
      <c r="I379" s="30">
        <v>0.2</v>
      </c>
      <c r="J379" s="30">
        <v>0.43</v>
      </c>
      <c r="K379" s="30">
        <v>0.16</v>
      </c>
      <c r="L379" s="30">
        <v>0</v>
      </c>
      <c r="M379" s="30">
        <v>1</v>
      </c>
      <c r="N379" s="30">
        <v>1</v>
      </c>
    </row>
    <row r="380" spans="1:14">
      <c r="A380" s="30">
        <v>379</v>
      </c>
      <c r="B380" s="31">
        <v>40560</v>
      </c>
      <c r="C380" s="30">
        <v>6</v>
      </c>
      <c r="D380" s="37" t="s">
        <v>28</v>
      </c>
      <c r="E380" s="30" t="b">
        <v>1</v>
      </c>
      <c r="F380" s="37" t="s">
        <v>20</v>
      </c>
      <c r="G380" s="37" t="s">
        <v>9</v>
      </c>
      <c r="H380" s="30">
        <v>0.18</v>
      </c>
      <c r="I380" s="30">
        <v>0.18</v>
      </c>
      <c r="J380" s="30">
        <v>0.43</v>
      </c>
      <c r="K380" s="30">
        <v>0.19</v>
      </c>
      <c r="L380" s="30">
        <v>0</v>
      </c>
      <c r="M380" s="30">
        <v>5</v>
      </c>
      <c r="N380" s="30">
        <v>5</v>
      </c>
    </row>
    <row r="381" spans="1:14">
      <c r="A381" s="30">
        <v>380</v>
      </c>
      <c r="B381" s="31">
        <v>40560</v>
      </c>
      <c r="C381" s="30">
        <v>7</v>
      </c>
      <c r="D381" s="37" t="s">
        <v>28</v>
      </c>
      <c r="E381" s="30" t="b">
        <v>1</v>
      </c>
      <c r="F381" s="37" t="s">
        <v>20</v>
      </c>
      <c r="G381" s="37" t="s">
        <v>9</v>
      </c>
      <c r="H381" s="30">
        <v>0.16</v>
      </c>
      <c r="I381" s="30">
        <v>0.18</v>
      </c>
      <c r="J381" s="30">
        <v>0.5</v>
      </c>
      <c r="K381" s="30">
        <v>0.13</v>
      </c>
      <c r="L381" s="30">
        <v>4</v>
      </c>
      <c r="M381" s="30">
        <v>9</v>
      </c>
      <c r="N381" s="30">
        <v>13</v>
      </c>
    </row>
    <row r="382" spans="1:14">
      <c r="A382" s="30">
        <v>381</v>
      </c>
      <c r="B382" s="31">
        <v>40560</v>
      </c>
      <c r="C382" s="30">
        <v>8</v>
      </c>
      <c r="D382" s="37" t="s">
        <v>28</v>
      </c>
      <c r="E382" s="30" t="b">
        <v>1</v>
      </c>
      <c r="F382" s="37" t="s">
        <v>20</v>
      </c>
      <c r="G382" s="37" t="s">
        <v>9</v>
      </c>
      <c r="H382" s="30">
        <v>0.16</v>
      </c>
      <c r="I382" s="30">
        <v>0.15</v>
      </c>
      <c r="J382" s="30">
        <v>0.47</v>
      </c>
      <c r="K382" s="30">
        <v>0.22</v>
      </c>
      <c r="L382" s="30">
        <v>3</v>
      </c>
      <c r="M382" s="30">
        <v>30</v>
      </c>
      <c r="N382" s="30">
        <v>33</v>
      </c>
    </row>
    <row r="383" spans="1:14">
      <c r="A383" s="30">
        <v>382</v>
      </c>
      <c r="B383" s="31">
        <v>40560</v>
      </c>
      <c r="C383" s="30">
        <v>9</v>
      </c>
      <c r="D383" s="37" t="s">
        <v>28</v>
      </c>
      <c r="E383" s="30" t="b">
        <v>1</v>
      </c>
      <c r="F383" s="37" t="s">
        <v>20</v>
      </c>
      <c r="G383" s="37" t="s">
        <v>9</v>
      </c>
      <c r="H383" s="30">
        <v>0.16</v>
      </c>
      <c r="I383" s="30">
        <v>0.15</v>
      </c>
      <c r="J383" s="30">
        <v>0.47</v>
      </c>
      <c r="K383" s="30">
        <v>0.22</v>
      </c>
      <c r="L383" s="30">
        <v>8</v>
      </c>
      <c r="M383" s="30">
        <v>39</v>
      </c>
      <c r="N383" s="30">
        <v>47</v>
      </c>
    </row>
    <row r="384" spans="1:14">
      <c r="A384" s="30">
        <v>383</v>
      </c>
      <c r="B384" s="31">
        <v>40560</v>
      </c>
      <c r="C384" s="30">
        <v>10</v>
      </c>
      <c r="D384" s="37" t="s">
        <v>28</v>
      </c>
      <c r="E384" s="30" t="b">
        <v>1</v>
      </c>
      <c r="F384" s="37" t="s">
        <v>20</v>
      </c>
      <c r="G384" s="37" t="s">
        <v>9</v>
      </c>
      <c r="H384" s="30">
        <v>0.16</v>
      </c>
      <c r="I384" s="30">
        <v>0.15</v>
      </c>
      <c r="J384" s="30">
        <v>0.5</v>
      </c>
      <c r="K384" s="30">
        <v>0.25</v>
      </c>
      <c r="L384" s="30">
        <v>7</v>
      </c>
      <c r="M384" s="30">
        <v>50</v>
      </c>
      <c r="N384" s="30">
        <v>57</v>
      </c>
    </row>
    <row r="385" spans="1:14">
      <c r="A385" s="30">
        <v>384</v>
      </c>
      <c r="B385" s="31">
        <v>40560</v>
      </c>
      <c r="C385" s="30">
        <v>11</v>
      </c>
      <c r="D385" s="37" t="s">
        <v>28</v>
      </c>
      <c r="E385" s="30" t="b">
        <v>1</v>
      </c>
      <c r="F385" s="37" t="s">
        <v>20</v>
      </c>
      <c r="G385" s="37" t="s">
        <v>9</v>
      </c>
      <c r="H385" s="30">
        <v>0.16</v>
      </c>
      <c r="I385" s="30">
        <v>0.15</v>
      </c>
      <c r="J385" s="30">
        <v>0.55000000000000004</v>
      </c>
      <c r="K385" s="30">
        <v>0.19</v>
      </c>
      <c r="L385" s="30">
        <v>9</v>
      </c>
      <c r="M385" s="30">
        <v>55</v>
      </c>
      <c r="N385" s="30">
        <v>64</v>
      </c>
    </row>
    <row r="386" spans="1:14">
      <c r="A386" s="30">
        <v>385</v>
      </c>
      <c r="B386" s="31">
        <v>40560</v>
      </c>
      <c r="C386" s="30">
        <v>12</v>
      </c>
      <c r="D386" s="37" t="s">
        <v>29</v>
      </c>
      <c r="E386" s="30" t="b">
        <v>1</v>
      </c>
      <c r="F386" s="37" t="s">
        <v>20</v>
      </c>
      <c r="G386" s="37" t="s">
        <v>9</v>
      </c>
      <c r="H386" s="30">
        <v>0.18</v>
      </c>
      <c r="I386" s="30">
        <v>0.2</v>
      </c>
      <c r="J386" s="30">
        <v>0.47</v>
      </c>
      <c r="K386" s="30">
        <v>0.13</v>
      </c>
      <c r="L386" s="30">
        <v>10</v>
      </c>
      <c r="M386" s="30">
        <v>70</v>
      </c>
      <c r="N386" s="30">
        <v>80</v>
      </c>
    </row>
    <row r="387" spans="1:14">
      <c r="A387" s="30">
        <v>386</v>
      </c>
      <c r="B387" s="31">
        <v>40560</v>
      </c>
      <c r="C387" s="30">
        <v>13</v>
      </c>
      <c r="D387" s="37" t="s">
        <v>29</v>
      </c>
      <c r="E387" s="30" t="b">
        <v>1</v>
      </c>
      <c r="F387" s="37" t="s">
        <v>20</v>
      </c>
      <c r="G387" s="37" t="s">
        <v>9</v>
      </c>
      <c r="H387" s="30">
        <v>0.18</v>
      </c>
      <c r="I387" s="30">
        <v>0.2</v>
      </c>
      <c r="J387" s="30">
        <v>0.47</v>
      </c>
      <c r="K387" s="30">
        <v>0.13</v>
      </c>
      <c r="L387" s="30">
        <v>13</v>
      </c>
      <c r="M387" s="30">
        <v>80</v>
      </c>
      <c r="N387" s="30">
        <v>93</v>
      </c>
    </row>
    <row r="388" spans="1:14">
      <c r="A388" s="30">
        <v>387</v>
      </c>
      <c r="B388" s="31">
        <v>40560</v>
      </c>
      <c r="C388" s="30">
        <v>14</v>
      </c>
      <c r="D388" s="37" t="s">
        <v>29</v>
      </c>
      <c r="E388" s="30" t="b">
        <v>1</v>
      </c>
      <c r="F388" s="37" t="s">
        <v>20</v>
      </c>
      <c r="G388" s="37" t="s">
        <v>9</v>
      </c>
      <c r="H388" s="30">
        <v>0.18</v>
      </c>
      <c r="I388" s="30">
        <v>0.21</v>
      </c>
      <c r="J388" s="30">
        <v>0.43</v>
      </c>
      <c r="K388" s="30">
        <v>0.1</v>
      </c>
      <c r="L388" s="30">
        <v>12</v>
      </c>
      <c r="M388" s="30">
        <v>74</v>
      </c>
      <c r="N388" s="30">
        <v>86</v>
      </c>
    </row>
    <row r="389" spans="1:14">
      <c r="A389" s="30">
        <v>388</v>
      </c>
      <c r="B389" s="31">
        <v>40560</v>
      </c>
      <c r="C389" s="30">
        <v>15</v>
      </c>
      <c r="D389" s="37" t="s">
        <v>29</v>
      </c>
      <c r="E389" s="30" t="b">
        <v>1</v>
      </c>
      <c r="F389" s="37" t="s">
        <v>20</v>
      </c>
      <c r="G389" s="37" t="s">
        <v>9</v>
      </c>
      <c r="H389" s="30">
        <v>0.2</v>
      </c>
      <c r="I389" s="30">
        <v>0.21</v>
      </c>
      <c r="J389" s="30">
        <v>0.47</v>
      </c>
      <c r="K389" s="30">
        <v>0.16</v>
      </c>
      <c r="L389" s="30">
        <v>21</v>
      </c>
      <c r="M389" s="30">
        <v>72</v>
      </c>
      <c r="N389" s="30">
        <v>93</v>
      </c>
    </row>
    <row r="390" spans="1:14">
      <c r="A390" s="30">
        <v>389</v>
      </c>
      <c r="B390" s="31">
        <v>40560</v>
      </c>
      <c r="C390" s="30">
        <v>16</v>
      </c>
      <c r="D390" s="37" t="s">
        <v>29</v>
      </c>
      <c r="E390" s="30" t="b">
        <v>1</v>
      </c>
      <c r="F390" s="37" t="s">
        <v>20</v>
      </c>
      <c r="G390" s="37" t="s">
        <v>9</v>
      </c>
      <c r="H390" s="30">
        <v>0.2</v>
      </c>
      <c r="I390" s="30">
        <v>0.21</v>
      </c>
      <c r="J390" s="30">
        <v>0.47</v>
      </c>
      <c r="K390" s="30">
        <v>0.16</v>
      </c>
      <c r="L390" s="30">
        <v>6</v>
      </c>
      <c r="M390" s="30">
        <v>76</v>
      </c>
      <c r="N390" s="30">
        <v>82</v>
      </c>
    </row>
    <row r="391" spans="1:14">
      <c r="A391" s="30">
        <v>390</v>
      </c>
      <c r="B391" s="31">
        <v>40560</v>
      </c>
      <c r="C391" s="30">
        <v>17</v>
      </c>
      <c r="D391" s="37" t="s">
        <v>29</v>
      </c>
      <c r="E391" s="30" t="b">
        <v>1</v>
      </c>
      <c r="F391" s="37" t="s">
        <v>20</v>
      </c>
      <c r="G391" s="37" t="s">
        <v>8</v>
      </c>
      <c r="H391" s="30">
        <v>0.2</v>
      </c>
      <c r="I391" s="30">
        <v>0.2</v>
      </c>
      <c r="J391" s="30">
        <v>0.51</v>
      </c>
      <c r="K391" s="30">
        <v>0.19</v>
      </c>
      <c r="L391" s="30">
        <v>4</v>
      </c>
      <c r="M391" s="30">
        <v>67</v>
      </c>
      <c r="N391" s="30">
        <v>71</v>
      </c>
    </row>
    <row r="392" spans="1:14">
      <c r="A392" s="30">
        <v>391</v>
      </c>
      <c r="B392" s="31">
        <v>40560</v>
      </c>
      <c r="C392" s="30">
        <v>18</v>
      </c>
      <c r="D392" s="37" t="s">
        <v>30</v>
      </c>
      <c r="E392" s="30" t="b">
        <v>1</v>
      </c>
      <c r="F392" s="37" t="s">
        <v>20</v>
      </c>
      <c r="G392" s="37" t="s">
        <v>9</v>
      </c>
      <c r="H392" s="30">
        <v>0.18</v>
      </c>
      <c r="I392" s="30">
        <v>0.17</v>
      </c>
      <c r="J392" s="30">
        <v>0.55000000000000004</v>
      </c>
      <c r="K392" s="30">
        <v>0.25</v>
      </c>
      <c r="L392" s="30">
        <v>7</v>
      </c>
      <c r="M392" s="30">
        <v>85</v>
      </c>
      <c r="N392" s="30">
        <v>92</v>
      </c>
    </row>
    <row r="393" spans="1:14">
      <c r="A393" s="30">
        <v>392</v>
      </c>
      <c r="B393" s="31">
        <v>40560</v>
      </c>
      <c r="C393" s="30">
        <v>19</v>
      </c>
      <c r="D393" s="37" t="s">
        <v>30</v>
      </c>
      <c r="E393" s="30" t="b">
        <v>1</v>
      </c>
      <c r="F393" s="37" t="s">
        <v>20</v>
      </c>
      <c r="G393" s="37" t="s">
        <v>10</v>
      </c>
      <c r="H393" s="30">
        <v>0.18</v>
      </c>
      <c r="I393" s="30">
        <v>0.18</v>
      </c>
      <c r="J393" s="30">
        <v>0.59</v>
      </c>
      <c r="K393" s="30">
        <v>0.19</v>
      </c>
      <c r="L393" s="30">
        <v>2</v>
      </c>
      <c r="M393" s="30">
        <v>58</v>
      </c>
      <c r="N393" s="30">
        <v>60</v>
      </c>
    </row>
    <row r="394" spans="1:14">
      <c r="A394" s="30">
        <v>393</v>
      </c>
      <c r="B394" s="31">
        <v>40560</v>
      </c>
      <c r="C394" s="30">
        <v>20</v>
      </c>
      <c r="D394" s="37" t="s">
        <v>30</v>
      </c>
      <c r="E394" s="30" t="b">
        <v>1</v>
      </c>
      <c r="F394" s="37" t="s">
        <v>20</v>
      </c>
      <c r="G394" s="37" t="s">
        <v>10</v>
      </c>
      <c r="H394" s="30">
        <v>0.16</v>
      </c>
      <c r="I394" s="30">
        <v>0.15</v>
      </c>
      <c r="J394" s="30">
        <v>0.8</v>
      </c>
      <c r="K394" s="30">
        <v>0.19</v>
      </c>
      <c r="L394" s="30">
        <v>4</v>
      </c>
      <c r="M394" s="30">
        <v>29</v>
      </c>
      <c r="N394" s="30">
        <v>33</v>
      </c>
    </row>
    <row r="395" spans="1:14">
      <c r="A395" s="30">
        <v>394</v>
      </c>
      <c r="B395" s="31">
        <v>40560</v>
      </c>
      <c r="C395" s="30">
        <v>21</v>
      </c>
      <c r="D395" s="37" t="s">
        <v>30</v>
      </c>
      <c r="E395" s="30" t="b">
        <v>1</v>
      </c>
      <c r="F395" s="37" t="s">
        <v>20</v>
      </c>
      <c r="G395" s="37" t="s">
        <v>10</v>
      </c>
      <c r="H395" s="30">
        <v>0.16</v>
      </c>
      <c r="I395" s="30">
        <v>0.15</v>
      </c>
      <c r="J395" s="30">
        <v>0.8</v>
      </c>
      <c r="K395" s="30">
        <v>0.19</v>
      </c>
      <c r="L395" s="30">
        <v>3</v>
      </c>
      <c r="M395" s="30">
        <v>24</v>
      </c>
      <c r="N395" s="30">
        <v>27</v>
      </c>
    </row>
    <row r="396" spans="1:14">
      <c r="A396" s="30">
        <v>395</v>
      </c>
      <c r="B396" s="31">
        <v>40560</v>
      </c>
      <c r="C396" s="30">
        <v>22</v>
      </c>
      <c r="D396" s="37" t="s">
        <v>30</v>
      </c>
      <c r="E396" s="30" t="b">
        <v>1</v>
      </c>
      <c r="F396" s="37" t="s">
        <v>20</v>
      </c>
      <c r="G396" s="37" t="s">
        <v>10</v>
      </c>
      <c r="H396" s="30">
        <v>0.14000000000000001</v>
      </c>
      <c r="I396" s="30">
        <v>0.12</v>
      </c>
      <c r="J396" s="30">
        <v>0.93</v>
      </c>
      <c r="K396" s="30">
        <v>0.25</v>
      </c>
      <c r="L396" s="30">
        <v>0</v>
      </c>
      <c r="M396" s="30">
        <v>13</v>
      </c>
      <c r="N396" s="30">
        <v>13</v>
      </c>
    </row>
    <row r="397" spans="1:14">
      <c r="A397" s="30">
        <v>396</v>
      </c>
      <c r="B397" s="31">
        <v>40560</v>
      </c>
      <c r="C397" s="30">
        <v>23</v>
      </c>
      <c r="D397" s="37" t="s">
        <v>30</v>
      </c>
      <c r="E397" s="30" t="b">
        <v>1</v>
      </c>
      <c r="F397" s="37" t="s">
        <v>20</v>
      </c>
      <c r="G397" s="37" t="s">
        <v>10</v>
      </c>
      <c r="H397" s="30">
        <v>0.16</v>
      </c>
      <c r="I397" s="30">
        <v>0.14000000000000001</v>
      </c>
      <c r="J397" s="30">
        <v>0.86</v>
      </c>
      <c r="K397" s="30">
        <v>0.28000000000000003</v>
      </c>
      <c r="L397" s="30">
        <v>1</v>
      </c>
      <c r="M397" s="30">
        <v>3</v>
      </c>
      <c r="N397" s="30">
        <v>4</v>
      </c>
    </row>
    <row r="398" spans="1:14">
      <c r="A398" s="30">
        <v>397</v>
      </c>
      <c r="B398" s="31">
        <v>40561</v>
      </c>
      <c r="C398" s="30">
        <v>12</v>
      </c>
      <c r="D398" s="37" t="s">
        <v>29</v>
      </c>
      <c r="E398" s="30" t="b">
        <v>0</v>
      </c>
      <c r="F398" s="37" t="s">
        <v>21</v>
      </c>
      <c r="G398" s="37" t="s">
        <v>9</v>
      </c>
      <c r="H398" s="30">
        <v>0.2</v>
      </c>
      <c r="I398" s="30">
        <v>0.18</v>
      </c>
      <c r="J398" s="30">
        <v>0.86</v>
      </c>
      <c r="K398" s="30">
        <v>0.33</v>
      </c>
      <c r="L398" s="30">
        <v>0</v>
      </c>
      <c r="M398" s="30">
        <v>3</v>
      </c>
      <c r="N398" s="30">
        <v>3</v>
      </c>
    </row>
    <row r="399" spans="1:14">
      <c r="A399" s="30">
        <v>398</v>
      </c>
      <c r="B399" s="31">
        <v>40561</v>
      </c>
      <c r="C399" s="30">
        <v>13</v>
      </c>
      <c r="D399" s="37" t="s">
        <v>29</v>
      </c>
      <c r="E399" s="30" t="b">
        <v>0</v>
      </c>
      <c r="F399" s="37" t="s">
        <v>21</v>
      </c>
      <c r="G399" s="37" t="s">
        <v>9</v>
      </c>
      <c r="H399" s="30">
        <v>0.2</v>
      </c>
      <c r="I399" s="30">
        <v>0.2</v>
      </c>
      <c r="J399" s="30">
        <v>0.86</v>
      </c>
      <c r="K399" s="30">
        <v>0.22</v>
      </c>
      <c r="L399" s="30">
        <v>0</v>
      </c>
      <c r="M399" s="30">
        <v>22</v>
      </c>
      <c r="N399" s="30">
        <v>22</v>
      </c>
    </row>
    <row r="400" spans="1:14">
      <c r="A400" s="30">
        <v>399</v>
      </c>
      <c r="B400" s="31">
        <v>40561</v>
      </c>
      <c r="C400" s="30">
        <v>14</v>
      </c>
      <c r="D400" s="37" t="s">
        <v>29</v>
      </c>
      <c r="E400" s="30" t="b">
        <v>0</v>
      </c>
      <c r="F400" s="37" t="s">
        <v>21</v>
      </c>
      <c r="G400" s="37" t="s">
        <v>9</v>
      </c>
      <c r="H400" s="30">
        <v>0.22</v>
      </c>
      <c r="I400" s="30">
        <v>0.23</v>
      </c>
      <c r="J400" s="30">
        <v>0.8</v>
      </c>
      <c r="K400" s="30">
        <v>0.16</v>
      </c>
      <c r="L400" s="30">
        <v>2</v>
      </c>
      <c r="M400" s="30">
        <v>26</v>
      </c>
      <c r="N400" s="30">
        <v>28</v>
      </c>
    </row>
    <row r="401" spans="1:14">
      <c r="A401" s="30">
        <v>400</v>
      </c>
      <c r="B401" s="31">
        <v>40561</v>
      </c>
      <c r="C401" s="30">
        <v>15</v>
      </c>
      <c r="D401" s="37" t="s">
        <v>29</v>
      </c>
      <c r="E401" s="30" t="b">
        <v>0</v>
      </c>
      <c r="F401" s="37" t="s">
        <v>21</v>
      </c>
      <c r="G401" s="37" t="s">
        <v>9</v>
      </c>
      <c r="H401" s="30">
        <v>0.22</v>
      </c>
      <c r="I401" s="30">
        <v>0.23</v>
      </c>
      <c r="J401" s="30">
        <v>0.87</v>
      </c>
      <c r="K401" s="30">
        <v>0.16</v>
      </c>
      <c r="L401" s="30">
        <v>3</v>
      </c>
      <c r="M401" s="30">
        <v>32</v>
      </c>
      <c r="N401" s="30">
        <v>35</v>
      </c>
    </row>
    <row r="402" spans="1:14">
      <c r="A402" s="30">
        <v>401</v>
      </c>
      <c r="B402" s="31">
        <v>40561</v>
      </c>
      <c r="C402" s="30">
        <v>16</v>
      </c>
      <c r="D402" s="37" t="s">
        <v>29</v>
      </c>
      <c r="E402" s="30" t="b">
        <v>0</v>
      </c>
      <c r="F402" s="37" t="s">
        <v>21</v>
      </c>
      <c r="G402" s="37" t="s">
        <v>9</v>
      </c>
      <c r="H402" s="30">
        <v>0.22</v>
      </c>
      <c r="I402" s="30">
        <v>0.23</v>
      </c>
      <c r="J402" s="30">
        <v>0.87</v>
      </c>
      <c r="K402" s="30">
        <v>0.19</v>
      </c>
      <c r="L402" s="30">
        <v>0</v>
      </c>
      <c r="M402" s="30">
        <v>61</v>
      </c>
      <c r="N402" s="30">
        <v>61</v>
      </c>
    </row>
    <row r="403" spans="1:14">
      <c r="A403" s="30">
        <v>402</v>
      </c>
      <c r="B403" s="31">
        <v>40561</v>
      </c>
      <c r="C403" s="30">
        <v>17</v>
      </c>
      <c r="D403" s="37" t="s">
        <v>29</v>
      </c>
      <c r="E403" s="30" t="b">
        <v>0</v>
      </c>
      <c r="F403" s="37" t="s">
        <v>21</v>
      </c>
      <c r="G403" s="37" t="s">
        <v>9</v>
      </c>
      <c r="H403" s="30">
        <v>0.22</v>
      </c>
      <c r="I403" s="30">
        <v>0.23</v>
      </c>
      <c r="J403" s="30">
        <v>0.82</v>
      </c>
      <c r="K403" s="30">
        <v>0.19</v>
      </c>
      <c r="L403" s="30">
        <v>1</v>
      </c>
      <c r="M403" s="30">
        <v>124</v>
      </c>
      <c r="N403" s="30">
        <v>125</v>
      </c>
    </row>
    <row r="404" spans="1:14">
      <c r="A404" s="30">
        <v>403</v>
      </c>
      <c r="B404" s="31">
        <v>40561</v>
      </c>
      <c r="C404" s="30">
        <v>18</v>
      </c>
      <c r="D404" s="37" t="s">
        <v>30</v>
      </c>
      <c r="E404" s="30" t="b">
        <v>0</v>
      </c>
      <c r="F404" s="37" t="s">
        <v>21</v>
      </c>
      <c r="G404" s="37" t="s">
        <v>9</v>
      </c>
      <c r="H404" s="30">
        <v>0.22</v>
      </c>
      <c r="I404" s="30">
        <v>0.23</v>
      </c>
      <c r="J404" s="30">
        <v>0.8</v>
      </c>
      <c r="K404" s="30">
        <v>0.16</v>
      </c>
      <c r="L404" s="30">
        <v>1</v>
      </c>
      <c r="M404" s="30">
        <v>132</v>
      </c>
      <c r="N404" s="30">
        <v>133</v>
      </c>
    </row>
    <row r="405" spans="1:14">
      <c r="A405" s="30">
        <v>404</v>
      </c>
      <c r="B405" s="31">
        <v>40561</v>
      </c>
      <c r="C405" s="30">
        <v>19</v>
      </c>
      <c r="D405" s="37" t="s">
        <v>30</v>
      </c>
      <c r="E405" s="30" t="b">
        <v>0</v>
      </c>
      <c r="F405" s="37" t="s">
        <v>21</v>
      </c>
      <c r="G405" s="37" t="s">
        <v>9</v>
      </c>
      <c r="H405" s="30">
        <v>0.22</v>
      </c>
      <c r="I405" s="30">
        <v>0.23</v>
      </c>
      <c r="J405" s="30">
        <v>0.8</v>
      </c>
      <c r="K405" s="30">
        <v>0.13</v>
      </c>
      <c r="L405" s="30">
        <v>1</v>
      </c>
      <c r="M405" s="30">
        <v>98</v>
      </c>
      <c r="N405" s="30">
        <v>99</v>
      </c>
    </row>
    <row r="406" spans="1:14">
      <c r="A406" s="30">
        <v>405</v>
      </c>
      <c r="B406" s="31">
        <v>40561</v>
      </c>
      <c r="C406" s="30">
        <v>20</v>
      </c>
      <c r="D406" s="37" t="s">
        <v>30</v>
      </c>
      <c r="E406" s="30" t="b">
        <v>0</v>
      </c>
      <c r="F406" s="37" t="s">
        <v>21</v>
      </c>
      <c r="G406" s="37" t="s">
        <v>9</v>
      </c>
      <c r="H406" s="30">
        <v>0.22</v>
      </c>
      <c r="I406" s="30">
        <v>0.27</v>
      </c>
      <c r="J406" s="30">
        <v>0.87</v>
      </c>
      <c r="K406" s="30">
        <v>0</v>
      </c>
      <c r="L406" s="30">
        <v>0</v>
      </c>
      <c r="M406" s="30">
        <v>83</v>
      </c>
      <c r="N406" s="30">
        <v>83</v>
      </c>
    </row>
    <row r="407" spans="1:14">
      <c r="A407" s="30">
        <v>406</v>
      </c>
      <c r="B407" s="31">
        <v>40561</v>
      </c>
      <c r="C407" s="30">
        <v>21</v>
      </c>
      <c r="D407" s="37" t="s">
        <v>30</v>
      </c>
      <c r="E407" s="30" t="b">
        <v>0</v>
      </c>
      <c r="F407" s="37" t="s">
        <v>21</v>
      </c>
      <c r="G407" s="37" t="s">
        <v>9</v>
      </c>
      <c r="H407" s="30">
        <v>0.22</v>
      </c>
      <c r="I407" s="30">
        <v>0.24</v>
      </c>
      <c r="J407" s="30">
        <v>0.93</v>
      </c>
      <c r="K407" s="30">
        <v>0.1</v>
      </c>
      <c r="L407" s="30">
        <v>0</v>
      </c>
      <c r="M407" s="30">
        <v>41</v>
      </c>
      <c r="N407" s="30">
        <v>41</v>
      </c>
    </row>
    <row r="408" spans="1:14">
      <c r="A408" s="30">
        <v>407</v>
      </c>
      <c r="B408" s="31">
        <v>40561</v>
      </c>
      <c r="C408" s="30">
        <v>22</v>
      </c>
      <c r="D408" s="37" t="s">
        <v>30</v>
      </c>
      <c r="E408" s="30" t="b">
        <v>0</v>
      </c>
      <c r="F408" s="37" t="s">
        <v>21</v>
      </c>
      <c r="G408" s="37" t="s">
        <v>9</v>
      </c>
      <c r="H408" s="30">
        <v>0.22</v>
      </c>
      <c r="I408" s="30">
        <v>0.26</v>
      </c>
      <c r="J408" s="30">
        <v>0.93</v>
      </c>
      <c r="K408" s="30">
        <v>0.09</v>
      </c>
      <c r="L408" s="30">
        <v>0</v>
      </c>
      <c r="M408" s="30">
        <v>33</v>
      </c>
      <c r="N408" s="30">
        <v>33</v>
      </c>
    </row>
    <row r="409" spans="1:14">
      <c r="A409" s="30">
        <v>408</v>
      </c>
      <c r="B409" s="31">
        <v>40561</v>
      </c>
      <c r="C409" s="30">
        <v>23</v>
      </c>
      <c r="D409" s="37" t="s">
        <v>30</v>
      </c>
      <c r="E409" s="30" t="b">
        <v>0</v>
      </c>
      <c r="F409" s="37" t="s">
        <v>21</v>
      </c>
      <c r="G409" s="37" t="s">
        <v>9</v>
      </c>
      <c r="H409" s="30">
        <v>0.22</v>
      </c>
      <c r="I409" s="30">
        <v>0.27</v>
      </c>
      <c r="J409" s="30">
        <v>0.93</v>
      </c>
      <c r="K409" s="30">
        <v>0</v>
      </c>
      <c r="L409" s="30">
        <v>1</v>
      </c>
      <c r="M409" s="30">
        <v>19</v>
      </c>
      <c r="N409" s="30">
        <v>20</v>
      </c>
    </row>
    <row r="410" spans="1:14">
      <c r="A410" s="30">
        <v>409</v>
      </c>
      <c r="B410" s="31">
        <v>40562</v>
      </c>
      <c r="C410" s="30">
        <v>0</v>
      </c>
      <c r="D410" s="37" t="s">
        <v>27</v>
      </c>
      <c r="E410" s="30" t="b">
        <v>0</v>
      </c>
      <c r="F410" s="37" t="s">
        <v>22</v>
      </c>
      <c r="G410" s="37" t="s">
        <v>9</v>
      </c>
      <c r="H410" s="30">
        <v>0.22</v>
      </c>
      <c r="I410" s="30">
        <v>0.27</v>
      </c>
      <c r="J410" s="30">
        <v>0.93</v>
      </c>
      <c r="K410" s="30">
        <v>0</v>
      </c>
      <c r="L410" s="30">
        <v>0</v>
      </c>
      <c r="M410" s="30">
        <v>3</v>
      </c>
      <c r="N410" s="30">
        <v>3</v>
      </c>
    </row>
    <row r="411" spans="1:14">
      <c r="A411" s="30">
        <v>410</v>
      </c>
      <c r="B411" s="31">
        <v>40562</v>
      </c>
      <c r="C411" s="30">
        <v>1</v>
      </c>
      <c r="D411" s="37" t="s">
        <v>27</v>
      </c>
      <c r="E411" s="30" t="b">
        <v>0</v>
      </c>
      <c r="F411" s="37" t="s">
        <v>22</v>
      </c>
      <c r="G411" s="37" t="s">
        <v>10</v>
      </c>
      <c r="H411" s="30">
        <v>0.22</v>
      </c>
      <c r="I411" s="30">
        <v>0.23</v>
      </c>
      <c r="J411" s="30">
        <v>0.93</v>
      </c>
      <c r="K411" s="30">
        <v>0.13</v>
      </c>
      <c r="L411" s="30">
        <v>1</v>
      </c>
      <c r="M411" s="30">
        <v>6</v>
      </c>
      <c r="N411" s="30">
        <v>7</v>
      </c>
    </row>
    <row r="412" spans="1:14">
      <c r="A412" s="30">
        <v>411</v>
      </c>
      <c r="B412" s="31">
        <v>40562</v>
      </c>
      <c r="C412" s="30">
        <v>2</v>
      </c>
      <c r="D412" s="37" t="s">
        <v>27</v>
      </c>
      <c r="E412" s="30" t="b">
        <v>0</v>
      </c>
      <c r="F412" s="37" t="s">
        <v>22</v>
      </c>
      <c r="G412" s="37" t="s">
        <v>10</v>
      </c>
      <c r="H412" s="30">
        <v>0.22</v>
      </c>
      <c r="I412" s="30">
        <v>0.23</v>
      </c>
      <c r="J412" s="30">
        <v>0.93</v>
      </c>
      <c r="K412" s="30">
        <v>0.13</v>
      </c>
      <c r="L412" s="30">
        <v>0</v>
      </c>
      <c r="M412" s="30">
        <v>3</v>
      </c>
      <c r="N412" s="30">
        <v>3</v>
      </c>
    </row>
    <row r="413" spans="1:14">
      <c r="A413" s="30">
        <v>412</v>
      </c>
      <c r="B413" s="31">
        <v>40562</v>
      </c>
      <c r="C413" s="30">
        <v>4</v>
      </c>
      <c r="D413" s="37" t="s">
        <v>27</v>
      </c>
      <c r="E413" s="30" t="b">
        <v>0</v>
      </c>
      <c r="F413" s="37" t="s">
        <v>22</v>
      </c>
      <c r="G413" s="37" t="s">
        <v>10</v>
      </c>
      <c r="H413" s="30">
        <v>0.22</v>
      </c>
      <c r="I413" s="30">
        <v>0.23</v>
      </c>
      <c r="J413" s="30">
        <v>0.93</v>
      </c>
      <c r="K413" s="30">
        <v>0.13</v>
      </c>
      <c r="L413" s="30">
        <v>1</v>
      </c>
      <c r="M413" s="30">
        <v>1</v>
      </c>
      <c r="N413" s="30">
        <v>2</v>
      </c>
    </row>
    <row r="414" spans="1:14">
      <c r="A414" s="30">
        <v>413</v>
      </c>
      <c r="B414" s="31">
        <v>40562</v>
      </c>
      <c r="C414" s="30">
        <v>5</v>
      </c>
      <c r="D414" s="37" t="s">
        <v>27</v>
      </c>
      <c r="E414" s="30" t="b">
        <v>0</v>
      </c>
      <c r="F414" s="37" t="s">
        <v>22</v>
      </c>
      <c r="G414" s="37" t="s">
        <v>9</v>
      </c>
      <c r="H414" s="30">
        <v>0.22</v>
      </c>
      <c r="I414" s="30">
        <v>0.26</v>
      </c>
      <c r="J414" s="30">
        <v>0.93</v>
      </c>
      <c r="K414" s="30">
        <v>0.09</v>
      </c>
      <c r="L414" s="30">
        <v>0</v>
      </c>
      <c r="M414" s="30">
        <v>7</v>
      </c>
      <c r="N414" s="30">
        <v>7</v>
      </c>
    </row>
    <row r="415" spans="1:14">
      <c r="A415" s="30">
        <v>414</v>
      </c>
      <c r="B415" s="31">
        <v>40562</v>
      </c>
      <c r="C415" s="30">
        <v>6</v>
      </c>
      <c r="D415" s="37" t="s">
        <v>28</v>
      </c>
      <c r="E415" s="30" t="b">
        <v>0</v>
      </c>
      <c r="F415" s="37" t="s">
        <v>22</v>
      </c>
      <c r="G415" s="37" t="s">
        <v>9</v>
      </c>
      <c r="H415" s="30">
        <v>0.22</v>
      </c>
      <c r="I415" s="30">
        <v>0.26</v>
      </c>
      <c r="J415" s="30">
        <v>0.93</v>
      </c>
      <c r="K415" s="30">
        <v>0.09</v>
      </c>
      <c r="L415" s="30">
        <v>0</v>
      </c>
      <c r="M415" s="30">
        <v>32</v>
      </c>
      <c r="N415" s="30">
        <v>32</v>
      </c>
    </row>
    <row r="416" spans="1:14">
      <c r="A416" s="30">
        <v>415</v>
      </c>
      <c r="B416" s="31">
        <v>40562</v>
      </c>
      <c r="C416" s="30">
        <v>7</v>
      </c>
      <c r="D416" s="37" t="s">
        <v>28</v>
      </c>
      <c r="E416" s="30" t="b">
        <v>0</v>
      </c>
      <c r="F416" s="37" t="s">
        <v>22</v>
      </c>
      <c r="G416" s="37" t="s">
        <v>9</v>
      </c>
      <c r="H416" s="30">
        <v>0.24</v>
      </c>
      <c r="I416" s="30">
        <v>0.26</v>
      </c>
      <c r="J416" s="30">
        <v>0.92</v>
      </c>
      <c r="K416" s="30">
        <v>0.1</v>
      </c>
      <c r="L416" s="30">
        <v>1</v>
      </c>
      <c r="M416" s="30">
        <v>89</v>
      </c>
      <c r="N416" s="30">
        <v>90</v>
      </c>
    </row>
    <row r="417" spans="1:14">
      <c r="A417" s="30">
        <v>416</v>
      </c>
      <c r="B417" s="31">
        <v>40562</v>
      </c>
      <c r="C417" s="30">
        <v>8</v>
      </c>
      <c r="D417" s="37" t="s">
        <v>28</v>
      </c>
      <c r="E417" s="30" t="b">
        <v>0</v>
      </c>
      <c r="F417" s="37" t="s">
        <v>22</v>
      </c>
      <c r="G417" s="37" t="s">
        <v>9</v>
      </c>
      <c r="H417" s="30">
        <v>0.24</v>
      </c>
      <c r="I417" s="30">
        <v>0.26</v>
      </c>
      <c r="J417" s="30">
        <v>0.93</v>
      </c>
      <c r="K417" s="30">
        <v>0.1</v>
      </c>
      <c r="L417" s="30">
        <v>1</v>
      </c>
      <c r="M417" s="30">
        <v>196</v>
      </c>
      <c r="N417" s="30">
        <v>197</v>
      </c>
    </row>
    <row r="418" spans="1:14">
      <c r="A418" s="30">
        <v>417</v>
      </c>
      <c r="B418" s="31">
        <v>40562</v>
      </c>
      <c r="C418" s="30">
        <v>9</v>
      </c>
      <c r="D418" s="37" t="s">
        <v>28</v>
      </c>
      <c r="E418" s="30" t="b">
        <v>0</v>
      </c>
      <c r="F418" s="37" t="s">
        <v>22</v>
      </c>
      <c r="G418" s="37" t="s">
        <v>9</v>
      </c>
      <c r="H418" s="30">
        <v>0.24</v>
      </c>
      <c r="I418" s="30">
        <v>0.26</v>
      </c>
      <c r="J418" s="30">
        <v>0.93</v>
      </c>
      <c r="K418" s="30">
        <v>0.1</v>
      </c>
      <c r="L418" s="30">
        <v>2</v>
      </c>
      <c r="M418" s="30">
        <v>107</v>
      </c>
      <c r="N418" s="30">
        <v>109</v>
      </c>
    </row>
    <row r="419" spans="1:14">
      <c r="A419" s="30">
        <v>418</v>
      </c>
      <c r="B419" s="31">
        <v>40562</v>
      </c>
      <c r="C419" s="30">
        <v>10</v>
      </c>
      <c r="D419" s="37" t="s">
        <v>28</v>
      </c>
      <c r="E419" s="30" t="b">
        <v>0</v>
      </c>
      <c r="F419" s="37" t="s">
        <v>22</v>
      </c>
      <c r="G419" s="37" t="s">
        <v>9</v>
      </c>
      <c r="H419" s="30">
        <v>0.26</v>
      </c>
      <c r="I419" s="30">
        <v>0.27</v>
      </c>
      <c r="J419" s="30">
        <v>0.93</v>
      </c>
      <c r="K419" s="30">
        <v>0.13</v>
      </c>
      <c r="L419" s="30">
        <v>1</v>
      </c>
      <c r="M419" s="30">
        <v>46</v>
      </c>
      <c r="N419" s="30">
        <v>47</v>
      </c>
    </row>
    <row r="420" spans="1:14">
      <c r="A420" s="30">
        <v>419</v>
      </c>
      <c r="B420" s="31">
        <v>40562</v>
      </c>
      <c r="C420" s="30">
        <v>11</v>
      </c>
      <c r="D420" s="37" t="s">
        <v>28</v>
      </c>
      <c r="E420" s="30" t="b">
        <v>0</v>
      </c>
      <c r="F420" s="37" t="s">
        <v>22</v>
      </c>
      <c r="G420" s="37" t="s">
        <v>9</v>
      </c>
      <c r="H420" s="30">
        <v>0.28000000000000003</v>
      </c>
      <c r="I420" s="30">
        <v>0.3</v>
      </c>
      <c r="J420" s="30">
        <v>0.87</v>
      </c>
      <c r="K420" s="30">
        <v>0.09</v>
      </c>
      <c r="L420" s="30">
        <v>5</v>
      </c>
      <c r="M420" s="30">
        <v>47</v>
      </c>
      <c r="N420" s="30">
        <v>52</v>
      </c>
    </row>
    <row r="421" spans="1:14">
      <c r="A421" s="30">
        <v>420</v>
      </c>
      <c r="B421" s="31">
        <v>40562</v>
      </c>
      <c r="C421" s="30">
        <v>12</v>
      </c>
      <c r="D421" s="37" t="s">
        <v>29</v>
      </c>
      <c r="E421" s="30" t="b">
        <v>0</v>
      </c>
      <c r="F421" s="37" t="s">
        <v>22</v>
      </c>
      <c r="G421" s="37" t="s">
        <v>9</v>
      </c>
      <c r="H421" s="30">
        <v>0.3</v>
      </c>
      <c r="I421" s="30">
        <v>0.32</v>
      </c>
      <c r="J421" s="30">
        <v>0.81</v>
      </c>
      <c r="K421" s="30">
        <v>0.09</v>
      </c>
      <c r="L421" s="30">
        <v>5</v>
      </c>
      <c r="M421" s="30">
        <v>65</v>
      </c>
      <c r="N421" s="30">
        <v>70</v>
      </c>
    </row>
    <row r="422" spans="1:14">
      <c r="A422" s="30">
        <v>421</v>
      </c>
      <c r="B422" s="31">
        <v>40562</v>
      </c>
      <c r="C422" s="30">
        <v>13</v>
      </c>
      <c r="D422" s="37" t="s">
        <v>29</v>
      </c>
      <c r="E422" s="30" t="b">
        <v>0</v>
      </c>
      <c r="F422" s="37" t="s">
        <v>22</v>
      </c>
      <c r="G422" s="37" t="s">
        <v>8</v>
      </c>
      <c r="H422" s="30">
        <v>0.4</v>
      </c>
      <c r="I422" s="30">
        <v>0.41</v>
      </c>
      <c r="J422" s="30">
        <v>0.62</v>
      </c>
      <c r="K422" s="30">
        <v>0.28000000000000003</v>
      </c>
      <c r="L422" s="30">
        <v>11</v>
      </c>
      <c r="M422" s="30">
        <v>67</v>
      </c>
      <c r="N422" s="30">
        <v>78</v>
      </c>
    </row>
    <row r="423" spans="1:14">
      <c r="A423" s="30">
        <v>422</v>
      </c>
      <c r="B423" s="31">
        <v>40562</v>
      </c>
      <c r="C423" s="30">
        <v>14</v>
      </c>
      <c r="D423" s="37" t="s">
        <v>29</v>
      </c>
      <c r="E423" s="30" t="b">
        <v>0</v>
      </c>
      <c r="F423" s="37" t="s">
        <v>22</v>
      </c>
      <c r="G423" s="37" t="s">
        <v>8</v>
      </c>
      <c r="H423" s="30">
        <v>0.4</v>
      </c>
      <c r="I423" s="30">
        <v>0.41</v>
      </c>
      <c r="J423" s="30">
        <v>0.57999999999999996</v>
      </c>
      <c r="K423" s="30">
        <v>0.25</v>
      </c>
      <c r="L423" s="30">
        <v>7</v>
      </c>
      <c r="M423" s="30">
        <v>68</v>
      </c>
      <c r="N423" s="30">
        <v>75</v>
      </c>
    </row>
    <row r="424" spans="1:14">
      <c r="A424" s="30">
        <v>423</v>
      </c>
      <c r="B424" s="31">
        <v>40562</v>
      </c>
      <c r="C424" s="30">
        <v>15</v>
      </c>
      <c r="D424" s="37" t="s">
        <v>29</v>
      </c>
      <c r="E424" s="30" t="b">
        <v>0</v>
      </c>
      <c r="F424" s="37" t="s">
        <v>22</v>
      </c>
      <c r="G424" s="37" t="s">
        <v>8</v>
      </c>
      <c r="H424" s="30">
        <v>0.4</v>
      </c>
      <c r="I424" s="30">
        <v>0.41</v>
      </c>
      <c r="J424" s="30">
        <v>0.54</v>
      </c>
      <c r="K424" s="30">
        <v>0.28000000000000003</v>
      </c>
      <c r="L424" s="30">
        <v>4</v>
      </c>
      <c r="M424" s="30">
        <v>78</v>
      </c>
      <c r="N424" s="30">
        <v>82</v>
      </c>
    </row>
    <row r="425" spans="1:14">
      <c r="A425" s="30">
        <v>424</v>
      </c>
      <c r="B425" s="31">
        <v>40562</v>
      </c>
      <c r="C425" s="30">
        <v>16</v>
      </c>
      <c r="D425" s="37" t="s">
        <v>29</v>
      </c>
      <c r="E425" s="30" t="b">
        <v>0</v>
      </c>
      <c r="F425" s="37" t="s">
        <v>22</v>
      </c>
      <c r="G425" s="37" t="s">
        <v>8</v>
      </c>
      <c r="H425" s="30">
        <v>0.38</v>
      </c>
      <c r="I425" s="30">
        <v>0.39</v>
      </c>
      <c r="J425" s="30">
        <v>0.57999999999999996</v>
      </c>
      <c r="K425" s="30">
        <v>0.39</v>
      </c>
      <c r="L425" s="30">
        <v>10</v>
      </c>
      <c r="M425" s="30">
        <v>94</v>
      </c>
      <c r="N425" s="30">
        <v>104</v>
      </c>
    </row>
    <row r="426" spans="1:14">
      <c r="A426" s="30">
        <v>425</v>
      </c>
      <c r="B426" s="31">
        <v>40562</v>
      </c>
      <c r="C426" s="30">
        <v>17</v>
      </c>
      <c r="D426" s="37" t="s">
        <v>29</v>
      </c>
      <c r="E426" s="30" t="b">
        <v>0</v>
      </c>
      <c r="F426" s="37" t="s">
        <v>22</v>
      </c>
      <c r="G426" s="37" t="s">
        <v>8</v>
      </c>
      <c r="H426" s="30">
        <v>0.36</v>
      </c>
      <c r="I426" s="30">
        <v>0.33</v>
      </c>
      <c r="J426" s="30">
        <v>0.56999999999999995</v>
      </c>
      <c r="K426" s="30">
        <v>0.33</v>
      </c>
      <c r="L426" s="30">
        <v>7</v>
      </c>
      <c r="M426" s="30">
        <v>190</v>
      </c>
      <c r="N426" s="30">
        <v>197</v>
      </c>
    </row>
    <row r="427" spans="1:14">
      <c r="A427" s="30">
        <v>426</v>
      </c>
      <c r="B427" s="31">
        <v>40562</v>
      </c>
      <c r="C427" s="30">
        <v>18</v>
      </c>
      <c r="D427" s="37" t="s">
        <v>30</v>
      </c>
      <c r="E427" s="30" t="b">
        <v>0</v>
      </c>
      <c r="F427" s="37" t="s">
        <v>22</v>
      </c>
      <c r="G427" s="37" t="s">
        <v>8</v>
      </c>
      <c r="H427" s="30">
        <v>0.34</v>
      </c>
      <c r="I427" s="30">
        <v>0.32</v>
      </c>
      <c r="J427" s="30">
        <v>0.61</v>
      </c>
      <c r="K427" s="30">
        <v>0.28000000000000003</v>
      </c>
      <c r="L427" s="30">
        <v>5</v>
      </c>
      <c r="M427" s="30">
        <v>156</v>
      </c>
      <c r="N427" s="30">
        <v>161</v>
      </c>
    </row>
    <row r="428" spans="1:14">
      <c r="A428" s="30">
        <v>427</v>
      </c>
      <c r="B428" s="31">
        <v>40562</v>
      </c>
      <c r="C428" s="30">
        <v>19</v>
      </c>
      <c r="D428" s="37" t="s">
        <v>30</v>
      </c>
      <c r="E428" s="30" t="b">
        <v>0</v>
      </c>
      <c r="F428" s="37" t="s">
        <v>22</v>
      </c>
      <c r="G428" s="37" t="s">
        <v>8</v>
      </c>
      <c r="H428" s="30">
        <v>0.32</v>
      </c>
      <c r="I428" s="30">
        <v>0.28999999999999998</v>
      </c>
      <c r="J428" s="30">
        <v>0.56999999999999995</v>
      </c>
      <c r="K428" s="30">
        <v>0.42</v>
      </c>
      <c r="L428" s="30">
        <v>4</v>
      </c>
      <c r="M428" s="30">
        <v>108</v>
      </c>
      <c r="N428" s="30">
        <v>112</v>
      </c>
    </row>
    <row r="429" spans="1:14">
      <c r="A429" s="30">
        <v>428</v>
      </c>
      <c r="B429" s="31">
        <v>40562</v>
      </c>
      <c r="C429" s="30">
        <v>20</v>
      </c>
      <c r="D429" s="37" t="s">
        <v>30</v>
      </c>
      <c r="E429" s="30" t="b">
        <v>0</v>
      </c>
      <c r="F429" s="37" t="s">
        <v>22</v>
      </c>
      <c r="G429" s="37" t="s">
        <v>8</v>
      </c>
      <c r="H429" s="30">
        <v>0.32</v>
      </c>
      <c r="I429" s="30">
        <v>0.3</v>
      </c>
      <c r="J429" s="30">
        <v>0.49</v>
      </c>
      <c r="K429" s="30">
        <v>0.3</v>
      </c>
      <c r="L429" s="30">
        <v>2</v>
      </c>
      <c r="M429" s="30">
        <v>74</v>
      </c>
      <c r="N429" s="30">
        <v>76</v>
      </c>
    </row>
    <row r="430" spans="1:14">
      <c r="A430" s="30">
        <v>429</v>
      </c>
      <c r="B430" s="31">
        <v>40562</v>
      </c>
      <c r="C430" s="30">
        <v>21</v>
      </c>
      <c r="D430" s="37" t="s">
        <v>30</v>
      </c>
      <c r="E430" s="30" t="b">
        <v>0</v>
      </c>
      <c r="F430" s="37" t="s">
        <v>22</v>
      </c>
      <c r="G430" s="37" t="s">
        <v>8</v>
      </c>
      <c r="H430" s="30">
        <v>0.32</v>
      </c>
      <c r="I430" s="30">
        <v>0.28999999999999998</v>
      </c>
      <c r="J430" s="30">
        <v>0.49</v>
      </c>
      <c r="K430" s="30">
        <v>0.42</v>
      </c>
      <c r="L430" s="30">
        <v>4</v>
      </c>
      <c r="M430" s="30">
        <v>55</v>
      </c>
      <c r="N430" s="30">
        <v>59</v>
      </c>
    </row>
    <row r="431" spans="1:14">
      <c r="A431" s="30">
        <v>430</v>
      </c>
      <c r="B431" s="31">
        <v>40562</v>
      </c>
      <c r="C431" s="30">
        <v>22</v>
      </c>
      <c r="D431" s="37" t="s">
        <v>30</v>
      </c>
      <c r="E431" s="30" t="b">
        <v>0</v>
      </c>
      <c r="F431" s="37" t="s">
        <v>22</v>
      </c>
      <c r="G431" s="37" t="s">
        <v>8</v>
      </c>
      <c r="H431" s="30">
        <v>0.3</v>
      </c>
      <c r="I431" s="30">
        <v>0.3</v>
      </c>
      <c r="J431" s="30">
        <v>0.52</v>
      </c>
      <c r="K431" s="30">
        <v>0.16</v>
      </c>
      <c r="L431" s="30">
        <v>6</v>
      </c>
      <c r="M431" s="30">
        <v>53</v>
      </c>
      <c r="N431" s="30">
        <v>59</v>
      </c>
    </row>
    <row r="432" spans="1:14">
      <c r="A432" s="30">
        <v>431</v>
      </c>
      <c r="B432" s="31">
        <v>40562</v>
      </c>
      <c r="C432" s="30">
        <v>23</v>
      </c>
      <c r="D432" s="37" t="s">
        <v>30</v>
      </c>
      <c r="E432" s="30" t="b">
        <v>0</v>
      </c>
      <c r="F432" s="37" t="s">
        <v>22</v>
      </c>
      <c r="G432" s="37" t="s">
        <v>8</v>
      </c>
      <c r="H432" s="30">
        <v>0.3</v>
      </c>
      <c r="I432" s="30">
        <v>0.27</v>
      </c>
      <c r="J432" s="30">
        <v>0.52</v>
      </c>
      <c r="K432" s="30">
        <v>0.46</v>
      </c>
      <c r="L432" s="30">
        <v>1</v>
      </c>
      <c r="M432" s="30">
        <v>27</v>
      </c>
      <c r="N432" s="30">
        <v>28</v>
      </c>
    </row>
    <row r="433" spans="1:14">
      <c r="A433" s="30">
        <v>432</v>
      </c>
      <c r="B433" s="31">
        <v>40563</v>
      </c>
      <c r="C433" s="30">
        <v>0</v>
      </c>
      <c r="D433" s="37" t="s">
        <v>27</v>
      </c>
      <c r="E433" s="30" t="b">
        <v>0</v>
      </c>
      <c r="F433" s="37" t="s">
        <v>23</v>
      </c>
      <c r="G433" s="37" t="s">
        <v>8</v>
      </c>
      <c r="H433" s="30">
        <v>0.26</v>
      </c>
      <c r="I433" s="30">
        <v>0.23</v>
      </c>
      <c r="J433" s="30">
        <v>0.56000000000000005</v>
      </c>
      <c r="K433" s="30">
        <v>0.39</v>
      </c>
      <c r="L433" s="30">
        <v>5</v>
      </c>
      <c r="M433" s="30">
        <v>8</v>
      </c>
      <c r="N433" s="30">
        <v>13</v>
      </c>
    </row>
    <row r="434" spans="1:14">
      <c r="A434" s="30">
        <v>433</v>
      </c>
      <c r="B434" s="31">
        <v>40563</v>
      </c>
      <c r="C434" s="30">
        <v>1</v>
      </c>
      <c r="D434" s="37" t="s">
        <v>27</v>
      </c>
      <c r="E434" s="30" t="b">
        <v>0</v>
      </c>
      <c r="F434" s="37" t="s">
        <v>23</v>
      </c>
      <c r="G434" s="37" t="s">
        <v>8</v>
      </c>
      <c r="H434" s="30">
        <v>0.26</v>
      </c>
      <c r="I434" s="30">
        <v>0.27</v>
      </c>
      <c r="J434" s="30">
        <v>0.56000000000000005</v>
      </c>
      <c r="K434" s="30">
        <v>0</v>
      </c>
      <c r="L434" s="30">
        <v>2</v>
      </c>
      <c r="M434" s="30">
        <v>3</v>
      </c>
      <c r="N434" s="30">
        <v>5</v>
      </c>
    </row>
    <row r="435" spans="1:14">
      <c r="A435" s="30">
        <v>434</v>
      </c>
      <c r="B435" s="31">
        <v>40563</v>
      </c>
      <c r="C435" s="30">
        <v>2</v>
      </c>
      <c r="D435" s="37" t="s">
        <v>27</v>
      </c>
      <c r="E435" s="30" t="b">
        <v>0</v>
      </c>
      <c r="F435" s="37" t="s">
        <v>23</v>
      </c>
      <c r="G435" s="37" t="s">
        <v>8</v>
      </c>
      <c r="H435" s="30">
        <v>0.26</v>
      </c>
      <c r="I435" s="30">
        <v>0.27</v>
      </c>
      <c r="J435" s="30">
        <v>0.56000000000000005</v>
      </c>
      <c r="K435" s="30">
        <v>0</v>
      </c>
      <c r="L435" s="30">
        <v>0</v>
      </c>
      <c r="M435" s="30">
        <v>2</v>
      </c>
      <c r="N435" s="30">
        <v>2</v>
      </c>
    </row>
    <row r="436" spans="1:14">
      <c r="A436" s="30">
        <v>435</v>
      </c>
      <c r="B436" s="31">
        <v>40563</v>
      </c>
      <c r="C436" s="30">
        <v>3</v>
      </c>
      <c r="D436" s="37" t="s">
        <v>27</v>
      </c>
      <c r="E436" s="30" t="b">
        <v>0</v>
      </c>
      <c r="F436" s="37" t="s">
        <v>23</v>
      </c>
      <c r="G436" s="37" t="s">
        <v>8</v>
      </c>
      <c r="H436" s="30">
        <v>0.26</v>
      </c>
      <c r="I436" s="30">
        <v>0.26</v>
      </c>
      <c r="J436" s="30">
        <v>0.56000000000000005</v>
      </c>
      <c r="K436" s="30">
        <v>0.16</v>
      </c>
      <c r="L436" s="30">
        <v>0</v>
      </c>
      <c r="M436" s="30">
        <v>1</v>
      </c>
      <c r="N436" s="30">
        <v>1</v>
      </c>
    </row>
    <row r="437" spans="1:14">
      <c r="A437" s="30">
        <v>436</v>
      </c>
      <c r="B437" s="31">
        <v>40563</v>
      </c>
      <c r="C437" s="30">
        <v>4</v>
      </c>
      <c r="D437" s="37" t="s">
        <v>27</v>
      </c>
      <c r="E437" s="30" t="b">
        <v>0</v>
      </c>
      <c r="F437" s="37" t="s">
        <v>23</v>
      </c>
      <c r="G437" s="37" t="s">
        <v>8</v>
      </c>
      <c r="H437" s="30">
        <v>0.26</v>
      </c>
      <c r="I437" s="30">
        <v>0.26</v>
      </c>
      <c r="J437" s="30">
        <v>0.56000000000000005</v>
      </c>
      <c r="K437" s="30">
        <v>0.16</v>
      </c>
      <c r="L437" s="30">
        <v>0</v>
      </c>
      <c r="M437" s="30">
        <v>1</v>
      </c>
      <c r="N437" s="30">
        <v>1</v>
      </c>
    </row>
    <row r="438" spans="1:14">
      <c r="A438" s="30">
        <v>437</v>
      </c>
      <c r="B438" s="31">
        <v>40563</v>
      </c>
      <c r="C438" s="30">
        <v>5</v>
      </c>
      <c r="D438" s="37" t="s">
        <v>27</v>
      </c>
      <c r="E438" s="30" t="b">
        <v>0</v>
      </c>
      <c r="F438" s="37" t="s">
        <v>23</v>
      </c>
      <c r="G438" s="37" t="s">
        <v>8</v>
      </c>
      <c r="H438" s="30">
        <v>0.24</v>
      </c>
      <c r="I438" s="30">
        <v>0.23</v>
      </c>
      <c r="J438" s="30">
        <v>0.6</v>
      </c>
      <c r="K438" s="30">
        <v>0.22</v>
      </c>
      <c r="L438" s="30">
        <v>0</v>
      </c>
      <c r="M438" s="30">
        <v>6</v>
      </c>
      <c r="N438" s="30">
        <v>6</v>
      </c>
    </row>
    <row r="439" spans="1:14">
      <c r="A439" s="30">
        <v>438</v>
      </c>
      <c r="B439" s="31">
        <v>40563</v>
      </c>
      <c r="C439" s="30">
        <v>6</v>
      </c>
      <c r="D439" s="37" t="s">
        <v>28</v>
      </c>
      <c r="E439" s="30" t="b">
        <v>0</v>
      </c>
      <c r="F439" s="37" t="s">
        <v>23</v>
      </c>
      <c r="G439" s="37" t="s">
        <v>8</v>
      </c>
      <c r="H439" s="30">
        <v>0.22</v>
      </c>
      <c r="I439" s="30">
        <v>0.21</v>
      </c>
      <c r="J439" s="30">
        <v>0.6</v>
      </c>
      <c r="K439" s="30">
        <v>0.22</v>
      </c>
      <c r="L439" s="30">
        <v>0</v>
      </c>
      <c r="M439" s="30">
        <v>35</v>
      </c>
      <c r="N439" s="30">
        <v>35</v>
      </c>
    </row>
    <row r="440" spans="1:14">
      <c r="A440" s="30">
        <v>439</v>
      </c>
      <c r="B440" s="31">
        <v>40563</v>
      </c>
      <c r="C440" s="30">
        <v>7</v>
      </c>
      <c r="D440" s="37" t="s">
        <v>28</v>
      </c>
      <c r="E440" s="30" t="b">
        <v>0</v>
      </c>
      <c r="F440" s="37" t="s">
        <v>23</v>
      </c>
      <c r="G440" s="37" t="s">
        <v>8</v>
      </c>
      <c r="H440" s="30">
        <v>0.22</v>
      </c>
      <c r="I440" s="30">
        <v>0.21</v>
      </c>
      <c r="J440" s="30">
        <v>0.55000000000000004</v>
      </c>
      <c r="K440" s="30">
        <v>0.22</v>
      </c>
      <c r="L440" s="30">
        <v>1</v>
      </c>
      <c r="M440" s="30">
        <v>100</v>
      </c>
      <c r="N440" s="30">
        <v>101</v>
      </c>
    </row>
    <row r="441" spans="1:14">
      <c r="A441" s="30">
        <v>440</v>
      </c>
      <c r="B441" s="31">
        <v>40563</v>
      </c>
      <c r="C441" s="30">
        <v>8</v>
      </c>
      <c r="D441" s="37" t="s">
        <v>28</v>
      </c>
      <c r="E441" s="30" t="b">
        <v>0</v>
      </c>
      <c r="F441" s="37" t="s">
        <v>23</v>
      </c>
      <c r="G441" s="37" t="s">
        <v>8</v>
      </c>
      <c r="H441" s="30">
        <v>0.22</v>
      </c>
      <c r="I441" s="30">
        <v>0.21</v>
      </c>
      <c r="J441" s="30">
        <v>0.55000000000000004</v>
      </c>
      <c r="K441" s="30">
        <v>0.28000000000000003</v>
      </c>
      <c r="L441" s="30">
        <v>2</v>
      </c>
      <c r="M441" s="30">
        <v>247</v>
      </c>
      <c r="N441" s="30">
        <v>249</v>
      </c>
    </row>
    <row r="442" spans="1:14">
      <c r="A442" s="30">
        <v>441</v>
      </c>
      <c r="B442" s="31">
        <v>40563</v>
      </c>
      <c r="C442" s="30">
        <v>9</v>
      </c>
      <c r="D442" s="37" t="s">
        <v>28</v>
      </c>
      <c r="E442" s="30" t="b">
        <v>0</v>
      </c>
      <c r="F442" s="37" t="s">
        <v>23</v>
      </c>
      <c r="G442" s="37" t="s">
        <v>9</v>
      </c>
      <c r="H442" s="30">
        <v>0.24</v>
      </c>
      <c r="I442" s="30">
        <v>0.23</v>
      </c>
      <c r="J442" s="30">
        <v>0.52</v>
      </c>
      <c r="K442" s="30">
        <v>0.22</v>
      </c>
      <c r="L442" s="30">
        <v>3</v>
      </c>
      <c r="M442" s="30">
        <v>140</v>
      </c>
      <c r="N442" s="30">
        <v>143</v>
      </c>
    </row>
    <row r="443" spans="1:14">
      <c r="A443" s="30">
        <v>442</v>
      </c>
      <c r="B443" s="31">
        <v>40563</v>
      </c>
      <c r="C443" s="30">
        <v>10</v>
      </c>
      <c r="D443" s="37" t="s">
        <v>28</v>
      </c>
      <c r="E443" s="30" t="b">
        <v>0</v>
      </c>
      <c r="F443" s="37" t="s">
        <v>23</v>
      </c>
      <c r="G443" s="37" t="s">
        <v>8</v>
      </c>
      <c r="H443" s="30">
        <v>0.26</v>
      </c>
      <c r="I443" s="30">
        <v>0.23</v>
      </c>
      <c r="J443" s="30">
        <v>0.48</v>
      </c>
      <c r="K443" s="30">
        <v>0.3</v>
      </c>
      <c r="L443" s="30">
        <v>1</v>
      </c>
      <c r="M443" s="30">
        <v>56</v>
      </c>
      <c r="N443" s="30">
        <v>57</v>
      </c>
    </row>
    <row r="444" spans="1:14">
      <c r="A444" s="30">
        <v>443</v>
      </c>
      <c r="B444" s="31">
        <v>40563</v>
      </c>
      <c r="C444" s="30">
        <v>11</v>
      </c>
      <c r="D444" s="37" t="s">
        <v>28</v>
      </c>
      <c r="E444" s="30" t="b">
        <v>0</v>
      </c>
      <c r="F444" s="37" t="s">
        <v>23</v>
      </c>
      <c r="G444" s="37" t="s">
        <v>9</v>
      </c>
      <c r="H444" s="30">
        <v>0.28000000000000003</v>
      </c>
      <c r="I444" s="30">
        <v>0.27</v>
      </c>
      <c r="J444" s="30">
        <v>0.45</v>
      </c>
      <c r="K444" s="30">
        <v>0.16</v>
      </c>
      <c r="L444" s="30">
        <v>5</v>
      </c>
      <c r="M444" s="30">
        <v>63</v>
      </c>
      <c r="N444" s="30">
        <v>68</v>
      </c>
    </row>
    <row r="445" spans="1:14">
      <c r="A445" s="30">
        <v>444</v>
      </c>
      <c r="B445" s="31">
        <v>40563</v>
      </c>
      <c r="C445" s="30">
        <v>12</v>
      </c>
      <c r="D445" s="37" t="s">
        <v>29</v>
      </c>
      <c r="E445" s="30" t="b">
        <v>0</v>
      </c>
      <c r="F445" s="37" t="s">
        <v>23</v>
      </c>
      <c r="G445" s="37" t="s">
        <v>9</v>
      </c>
      <c r="H445" s="30">
        <v>0.3</v>
      </c>
      <c r="I445" s="30">
        <v>0.33</v>
      </c>
      <c r="J445" s="30">
        <v>0.42</v>
      </c>
      <c r="K445" s="30">
        <v>0</v>
      </c>
      <c r="L445" s="30">
        <v>7</v>
      </c>
      <c r="M445" s="30">
        <v>77</v>
      </c>
      <c r="N445" s="30">
        <v>84</v>
      </c>
    </row>
    <row r="446" spans="1:14">
      <c r="A446" s="30">
        <v>445</v>
      </c>
      <c r="B446" s="31">
        <v>40563</v>
      </c>
      <c r="C446" s="30">
        <v>13</v>
      </c>
      <c r="D446" s="37" t="s">
        <v>29</v>
      </c>
      <c r="E446" s="30" t="b">
        <v>0</v>
      </c>
      <c r="F446" s="37" t="s">
        <v>23</v>
      </c>
      <c r="G446" s="37" t="s">
        <v>9</v>
      </c>
      <c r="H446" s="30">
        <v>0.28000000000000003</v>
      </c>
      <c r="I446" s="30">
        <v>0.28999999999999998</v>
      </c>
      <c r="J446" s="30">
        <v>0.45</v>
      </c>
      <c r="K446" s="30">
        <v>0.1</v>
      </c>
      <c r="L446" s="30">
        <v>12</v>
      </c>
      <c r="M446" s="30">
        <v>86</v>
      </c>
      <c r="N446" s="30">
        <v>98</v>
      </c>
    </row>
    <row r="447" spans="1:14">
      <c r="A447" s="30">
        <v>446</v>
      </c>
      <c r="B447" s="31">
        <v>40563</v>
      </c>
      <c r="C447" s="30">
        <v>14</v>
      </c>
      <c r="D447" s="37" t="s">
        <v>29</v>
      </c>
      <c r="E447" s="30" t="b">
        <v>0</v>
      </c>
      <c r="F447" s="37" t="s">
        <v>23</v>
      </c>
      <c r="G447" s="37" t="s">
        <v>9</v>
      </c>
      <c r="H447" s="30">
        <v>0.3</v>
      </c>
      <c r="I447" s="30">
        <v>0.3</v>
      </c>
      <c r="J447" s="30">
        <v>0.45</v>
      </c>
      <c r="K447" s="30">
        <v>0.13</v>
      </c>
      <c r="L447" s="30">
        <v>6</v>
      </c>
      <c r="M447" s="30">
        <v>75</v>
      </c>
      <c r="N447" s="30">
        <v>81</v>
      </c>
    </row>
    <row r="448" spans="1:14">
      <c r="A448" s="30">
        <v>447</v>
      </c>
      <c r="B448" s="31">
        <v>40563</v>
      </c>
      <c r="C448" s="30">
        <v>15</v>
      </c>
      <c r="D448" s="37" t="s">
        <v>29</v>
      </c>
      <c r="E448" s="30" t="b">
        <v>0</v>
      </c>
      <c r="F448" s="37" t="s">
        <v>23</v>
      </c>
      <c r="G448" s="37" t="s">
        <v>9</v>
      </c>
      <c r="H448" s="30">
        <v>0.32</v>
      </c>
      <c r="I448" s="30">
        <v>0.32</v>
      </c>
      <c r="J448" s="30">
        <v>0.45</v>
      </c>
      <c r="K448" s="30">
        <v>0.19</v>
      </c>
      <c r="L448" s="30">
        <v>8</v>
      </c>
      <c r="M448" s="30">
        <v>62</v>
      </c>
      <c r="N448" s="30">
        <v>70</v>
      </c>
    </row>
    <row r="449" spans="1:14">
      <c r="A449" s="30">
        <v>448</v>
      </c>
      <c r="B449" s="31">
        <v>40563</v>
      </c>
      <c r="C449" s="30">
        <v>16</v>
      </c>
      <c r="D449" s="37" t="s">
        <v>29</v>
      </c>
      <c r="E449" s="30" t="b">
        <v>0</v>
      </c>
      <c r="F449" s="37" t="s">
        <v>23</v>
      </c>
      <c r="G449" s="37" t="s">
        <v>9</v>
      </c>
      <c r="H449" s="30">
        <v>0.3</v>
      </c>
      <c r="I449" s="30">
        <v>0.3</v>
      </c>
      <c r="J449" s="30">
        <v>0.49</v>
      </c>
      <c r="K449" s="30">
        <v>0.13</v>
      </c>
      <c r="L449" s="30">
        <v>8</v>
      </c>
      <c r="M449" s="30">
        <v>83</v>
      </c>
      <c r="N449" s="30">
        <v>91</v>
      </c>
    </row>
    <row r="450" spans="1:14">
      <c r="A450" s="30">
        <v>449</v>
      </c>
      <c r="B450" s="31">
        <v>40563</v>
      </c>
      <c r="C450" s="30">
        <v>17</v>
      </c>
      <c r="D450" s="37" t="s">
        <v>29</v>
      </c>
      <c r="E450" s="30" t="b">
        <v>0</v>
      </c>
      <c r="F450" s="37" t="s">
        <v>23</v>
      </c>
      <c r="G450" s="37" t="s">
        <v>9</v>
      </c>
      <c r="H450" s="30">
        <v>0.3</v>
      </c>
      <c r="I450" s="30">
        <v>0.32</v>
      </c>
      <c r="J450" s="30">
        <v>0.49</v>
      </c>
      <c r="K450" s="30">
        <v>0.1</v>
      </c>
      <c r="L450" s="30">
        <v>8</v>
      </c>
      <c r="M450" s="30">
        <v>207</v>
      </c>
      <c r="N450" s="30">
        <v>215</v>
      </c>
    </row>
    <row r="451" spans="1:14">
      <c r="A451" s="30">
        <v>450</v>
      </c>
      <c r="B451" s="31">
        <v>40563</v>
      </c>
      <c r="C451" s="30">
        <v>18</v>
      </c>
      <c r="D451" s="37" t="s">
        <v>30</v>
      </c>
      <c r="E451" s="30" t="b">
        <v>0</v>
      </c>
      <c r="F451" s="37" t="s">
        <v>23</v>
      </c>
      <c r="G451" s="37" t="s">
        <v>9</v>
      </c>
      <c r="H451" s="30">
        <v>0.26</v>
      </c>
      <c r="I451" s="30">
        <v>0.26</v>
      </c>
      <c r="J451" s="30">
        <v>0.56000000000000005</v>
      </c>
      <c r="K451" s="30">
        <v>0.19</v>
      </c>
      <c r="L451" s="30">
        <v>1</v>
      </c>
      <c r="M451" s="30">
        <v>184</v>
      </c>
      <c r="N451" s="30">
        <v>185</v>
      </c>
    </row>
    <row r="452" spans="1:14">
      <c r="A452" s="30">
        <v>451</v>
      </c>
      <c r="B452" s="31">
        <v>40563</v>
      </c>
      <c r="C452" s="30">
        <v>19</v>
      </c>
      <c r="D452" s="37" t="s">
        <v>30</v>
      </c>
      <c r="E452" s="30" t="b">
        <v>0</v>
      </c>
      <c r="F452" s="37" t="s">
        <v>23</v>
      </c>
      <c r="G452" s="37" t="s">
        <v>8</v>
      </c>
      <c r="H452" s="30">
        <v>0.26</v>
      </c>
      <c r="I452" s="30">
        <v>0.23</v>
      </c>
      <c r="J452" s="30">
        <v>0.56000000000000005</v>
      </c>
      <c r="K452" s="30">
        <v>0.33</v>
      </c>
      <c r="L452" s="30">
        <v>6</v>
      </c>
      <c r="M452" s="30">
        <v>146</v>
      </c>
      <c r="N452" s="30">
        <v>152</v>
      </c>
    </row>
    <row r="453" spans="1:14">
      <c r="A453" s="30">
        <v>452</v>
      </c>
      <c r="B453" s="31">
        <v>40563</v>
      </c>
      <c r="C453" s="30">
        <v>20</v>
      </c>
      <c r="D453" s="37" t="s">
        <v>30</v>
      </c>
      <c r="E453" s="30" t="b">
        <v>0</v>
      </c>
      <c r="F453" s="37" t="s">
        <v>23</v>
      </c>
      <c r="G453" s="37" t="s">
        <v>9</v>
      </c>
      <c r="H453" s="30">
        <v>0.26</v>
      </c>
      <c r="I453" s="30">
        <v>0.24</v>
      </c>
      <c r="J453" s="30">
        <v>0.6</v>
      </c>
      <c r="K453" s="30">
        <v>0.28000000000000003</v>
      </c>
      <c r="L453" s="30">
        <v>2</v>
      </c>
      <c r="M453" s="30">
        <v>124</v>
      </c>
      <c r="N453" s="30">
        <v>126</v>
      </c>
    </row>
    <row r="454" spans="1:14">
      <c r="A454" s="30">
        <v>453</v>
      </c>
      <c r="B454" s="31">
        <v>40563</v>
      </c>
      <c r="C454" s="30">
        <v>21</v>
      </c>
      <c r="D454" s="37" t="s">
        <v>30</v>
      </c>
      <c r="E454" s="30" t="b">
        <v>0</v>
      </c>
      <c r="F454" s="37" t="s">
        <v>23</v>
      </c>
      <c r="G454" s="37" t="s">
        <v>9</v>
      </c>
      <c r="H454" s="30">
        <v>0.24</v>
      </c>
      <c r="I454" s="30">
        <v>0.23</v>
      </c>
      <c r="J454" s="30">
        <v>0.6</v>
      </c>
      <c r="K454" s="30">
        <v>0.25</v>
      </c>
      <c r="L454" s="30">
        <v>3</v>
      </c>
      <c r="M454" s="30">
        <v>54</v>
      </c>
      <c r="N454" s="30">
        <v>57</v>
      </c>
    </row>
    <row r="455" spans="1:14">
      <c r="A455" s="30">
        <v>454</v>
      </c>
      <c r="B455" s="31">
        <v>40563</v>
      </c>
      <c r="C455" s="30">
        <v>22</v>
      </c>
      <c r="D455" s="37" t="s">
        <v>30</v>
      </c>
      <c r="E455" s="30" t="b">
        <v>0</v>
      </c>
      <c r="F455" s="37" t="s">
        <v>23</v>
      </c>
      <c r="G455" s="37" t="s">
        <v>9</v>
      </c>
      <c r="H455" s="30">
        <v>0.24</v>
      </c>
      <c r="I455" s="30">
        <v>0.21</v>
      </c>
      <c r="J455" s="30">
        <v>0.65</v>
      </c>
      <c r="K455" s="30">
        <v>0.28000000000000003</v>
      </c>
      <c r="L455" s="30">
        <v>0</v>
      </c>
      <c r="M455" s="30">
        <v>56</v>
      </c>
      <c r="N455" s="30">
        <v>56</v>
      </c>
    </row>
    <row r="456" spans="1:14">
      <c r="A456" s="30">
        <v>455</v>
      </c>
      <c r="B456" s="31">
        <v>40563</v>
      </c>
      <c r="C456" s="30">
        <v>23</v>
      </c>
      <c r="D456" s="37" t="s">
        <v>30</v>
      </c>
      <c r="E456" s="30" t="b">
        <v>0</v>
      </c>
      <c r="F456" s="37" t="s">
        <v>23</v>
      </c>
      <c r="G456" s="37" t="s">
        <v>9</v>
      </c>
      <c r="H456" s="30">
        <v>0.24</v>
      </c>
      <c r="I456" s="30">
        <v>0.21</v>
      </c>
      <c r="J456" s="30">
        <v>0.65</v>
      </c>
      <c r="K456" s="30">
        <v>0.33</v>
      </c>
      <c r="L456" s="30">
        <v>3</v>
      </c>
      <c r="M456" s="30">
        <v>28</v>
      </c>
      <c r="N456" s="30">
        <v>31</v>
      </c>
    </row>
    <row r="457" spans="1:14">
      <c r="A457" s="30">
        <v>456</v>
      </c>
      <c r="B457" s="31">
        <v>40564</v>
      </c>
      <c r="C457" s="30">
        <v>0</v>
      </c>
      <c r="D457" s="37" t="s">
        <v>27</v>
      </c>
      <c r="E457" s="30" t="b">
        <v>0</v>
      </c>
      <c r="F457" s="37" t="s">
        <v>24</v>
      </c>
      <c r="G457" s="37" t="s">
        <v>9</v>
      </c>
      <c r="H457" s="30">
        <v>0.24</v>
      </c>
      <c r="I457" s="30">
        <v>0.23</v>
      </c>
      <c r="J457" s="30">
        <v>0.7</v>
      </c>
      <c r="K457" s="30">
        <v>0.25</v>
      </c>
      <c r="L457" s="30">
        <v>1</v>
      </c>
      <c r="M457" s="30">
        <v>20</v>
      </c>
      <c r="N457" s="30">
        <v>21</v>
      </c>
    </row>
    <row r="458" spans="1:14">
      <c r="A458" s="30">
        <v>457</v>
      </c>
      <c r="B458" s="31">
        <v>40564</v>
      </c>
      <c r="C458" s="30">
        <v>1</v>
      </c>
      <c r="D458" s="37" t="s">
        <v>27</v>
      </c>
      <c r="E458" s="30" t="b">
        <v>0</v>
      </c>
      <c r="F458" s="37" t="s">
        <v>24</v>
      </c>
      <c r="G458" s="37" t="s">
        <v>9</v>
      </c>
      <c r="H458" s="30">
        <v>0.24</v>
      </c>
      <c r="I458" s="30">
        <v>0.23</v>
      </c>
      <c r="J458" s="30">
        <v>0.7</v>
      </c>
      <c r="K458" s="30">
        <v>0.25</v>
      </c>
      <c r="L458" s="30">
        <v>0</v>
      </c>
      <c r="M458" s="30">
        <v>6</v>
      </c>
      <c r="N458" s="30">
        <v>6</v>
      </c>
    </row>
    <row r="459" spans="1:14">
      <c r="A459" s="30">
        <v>458</v>
      </c>
      <c r="B459" s="31">
        <v>40564</v>
      </c>
      <c r="C459" s="30">
        <v>2</v>
      </c>
      <c r="D459" s="37" t="s">
        <v>27</v>
      </c>
      <c r="E459" s="30" t="b">
        <v>0</v>
      </c>
      <c r="F459" s="37" t="s">
        <v>24</v>
      </c>
      <c r="G459" s="37" t="s">
        <v>10</v>
      </c>
      <c r="H459" s="30">
        <v>0.24</v>
      </c>
      <c r="I459" s="30">
        <v>0.24</v>
      </c>
      <c r="J459" s="30">
        <v>0.75</v>
      </c>
      <c r="K459" s="30">
        <v>0.16</v>
      </c>
      <c r="L459" s="30">
        <v>0</v>
      </c>
      <c r="M459" s="30">
        <v>2</v>
      </c>
      <c r="N459" s="30">
        <v>2</v>
      </c>
    </row>
    <row r="460" spans="1:14">
      <c r="A460" s="30">
        <v>459</v>
      </c>
      <c r="B460" s="31">
        <v>40564</v>
      </c>
      <c r="C460" s="30">
        <v>3</v>
      </c>
      <c r="D460" s="37" t="s">
        <v>27</v>
      </c>
      <c r="E460" s="30" t="b">
        <v>0</v>
      </c>
      <c r="F460" s="37" t="s">
        <v>24</v>
      </c>
      <c r="G460" s="37" t="s">
        <v>10</v>
      </c>
      <c r="H460" s="30">
        <v>0.22</v>
      </c>
      <c r="I460" s="30">
        <v>0.21</v>
      </c>
      <c r="J460" s="30">
        <v>0.8</v>
      </c>
      <c r="K460" s="30">
        <v>0.3</v>
      </c>
      <c r="L460" s="30">
        <v>0</v>
      </c>
      <c r="M460" s="30">
        <v>1</v>
      </c>
      <c r="N460" s="30">
        <v>1</v>
      </c>
    </row>
    <row r="461" spans="1:14">
      <c r="A461" s="30">
        <v>460</v>
      </c>
      <c r="B461" s="31">
        <v>40564</v>
      </c>
      <c r="C461" s="30">
        <v>4</v>
      </c>
      <c r="D461" s="37" t="s">
        <v>27</v>
      </c>
      <c r="E461" s="30" t="b">
        <v>0</v>
      </c>
      <c r="F461" s="37" t="s">
        <v>24</v>
      </c>
      <c r="G461" s="37" t="s">
        <v>9</v>
      </c>
      <c r="H461" s="30">
        <v>0.22</v>
      </c>
      <c r="I461" s="30">
        <v>0.26</v>
      </c>
      <c r="J461" s="30">
        <v>0.87</v>
      </c>
      <c r="K461" s="30">
        <v>0.09</v>
      </c>
      <c r="L461" s="30">
        <v>0</v>
      </c>
      <c r="M461" s="30">
        <v>1</v>
      </c>
      <c r="N461" s="30">
        <v>1</v>
      </c>
    </row>
    <row r="462" spans="1:14">
      <c r="A462" s="30">
        <v>461</v>
      </c>
      <c r="B462" s="31">
        <v>40564</v>
      </c>
      <c r="C462" s="30">
        <v>5</v>
      </c>
      <c r="D462" s="37" t="s">
        <v>27</v>
      </c>
      <c r="E462" s="30" t="b">
        <v>0</v>
      </c>
      <c r="F462" s="37" t="s">
        <v>24</v>
      </c>
      <c r="G462" s="37" t="s">
        <v>8</v>
      </c>
      <c r="H462" s="30">
        <v>0.24</v>
      </c>
      <c r="I462" s="30">
        <v>0.2</v>
      </c>
      <c r="J462" s="30">
        <v>0.6</v>
      </c>
      <c r="K462" s="30">
        <v>0.42</v>
      </c>
      <c r="L462" s="30">
        <v>1</v>
      </c>
      <c r="M462" s="30">
        <v>4</v>
      </c>
      <c r="N462" s="30">
        <v>5</v>
      </c>
    </row>
    <row r="463" spans="1:14">
      <c r="A463" s="30">
        <v>462</v>
      </c>
      <c r="B463" s="31">
        <v>40564</v>
      </c>
      <c r="C463" s="30">
        <v>6</v>
      </c>
      <c r="D463" s="37" t="s">
        <v>28</v>
      </c>
      <c r="E463" s="30" t="b">
        <v>0</v>
      </c>
      <c r="F463" s="37" t="s">
        <v>24</v>
      </c>
      <c r="G463" s="37" t="s">
        <v>8</v>
      </c>
      <c r="H463" s="30">
        <v>0.22</v>
      </c>
      <c r="I463" s="30">
        <v>0.21</v>
      </c>
      <c r="J463" s="30">
        <v>0.55000000000000004</v>
      </c>
      <c r="K463" s="30">
        <v>0.25</v>
      </c>
      <c r="L463" s="30">
        <v>0</v>
      </c>
      <c r="M463" s="30">
        <v>27</v>
      </c>
      <c r="N463" s="30">
        <v>27</v>
      </c>
    </row>
    <row r="464" spans="1:14">
      <c r="A464" s="30">
        <v>463</v>
      </c>
      <c r="B464" s="31">
        <v>40564</v>
      </c>
      <c r="C464" s="30">
        <v>7</v>
      </c>
      <c r="D464" s="37" t="s">
        <v>28</v>
      </c>
      <c r="E464" s="30" t="b">
        <v>0</v>
      </c>
      <c r="F464" s="37" t="s">
        <v>24</v>
      </c>
      <c r="G464" s="37" t="s">
        <v>8</v>
      </c>
      <c r="H464" s="30">
        <v>0.2</v>
      </c>
      <c r="I464" s="30">
        <v>0.18</v>
      </c>
      <c r="J464" s="30">
        <v>0.51</v>
      </c>
      <c r="K464" s="30">
        <v>0.28000000000000003</v>
      </c>
      <c r="L464" s="30">
        <v>2</v>
      </c>
      <c r="M464" s="30">
        <v>66</v>
      </c>
      <c r="N464" s="30">
        <v>68</v>
      </c>
    </row>
    <row r="465" spans="1:14">
      <c r="A465" s="30">
        <v>464</v>
      </c>
      <c r="B465" s="31">
        <v>40564</v>
      </c>
      <c r="C465" s="30">
        <v>8</v>
      </c>
      <c r="D465" s="37" t="s">
        <v>28</v>
      </c>
      <c r="E465" s="30" t="b">
        <v>0</v>
      </c>
      <c r="F465" s="37" t="s">
        <v>24</v>
      </c>
      <c r="G465" s="37" t="s">
        <v>8</v>
      </c>
      <c r="H465" s="30">
        <v>0.2</v>
      </c>
      <c r="I465" s="30">
        <v>0.18</v>
      </c>
      <c r="J465" s="30">
        <v>0.47</v>
      </c>
      <c r="K465" s="30">
        <v>0.33</v>
      </c>
      <c r="L465" s="30">
        <v>7</v>
      </c>
      <c r="M465" s="30">
        <v>210</v>
      </c>
      <c r="N465" s="30">
        <v>217</v>
      </c>
    </row>
    <row r="466" spans="1:14">
      <c r="A466" s="30">
        <v>465</v>
      </c>
      <c r="B466" s="31">
        <v>40564</v>
      </c>
      <c r="C466" s="30">
        <v>9</v>
      </c>
      <c r="D466" s="37" t="s">
        <v>28</v>
      </c>
      <c r="E466" s="30" t="b">
        <v>0</v>
      </c>
      <c r="F466" s="37" t="s">
        <v>24</v>
      </c>
      <c r="G466" s="37" t="s">
        <v>8</v>
      </c>
      <c r="H466" s="30">
        <v>0.2</v>
      </c>
      <c r="I466" s="30">
        <v>0.18</v>
      </c>
      <c r="J466" s="30">
        <v>0.51</v>
      </c>
      <c r="K466" s="30">
        <v>0.36</v>
      </c>
      <c r="L466" s="30">
        <v>7</v>
      </c>
      <c r="M466" s="30">
        <v>159</v>
      </c>
      <c r="N466" s="30">
        <v>166</v>
      </c>
    </row>
    <row r="467" spans="1:14">
      <c r="A467" s="30">
        <v>466</v>
      </c>
      <c r="B467" s="31">
        <v>40564</v>
      </c>
      <c r="C467" s="30">
        <v>10</v>
      </c>
      <c r="D467" s="37" t="s">
        <v>28</v>
      </c>
      <c r="E467" s="30" t="b">
        <v>0</v>
      </c>
      <c r="F467" s="37" t="s">
        <v>24</v>
      </c>
      <c r="G467" s="37" t="s">
        <v>8</v>
      </c>
      <c r="H467" s="30">
        <v>0.2</v>
      </c>
      <c r="I467" s="30">
        <v>0.17</v>
      </c>
      <c r="J467" s="30">
        <v>0.47</v>
      </c>
      <c r="K467" s="30">
        <v>0.46</v>
      </c>
      <c r="L467" s="30">
        <v>6</v>
      </c>
      <c r="M467" s="30">
        <v>57</v>
      </c>
      <c r="N467" s="30">
        <v>63</v>
      </c>
    </row>
    <row r="468" spans="1:14">
      <c r="A468" s="30">
        <v>467</v>
      </c>
      <c r="B468" s="31">
        <v>40564</v>
      </c>
      <c r="C468" s="30">
        <v>11</v>
      </c>
      <c r="D468" s="37" t="s">
        <v>28</v>
      </c>
      <c r="E468" s="30" t="b">
        <v>0</v>
      </c>
      <c r="F468" s="37" t="s">
        <v>24</v>
      </c>
      <c r="G468" s="37" t="s">
        <v>8</v>
      </c>
      <c r="H468" s="30">
        <v>0.22</v>
      </c>
      <c r="I468" s="30">
        <v>0.18</v>
      </c>
      <c r="J468" s="30">
        <v>0.41</v>
      </c>
      <c r="K468" s="30">
        <v>0.46</v>
      </c>
      <c r="L468" s="30">
        <v>6</v>
      </c>
      <c r="M468" s="30">
        <v>53</v>
      </c>
      <c r="N468" s="30">
        <v>59</v>
      </c>
    </row>
    <row r="469" spans="1:14">
      <c r="A469" s="30">
        <v>468</v>
      </c>
      <c r="B469" s="31">
        <v>40564</v>
      </c>
      <c r="C469" s="30">
        <v>12</v>
      </c>
      <c r="D469" s="37" t="s">
        <v>29</v>
      </c>
      <c r="E469" s="30" t="b">
        <v>0</v>
      </c>
      <c r="F469" s="37" t="s">
        <v>24</v>
      </c>
      <c r="G469" s="37" t="s">
        <v>8</v>
      </c>
      <c r="H469" s="30">
        <v>0.22</v>
      </c>
      <c r="I469" s="30">
        <v>0.18</v>
      </c>
      <c r="J469" s="30">
        <v>0.27</v>
      </c>
      <c r="K469" s="30">
        <v>0.57999999999999996</v>
      </c>
      <c r="L469" s="30">
        <v>11</v>
      </c>
      <c r="M469" s="30">
        <v>67</v>
      </c>
      <c r="N469" s="30">
        <v>78</v>
      </c>
    </row>
    <row r="470" spans="1:14">
      <c r="A470" s="30">
        <v>469</v>
      </c>
      <c r="B470" s="31">
        <v>40564</v>
      </c>
      <c r="C470" s="30">
        <v>13</v>
      </c>
      <c r="D470" s="37" t="s">
        <v>29</v>
      </c>
      <c r="E470" s="30" t="b">
        <v>0</v>
      </c>
      <c r="F470" s="37" t="s">
        <v>24</v>
      </c>
      <c r="G470" s="37" t="s">
        <v>8</v>
      </c>
      <c r="H470" s="30">
        <v>0.2</v>
      </c>
      <c r="I470" s="30">
        <v>0.15</v>
      </c>
      <c r="J470" s="30">
        <v>0.21</v>
      </c>
      <c r="K470" s="30">
        <v>0.57999999999999996</v>
      </c>
      <c r="L470" s="30">
        <v>8</v>
      </c>
      <c r="M470" s="30">
        <v>65</v>
      </c>
      <c r="N470" s="30">
        <v>73</v>
      </c>
    </row>
    <row r="471" spans="1:14">
      <c r="A471" s="30">
        <v>470</v>
      </c>
      <c r="B471" s="31">
        <v>40564</v>
      </c>
      <c r="C471" s="30">
        <v>14</v>
      </c>
      <c r="D471" s="37" t="s">
        <v>29</v>
      </c>
      <c r="E471" s="30" t="b">
        <v>0</v>
      </c>
      <c r="F471" s="37" t="s">
        <v>24</v>
      </c>
      <c r="G471" s="37" t="s">
        <v>8</v>
      </c>
      <c r="H471" s="30">
        <v>0.2</v>
      </c>
      <c r="I471" s="30">
        <v>0.15</v>
      </c>
      <c r="J471" s="30">
        <v>0.25</v>
      </c>
      <c r="K471" s="30">
        <v>0.52</v>
      </c>
      <c r="L471" s="30">
        <v>6</v>
      </c>
      <c r="M471" s="30">
        <v>56</v>
      </c>
      <c r="N471" s="30">
        <v>62</v>
      </c>
    </row>
    <row r="472" spans="1:14">
      <c r="A472" s="30">
        <v>471</v>
      </c>
      <c r="B472" s="31">
        <v>40564</v>
      </c>
      <c r="C472" s="30">
        <v>15</v>
      </c>
      <c r="D472" s="37" t="s">
        <v>29</v>
      </c>
      <c r="E472" s="30" t="b">
        <v>0</v>
      </c>
      <c r="F472" s="37" t="s">
        <v>24</v>
      </c>
      <c r="G472" s="37" t="s">
        <v>8</v>
      </c>
      <c r="H472" s="30">
        <v>0.16</v>
      </c>
      <c r="I472" s="30">
        <v>0.12</v>
      </c>
      <c r="J472" s="30">
        <v>0.26</v>
      </c>
      <c r="K472" s="30">
        <v>0.45</v>
      </c>
      <c r="L472" s="30">
        <v>4</v>
      </c>
      <c r="M472" s="30">
        <v>61</v>
      </c>
      <c r="N472" s="30">
        <v>65</v>
      </c>
    </row>
    <row r="473" spans="1:14">
      <c r="A473" s="30">
        <v>472</v>
      </c>
      <c r="B473" s="31">
        <v>40564</v>
      </c>
      <c r="C473" s="30">
        <v>16</v>
      </c>
      <c r="D473" s="37" t="s">
        <v>29</v>
      </c>
      <c r="E473" s="30" t="b">
        <v>0</v>
      </c>
      <c r="F473" s="37" t="s">
        <v>24</v>
      </c>
      <c r="G473" s="37" t="s">
        <v>8</v>
      </c>
      <c r="H473" s="30">
        <v>0.16</v>
      </c>
      <c r="I473" s="30">
        <v>0.14000000000000001</v>
      </c>
      <c r="J473" s="30">
        <v>0.26</v>
      </c>
      <c r="K473" s="30">
        <v>0.36</v>
      </c>
      <c r="L473" s="30">
        <v>0</v>
      </c>
      <c r="M473" s="30">
        <v>97</v>
      </c>
      <c r="N473" s="30">
        <v>97</v>
      </c>
    </row>
    <row r="474" spans="1:14">
      <c r="A474" s="30">
        <v>473</v>
      </c>
      <c r="B474" s="31">
        <v>40564</v>
      </c>
      <c r="C474" s="30">
        <v>17</v>
      </c>
      <c r="D474" s="37" t="s">
        <v>29</v>
      </c>
      <c r="E474" s="30" t="b">
        <v>0</v>
      </c>
      <c r="F474" s="37" t="s">
        <v>24</v>
      </c>
      <c r="G474" s="37" t="s">
        <v>8</v>
      </c>
      <c r="H474" s="30">
        <v>0.14000000000000001</v>
      </c>
      <c r="I474" s="30">
        <v>0.12</v>
      </c>
      <c r="J474" s="30">
        <v>0.28000000000000003</v>
      </c>
      <c r="K474" s="30">
        <v>0.36</v>
      </c>
      <c r="L474" s="30">
        <v>10</v>
      </c>
      <c r="M474" s="30">
        <v>151</v>
      </c>
      <c r="N474" s="30">
        <v>161</v>
      </c>
    </row>
    <row r="475" spans="1:14">
      <c r="A475" s="30">
        <v>474</v>
      </c>
      <c r="B475" s="31">
        <v>40564</v>
      </c>
      <c r="C475" s="30">
        <v>18</v>
      </c>
      <c r="D475" s="37" t="s">
        <v>30</v>
      </c>
      <c r="E475" s="30" t="b">
        <v>0</v>
      </c>
      <c r="F475" s="37" t="s">
        <v>24</v>
      </c>
      <c r="G475" s="37" t="s">
        <v>8</v>
      </c>
      <c r="H475" s="30">
        <v>0.12</v>
      </c>
      <c r="I475" s="30">
        <v>0.12</v>
      </c>
      <c r="J475" s="30">
        <v>0.3</v>
      </c>
      <c r="K475" s="30">
        <v>0.25</v>
      </c>
      <c r="L475" s="30">
        <v>1</v>
      </c>
      <c r="M475" s="30">
        <v>119</v>
      </c>
      <c r="N475" s="30">
        <v>120</v>
      </c>
    </row>
    <row r="476" spans="1:14">
      <c r="A476" s="30">
        <v>475</v>
      </c>
      <c r="B476" s="31">
        <v>40564</v>
      </c>
      <c r="C476" s="30">
        <v>19</v>
      </c>
      <c r="D476" s="37" t="s">
        <v>30</v>
      </c>
      <c r="E476" s="30" t="b">
        <v>0</v>
      </c>
      <c r="F476" s="37" t="s">
        <v>24</v>
      </c>
      <c r="G476" s="37" t="s">
        <v>8</v>
      </c>
      <c r="H476" s="30">
        <v>0.12</v>
      </c>
      <c r="I476" s="30">
        <v>0.11</v>
      </c>
      <c r="J476" s="30">
        <v>0.3</v>
      </c>
      <c r="K476" s="30">
        <v>0.33</v>
      </c>
      <c r="L476" s="30">
        <v>3</v>
      </c>
      <c r="M476" s="30">
        <v>93</v>
      </c>
      <c r="N476" s="30">
        <v>96</v>
      </c>
    </row>
    <row r="477" spans="1:14">
      <c r="A477" s="30">
        <v>476</v>
      </c>
      <c r="B477" s="31">
        <v>40564</v>
      </c>
      <c r="C477" s="30">
        <v>20</v>
      </c>
      <c r="D477" s="37" t="s">
        <v>30</v>
      </c>
      <c r="E477" s="30" t="b">
        <v>0</v>
      </c>
      <c r="F477" s="37" t="s">
        <v>24</v>
      </c>
      <c r="G477" s="37" t="s">
        <v>8</v>
      </c>
      <c r="H477" s="30">
        <v>0.1</v>
      </c>
      <c r="I477" s="30">
        <v>0.08</v>
      </c>
      <c r="J477" s="30">
        <v>0.33</v>
      </c>
      <c r="K477" s="30">
        <v>0.42</v>
      </c>
      <c r="L477" s="30">
        <v>1</v>
      </c>
      <c r="M477" s="30">
        <v>52</v>
      </c>
      <c r="N477" s="30">
        <v>53</v>
      </c>
    </row>
    <row r="478" spans="1:14">
      <c r="A478" s="30">
        <v>477</v>
      </c>
      <c r="B478" s="31">
        <v>40564</v>
      </c>
      <c r="C478" s="30">
        <v>21</v>
      </c>
      <c r="D478" s="37" t="s">
        <v>30</v>
      </c>
      <c r="E478" s="30" t="b">
        <v>0</v>
      </c>
      <c r="F478" s="37" t="s">
        <v>24</v>
      </c>
      <c r="G478" s="37" t="s">
        <v>8</v>
      </c>
      <c r="H478" s="30">
        <v>0.08</v>
      </c>
      <c r="I478" s="30">
        <v>0.08</v>
      </c>
      <c r="J478" s="30">
        <v>0.38</v>
      </c>
      <c r="K478" s="30">
        <v>0.28000000000000003</v>
      </c>
      <c r="L478" s="30">
        <v>0</v>
      </c>
      <c r="M478" s="30">
        <v>41</v>
      </c>
      <c r="N478" s="30">
        <v>41</v>
      </c>
    </row>
    <row r="479" spans="1:14">
      <c r="A479" s="30">
        <v>478</v>
      </c>
      <c r="B479" s="31">
        <v>40564</v>
      </c>
      <c r="C479" s="30">
        <v>22</v>
      </c>
      <c r="D479" s="37" t="s">
        <v>30</v>
      </c>
      <c r="E479" s="30" t="b">
        <v>0</v>
      </c>
      <c r="F479" s="37" t="s">
        <v>24</v>
      </c>
      <c r="G479" s="37" t="s">
        <v>8</v>
      </c>
      <c r="H479" s="30">
        <v>0.06</v>
      </c>
      <c r="I479" s="30">
        <v>0.03</v>
      </c>
      <c r="J479" s="30">
        <v>0.41</v>
      </c>
      <c r="K479" s="30">
        <v>0.39</v>
      </c>
      <c r="L479" s="30">
        <v>1</v>
      </c>
      <c r="M479" s="30">
        <v>33</v>
      </c>
      <c r="N479" s="30">
        <v>34</v>
      </c>
    </row>
    <row r="480" spans="1:14">
      <c r="A480" s="30">
        <v>479</v>
      </c>
      <c r="B480" s="31">
        <v>40564</v>
      </c>
      <c r="C480" s="30">
        <v>23</v>
      </c>
      <c r="D480" s="37" t="s">
        <v>30</v>
      </c>
      <c r="E480" s="30" t="b">
        <v>0</v>
      </c>
      <c r="F480" s="37" t="s">
        <v>24</v>
      </c>
      <c r="G480" s="37" t="s">
        <v>8</v>
      </c>
      <c r="H480" s="30">
        <v>0.06</v>
      </c>
      <c r="I480" s="30">
        <v>0.05</v>
      </c>
      <c r="J480" s="30">
        <v>0.38</v>
      </c>
      <c r="K480" s="30">
        <v>0.33</v>
      </c>
      <c r="L480" s="30">
        <v>0</v>
      </c>
      <c r="M480" s="30">
        <v>27</v>
      </c>
      <c r="N480" s="30">
        <v>27</v>
      </c>
    </row>
    <row r="481" spans="1:14">
      <c r="A481" s="30">
        <v>480</v>
      </c>
      <c r="B481" s="31">
        <v>40565</v>
      </c>
      <c r="C481" s="30">
        <v>0</v>
      </c>
      <c r="D481" s="37" t="s">
        <v>27</v>
      </c>
      <c r="E481" s="30" t="b">
        <v>0</v>
      </c>
      <c r="F481" s="37" t="s">
        <v>25</v>
      </c>
      <c r="G481" s="37" t="s">
        <v>8</v>
      </c>
      <c r="H481" s="30">
        <v>0.04</v>
      </c>
      <c r="I481" s="30">
        <v>0.03</v>
      </c>
      <c r="J481" s="30">
        <v>0.45</v>
      </c>
      <c r="K481" s="30">
        <v>0.25</v>
      </c>
      <c r="L481" s="30">
        <v>0</v>
      </c>
      <c r="M481" s="30">
        <v>13</v>
      </c>
      <c r="N481" s="30">
        <v>13</v>
      </c>
    </row>
    <row r="482" spans="1:14">
      <c r="A482" s="30">
        <v>481</v>
      </c>
      <c r="B482" s="31">
        <v>40565</v>
      </c>
      <c r="C482" s="30">
        <v>1</v>
      </c>
      <c r="D482" s="37" t="s">
        <v>27</v>
      </c>
      <c r="E482" s="30" t="b">
        <v>0</v>
      </c>
      <c r="F482" s="37" t="s">
        <v>25</v>
      </c>
      <c r="G482" s="37" t="s">
        <v>9</v>
      </c>
      <c r="H482" s="30">
        <v>0.04</v>
      </c>
      <c r="I482" s="30">
        <v>0</v>
      </c>
      <c r="J482" s="30">
        <v>0.41</v>
      </c>
      <c r="K482" s="30">
        <v>0.39</v>
      </c>
      <c r="L482" s="30">
        <v>3</v>
      </c>
      <c r="M482" s="30">
        <v>9</v>
      </c>
      <c r="N482" s="30">
        <v>12</v>
      </c>
    </row>
    <row r="483" spans="1:14">
      <c r="A483" s="30">
        <v>482</v>
      </c>
      <c r="B483" s="31">
        <v>40565</v>
      </c>
      <c r="C483" s="30">
        <v>2</v>
      </c>
      <c r="D483" s="37" t="s">
        <v>27</v>
      </c>
      <c r="E483" s="30" t="b">
        <v>0</v>
      </c>
      <c r="F483" s="37" t="s">
        <v>25</v>
      </c>
      <c r="G483" s="37" t="s">
        <v>9</v>
      </c>
      <c r="H483" s="30">
        <v>0.04</v>
      </c>
      <c r="I483" s="30">
        <v>0.03</v>
      </c>
      <c r="J483" s="30">
        <v>0.41</v>
      </c>
      <c r="K483" s="30">
        <v>0.25</v>
      </c>
      <c r="L483" s="30">
        <v>0</v>
      </c>
      <c r="M483" s="30">
        <v>11</v>
      </c>
      <c r="N483" s="30">
        <v>11</v>
      </c>
    </row>
    <row r="484" spans="1:14">
      <c r="A484" s="30">
        <v>483</v>
      </c>
      <c r="B484" s="31">
        <v>40565</v>
      </c>
      <c r="C484" s="30">
        <v>3</v>
      </c>
      <c r="D484" s="37" t="s">
        <v>27</v>
      </c>
      <c r="E484" s="30" t="b">
        <v>0</v>
      </c>
      <c r="F484" s="37" t="s">
        <v>25</v>
      </c>
      <c r="G484" s="37" t="s">
        <v>9</v>
      </c>
      <c r="H484" s="30">
        <v>0.04</v>
      </c>
      <c r="I484" s="30">
        <v>0.03</v>
      </c>
      <c r="J484" s="30">
        <v>0.41</v>
      </c>
      <c r="K484" s="30">
        <v>0.28000000000000003</v>
      </c>
      <c r="L484" s="30">
        <v>1</v>
      </c>
      <c r="M484" s="30">
        <v>6</v>
      </c>
      <c r="N484" s="30">
        <v>7</v>
      </c>
    </row>
    <row r="485" spans="1:14">
      <c r="A485" s="30">
        <v>484</v>
      </c>
      <c r="B485" s="31">
        <v>40565</v>
      </c>
      <c r="C485" s="30">
        <v>4</v>
      </c>
      <c r="D485" s="37" t="s">
        <v>27</v>
      </c>
      <c r="E485" s="30" t="b">
        <v>0</v>
      </c>
      <c r="F485" s="37" t="s">
        <v>25</v>
      </c>
      <c r="G485" s="37" t="s">
        <v>9</v>
      </c>
      <c r="H485" s="30">
        <v>0.02</v>
      </c>
      <c r="I485" s="30">
        <v>0.02</v>
      </c>
      <c r="J485" s="30">
        <v>0.48</v>
      </c>
      <c r="K485" s="30">
        <v>0.3</v>
      </c>
      <c r="L485" s="30">
        <v>0</v>
      </c>
      <c r="M485" s="30">
        <v>3</v>
      </c>
      <c r="N485" s="30">
        <v>3</v>
      </c>
    </row>
    <row r="486" spans="1:14">
      <c r="A486" s="30">
        <v>485</v>
      </c>
      <c r="B486" s="31">
        <v>40565</v>
      </c>
      <c r="C486" s="30">
        <v>6</v>
      </c>
      <c r="D486" s="37" t="s">
        <v>28</v>
      </c>
      <c r="E486" s="30" t="b">
        <v>0</v>
      </c>
      <c r="F486" s="37" t="s">
        <v>25</v>
      </c>
      <c r="G486" s="37" t="s">
        <v>9</v>
      </c>
      <c r="H486" s="30">
        <v>0.02</v>
      </c>
      <c r="I486" s="30">
        <v>0.03</v>
      </c>
      <c r="J486" s="30">
        <v>0.44</v>
      </c>
      <c r="K486" s="30">
        <v>0.22</v>
      </c>
      <c r="L486" s="30">
        <v>0</v>
      </c>
      <c r="M486" s="30">
        <v>2</v>
      </c>
      <c r="N486" s="30">
        <v>2</v>
      </c>
    </row>
    <row r="487" spans="1:14">
      <c r="A487" s="30">
        <v>486</v>
      </c>
      <c r="B487" s="31">
        <v>40565</v>
      </c>
      <c r="C487" s="30">
        <v>7</v>
      </c>
      <c r="D487" s="37" t="s">
        <v>28</v>
      </c>
      <c r="E487" s="30" t="b">
        <v>0</v>
      </c>
      <c r="F487" s="37" t="s">
        <v>25</v>
      </c>
      <c r="G487" s="37" t="s">
        <v>8</v>
      </c>
      <c r="H487" s="30">
        <v>0.02</v>
      </c>
      <c r="I487" s="30">
        <v>0.02</v>
      </c>
      <c r="J487" s="30">
        <v>0.44</v>
      </c>
      <c r="K487" s="30">
        <v>0.28000000000000003</v>
      </c>
      <c r="L487" s="30">
        <v>0</v>
      </c>
      <c r="M487" s="30">
        <v>8</v>
      </c>
      <c r="N487" s="30">
        <v>8</v>
      </c>
    </row>
    <row r="488" spans="1:14">
      <c r="A488" s="30">
        <v>487</v>
      </c>
      <c r="B488" s="31">
        <v>40565</v>
      </c>
      <c r="C488" s="30">
        <v>8</v>
      </c>
      <c r="D488" s="37" t="s">
        <v>28</v>
      </c>
      <c r="E488" s="30" t="b">
        <v>0</v>
      </c>
      <c r="F488" s="37" t="s">
        <v>25</v>
      </c>
      <c r="G488" s="37" t="s">
        <v>8</v>
      </c>
      <c r="H488" s="30">
        <v>0.02</v>
      </c>
      <c r="I488" s="30">
        <v>0</v>
      </c>
      <c r="J488" s="30">
        <v>0.44</v>
      </c>
      <c r="K488" s="30">
        <v>0.33</v>
      </c>
      <c r="L488" s="30">
        <v>1</v>
      </c>
      <c r="M488" s="30">
        <v>26</v>
      </c>
      <c r="N488" s="30">
        <v>27</v>
      </c>
    </row>
    <row r="489" spans="1:14">
      <c r="A489" s="30">
        <v>488</v>
      </c>
      <c r="B489" s="31">
        <v>40565</v>
      </c>
      <c r="C489" s="30">
        <v>9</v>
      </c>
      <c r="D489" s="37" t="s">
        <v>28</v>
      </c>
      <c r="E489" s="30" t="b">
        <v>0</v>
      </c>
      <c r="F489" s="37" t="s">
        <v>25</v>
      </c>
      <c r="G489" s="37" t="s">
        <v>8</v>
      </c>
      <c r="H489" s="30">
        <v>0.04</v>
      </c>
      <c r="I489" s="30">
        <v>0.03</v>
      </c>
      <c r="J489" s="30">
        <v>0.41</v>
      </c>
      <c r="K489" s="30">
        <v>0.25</v>
      </c>
      <c r="L489" s="30">
        <v>3</v>
      </c>
      <c r="M489" s="30">
        <v>37</v>
      </c>
      <c r="N489" s="30">
        <v>40</v>
      </c>
    </row>
    <row r="490" spans="1:14">
      <c r="A490" s="30">
        <v>489</v>
      </c>
      <c r="B490" s="31">
        <v>40565</v>
      </c>
      <c r="C490" s="30">
        <v>10</v>
      </c>
      <c r="D490" s="37" t="s">
        <v>28</v>
      </c>
      <c r="E490" s="30" t="b">
        <v>0</v>
      </c>
      <c r="F490" s="37" t="s">
        <v>25</v>
      </c>
      <c r="G490" s="37" t="s">
        <v>9</v>
      </c>
      <c r="H490" s="30">
        <v>0.04</v>
      </c>
      <c r="I490" s="30">
        <v>0.06</v>
      </c>
      <c r="J490" s="30">
        <v>0.41</v>
      </c>
      <c r="K490" s="30">
        <v>0.16</v>
      </c>
      <c r="L490" s="30">
        <v>3</v>
      </c>
      <c r="M490" s="30">
        <v>50</v>
      </c>
      <c r="N490" s="30">
        <v>53</v>
      </c>
    </row>
    <row r="491" spans="1:14">
      <c r="A491" s="30">
        <v>490</v>
      </c>
      <c r="B491" s="31">
        <v>40565</v>
      </c>
      <c r="C491" s="30">
        <v>11</v>
      </c>
      <c r="D491" s="37" t="s">
        <v>28</v>
      </c>
      <c r="E491" s="30" t="b">
        <v>0</v>
      </c>
      <c r="F491" s="37" t="s">
        <v>25</v>
      </c>
      <c r="G491" s="37" t="s">
        <v>9</v>
      </c>
      <c r="H491" s="30">
        <v>0.06</v>
      </c>
      <c r="I491" s="30">
        <v>0.08</v>
      </c>
      <c r="J491" s="30">
        <v>0.38</v>
      </c>
      <c r="K491" s="30">
        <v>0.13</v>
      </c>
      <c r="L491" s="30">
        <v>4</v>
      </c>
      <c r="M491" s="30">
        <v>59</v>
      </c>
      <c r="N491" s="30">
        <v>63</v>
      </c>
    </row>
    <row r="492" spans="1:14">
      <c r="A492" s="30">
        <v>491</v>
      </c>
      <c r="B492" s="31">
        <v>40565</v>
      </c>
      <c r="C492" s="30">
        <v>12</v>
      </c>
      <c r="D492" s="37" t="s">
        <v>29</v>
      </c>
      <c r="E492" s="30" t="b">
        <v>0</v>
      </c>
      <c r="F492" s="37" t="s">
        <v>25</v>
      </c>
      <c r="G492" s="37" t="s">
        <v>9</v>
      </c>
      <c r="H492" s="30">
        <v>0.06</v>
      </c>
      <c r="I492" s="30">
        <v>0.11</v>
      </c>
      <c r="J492" s="30">
        <v>0.38</v>
      </c>
      <c r="K492" s="30">
        <v>0.1</v>
      </c>
      <c r="L492" s="30">
        <v>10</v>
      </c>
      <c r="M492" s="30">
        <v>60</v>
      </c>
      <c r="N492" s="30">
        <v>70</v>
      </c>
    </row>
    <row r="493" spans="1:14">
      <c r="A493" s="30">
        <v>492</v>
      </c>
      <c r="B493" s="31">
        <v>40565</v>
      </c>
      <c r="C493" s="30">
        <v>13</v>
      </c>
      <c r="D493" s="37" t="s">
        <v>29</v>
      </c>
      <c r="E493" s="30" t="b">
        <v>0</v>
      </c>
      <c r="F493" s="37" t="s">
        <v>25</v>
      </c>
      <c r="G493" s="37" t="s">
        <v>8</v>
      </c>
      <c r="H493" s="30">
        <v>0.08</v>
      </c>
      <c r="I493" s="30">
        <v>0.17</v>
      </c>
      <c r="J493" s="30">
        <v>0.35</v>
      </c>
      <c r="K493" s="30">
        <v>0</v>
      </c>
      <c r="L493" s="30">
        <v>12</v>
      </c>
      <c r="M493" s="30">
        <v>72</v>
      </c>
      <c r="N493" s="30">
        <v>84</v>
      </c>
    </row>
    <row r="494" spans="1:14">
      <c r="A494" s="30">
        <v>493</v>
      </c>
      <c r="B494" s="31">
        <v>40565</v>
      </c>
      <c r="C494" s="30">
        <v>14</v>
      </c>
      <c r="D494" s="37" t="s">
        <v>29</v>
      </c>
      <c r="E494" s="30" t="b">
        <v>0</v>
      </c>
      <c r="F494" s="37" t="s">
        <v>25</v>
      </c>
      <c r="G494" s="37" t="s">
        <v>8</v>
      </c>
      <c r="H494" s="30">
        <v>0.1</v>
      </c>
      <c r="I494" s="30">
        <v>0.14000000000000001</v>
      </c>
      <c r="J494" s="30">
        <v>0.33</v>
      </c>
      <c r="K494" s="30">
        <v>0.1</v>
      </c>
      <c r="L494" s="30">
        <v>11</v>
      </c>
      <c r="M494" s="30">
        <v>64</v>
      </c>
      <c r="N494" s="30">
        <v>75</v>
      </c>
    </row>
    <row r="495" spans="1:14">
      <c r="A495" s="30">
        <v>494</v>
      </c>
      <c r="B495" s="31">
        <v>40565</v>
      </c>
      <c r="C495" s="30">
        <v>15</v>
      </c>
      <c r="D495" s="37" t="s">
        <v>29</v>
      </c>
      <c r="E495" s="30" t="b">
        <v>0</v>
      </c>
      <c r="F495" s="37" t="s">
        <v>25</v>
      </c>
      <c r="G495" s="37" t="s">
        <v>8</v>
      </c>
      <c r="H495" s="30">
        <v>0.12</v>
      </c>
      <c r="I495" s="30">
        <v>0.15</v>
      </c>
      <c r="J495" s="30">
        <v>0.28000000000000003</v>
      </c>
      <c r="K495" s="30">
        <v>0</v>
      </c>
      <c r="L495" s="30">
        <v>10</v>
      </c>
      <c r="M495" s="30">
        <v>93</v>
      </c>
      <c r="N495" s="30">
        <v>103</v>
      </c>
    </row>
    <row r="496" spans="1:14">
      <c r="A496" s="30">
        <v>495</v>
      </c>
      <c r="B496" s="31">
        <v>40565</v>
      </c>
      <c r="C496" s="30">
        <v>16</v>
      </c>
      <c r="D496" s="37" t="s">
        <v>29</v>
      </c>
      <c r="E496" s="30" t="b">
        <v>0</v>
      </c>
      <c r="F496" s="37" t="s">
        <v>25</v>
      </c>
      <c r="G496" s="37" t="s">
        <v>8</v>
      </c>
      <c r="H496" s="30">
        <v>0.12</v>
      </c>
      <c r="I496" s="30">
        <v>0.14000000000000001</v>
      </c>
      <c r="J496" s="30">
        <v>0.28000000000000003</v>
      </c>
      <c r="K496" s="30">
        <v>0.19</v>
      </c>
      <c r="L496" s="30">
        <v>11</v>
      </c>
      <c r="M496" s="30">
        <v>72</v>
      </c>
      <c r="N496" s="30">
        <v>83</v>
      </c>
    </row>
    <row r="497" spans="1:14">
      <c r="A497" s="30">
        <v>496</v>
      </c>
      <c r="B497" s="31">
        <v>40565</v>
      </c>
      <c r="C497" s="30">
        <v>17</v>
      </c>
      <c r="D497" s="37" t="s">
        <v>29</v>
      </c>
      <c r="E497" s="30" t="b">
        <v>0</v>
      </c>
      <c r="F497" s="37" t="s">
        <v>25</v>
      </c>
      <c r="G497" s="37" t="s">
        <v>8</v>
      </c>
      <c r="H497" s="30">
        <v>0.12</v>
      </c>
      <c r="I497" s="30">
        <v>0.2</v>
      </c>
      <c r="J497" s="30">
        <v>0.28000000000000003</v>
      </c>
      <c r="K497" s="30">
        <v>0</v>
      </c>
      <c r="L497" s="30">
        <v>8</v>
      </c>
      <c r="M497" s="30">
        <v>59</v>
      </c>
      <c r="N497" s="30">
        <v>67</v>
      </c>
    </row>
    <row r="498" spans="1:14">
      <c r="A498" s="30">
        <v>497</v>
      </c>
      <c r="B498" s="31">
        <v>40565</v>
      </c>
      <c r="C498" s="30">
        <v>18</v>
      </c>
      <c r="D498" s="37" t="s">
        <v>30</v>
      </c>
      <c r="E498" s="30" t="b">
        <v>0</v>
      </c>
      <c r="F498" s="37" t="s">
        <v>25</v>
      </c>
      <c r="G498" s="37" t="s">
        <v>8</v>
      </c>
      <c r="H498" s="30">
        <v>0.08</v>
      </c>
      <c r="I498" s="30">
        <v>0.09</v>
      </c>
      <c r="J498" s="30">
        <v>0.35</v>
      </c>
      <c r="K498" s="30">
        <v>0.19</v>
      </c>
      <c r="L498" s="30">
        <v>0</v>
      </c>
      <c r="M498" s="30">
        <v>54</v>
      </c>
      <c r="N498" s="30">
        <v>54</v>
      </c>
    </row>
    <row r="499" spans="1:14">
      <c r="A499" s="30">
        <v>498</v>
      </c>
      <c r="B499" s="31">
        <v>40565</v>
      </c>
      <c r="C499" s="30">
        <v>19</v>
      </c>
      <c r="D499" s="37" t="s">
        <v>30</v>
      </c>
      <c r="E499" s="30" t="b">
        <v>0</v>
      </c>
      <c r="F499" s="37" t="s">
        <v>25</v>
      </c>
      <c r="G499" s="37" t="s">
        <v>8</v>
      </c>
      <c r="H499" s="30">
        <v>0.08</v>
      </c>
      <c r="I499" s="30">
        <v>0.11</v>
      </c>
      <c r="J499" s="30">
        <v>0.35</v>
      </c>
      <c r="K499" s="30">
        <v>0.13</v>
      </c>
      <c r="L499" s="30">
        <v>6</v>
      </c>
      <c r="M499" s="30">
        <v>53</v>
      </c>
      <c r="N499" s="30">
        <v>59</v>
      </c>
    </row>
    <row r="500" spans="1:14">
      <c r="A500" s="30">
        <v>499</v>
      </c>
      <c r="B500" s="31">
        <v>40565</v>
      </c>
      <c r="C500" s="30">
        <v>20</v>
      </c>
      <c r="D500" s="37" t="s">
        <v>30</v>
      </c>
      <c r="E500" s="30" t="b">
        <v>0</v>
      </c>
      <c r="F500" s="37" t="s">
        <v>25</v>
      </c>
      <c r="G500" s="37" t="s">
        <v>8</v>
      </c>
      <c r="H500" s="30">
        <v>0.06</v>
      </c>
      <c r="I500" s="30">
        <v>0.08</v>
      </c>
      <c r="J500" s="30">
        <v>0.45</v>
      </c>
      <c r="K500" s="30">
        <v>0.16</v>
      </c>
      <c r="L500" s="30">
        <v>1</v>
      </c>
      <c r="M500" s="30">
        <v>44</v>
      </c>
      <c r="N500" s="30">
        <v>45</v>
      </c>
    </row>
    <row r="501" spans="1:14">
      <c r="A501" s="30">
        <v>500</v>
      </c>
      <c r="B501" s="31">
        <v>40565</v>
      </c>
      <c r="C501" s="30">
        <v>21</v>
      </c>
      <c r="D501" s="37" t="s">
        <v>30</v>
      </c>
      <c r="E501" s="30" t="b">
        <v>0</v>
      </c>
      <c r="F501" s="37" t="s">
        <v>25</v>
      </c>
      <c r="G501" s="37" t="s">
        <v>8</v>
      </c>
      <c r="H501" s="30">
        <v>0.06</v>
      </c>
      <c r="I501" s="30">
        <v>0.11</v>
      </c>
      <c r="J501" s="30">
        <v>0.41</v>
      </c>
      <c r="K501" s="30">
        <v>0.09</v>
      </c>
      <c r="L501" s="30">
        <v>0</v>
      </c>
      <c r="M501" s="30">
        <v>39</v>
      </c>
      <c r="N501" s="30">
        <v>39</v>
      </c>
    </row>
    <row r="502" spans="1:14">
      <c r="A502" s="30">
        <v>501</v>
      </c>
      <c r="B502" s="31">
        <v>40565</v>
      </c>
      <c r="C502" s="30">
        <v>22</v>
      </c>
      <c r="D502" s="37" t="s">
        <v>30</v>
      </c>
      <c r="E502" s="30" t="b">
        <v>0</v>
      </c>
      <c r="F502" s="37" t="s">
        <v>25</v>
      </c>
      <c r="G502" s="37" t="s">
        <v>8</v>
      </c>
      <c r="H502" s="30">
        <v>0.06</v>
      </c>
      <c r="I502" s="30">
        <v>0.15</v>
      </c>
      <c r="J502" s="30">
        <v>0.49</v>
      </c>
      <c r="K502" s="30">
        <v>0</v>
      </c>
      <c r="L502" s="30">
        <v>7</v>
      </c>
      <c r="M502" s="30">
        <v>23</v>
      </c>
      <c r="N502" s="30">
        <v>30</v>
      </c>
    </row>
    <row r="503" spans="1:14">
      <c r="A503" s="30">
        <v>502</v>
      </c>
      <c r="B503" s="31">
        <v>40565</v>
      </c>
      <c r="C503" s="30">
        <v>23</v>
      </c>
      <c r="D503" s="37" t="s">
        <v>30</v>
      </c>
      <c r="E503" s="30" t="b">
        <v>0</v>
      </c>
      <c r="F503" s="37" t="s">
        <v>25</v>
      </c>
      <c r="G503" s="37" t="s">
        <v>8</v>
      </c>
      <c r="H503" s="30">
        <v>0.04</v>
      </c>
      <c r="I503" s="30">
        <v>0.08</v>
      </c>
      <c r="J503" s="30">
        <v>0.56999999999999995</v>
      </c>
      <c r="K503" s="30">
        <v>0.1</v>
      </c>
      <c r="L503" s="30">
        <v>2</v>
      </c>
      <c r="M503" s="30">
        <v>31</v>
      </c>
      <c r="N503" s="30">
        <v>33</v>
      </c>
    </row>
    <row r="504" spans="1:14">
      <c r="A504" s="30">
        <v>503</v>
      </c>
      <c r="B504" s="31">
        <v>40566</v>
      </c>
      <c r="C504" s="30">
        <v>0</v>
      </c>
      <c r="D504" s="37" t="s">
        <v>27</v>
      </c>
      <c r="E504" s="30" t="b">
        <v>0</v>
      </c>
      <c r="F504" s="37" t="s">
        <v>19</v>
      </c>
      <c r="G504" s="37" t="s">
        <v>8</v>
      </c>
      <c r="H504" s="30">
        <v>0.04</v>
      </c>
      <c r="I504" s="30">
        <v>0.08</v>
      </c>
      <c r="J504" s="30">
        <v>0.56999999999999995</v>
      </c>
      <c r="K504" s="30">
        <v>0.1</v>
      </c>
      <c r="L504" s="30">
        <v>2</v>
      </c>
      <c r="M504" s="30">
        <v>20</v>
      </c>
      <c r="N504" s="30">
        <v>22</v>
      </c>
    </row>
    <row r="505" spans="1:14">
      <c r="A505" s="30">
        <v>504</v>
      </c>
      <c r="B505" s="31">
        <v>40566</v>
      </c>
      <c r="C505" s="30">
        <v>1</v>
      </c>
      <c r="D505" s="37" t="s">
        <v>27</v>
      </c>
      <c r="E505" s="30" t="b">
        <v>0</v>
      </c>
      <c r="F505" s="37" t="s">
        <v>19</v>
      </c>
      <c r="G505" s="37" t="s">
        <v>8</v>
      </c>
      <c r="H505" s="30">
        <v>0.04</v>
      </c>
      <c r="I505" s="30">
        <v>0.08</v>
      </c>
      <c r="J505" s="30">
        <v>0.56999999999999995</v>
      </c>
      <c r="K505" s="30">
        <v>0.1</v>
      </c>
      <c r="L505" s="30">
        <v>1</v>
      </c>
      <c r="M505" s="30">
        <v>12</v>
      </c>
      <c r="N505" s="30">
        <v>13</v>
      </c>
    </row>
    <row r="506" spans="1:14">
      <c r="A506" s="30">
        <v>505</v>
      </c>
      <c r="B506" s="31">
        <v>40566</v>
      </c>
      <c r="C506" s="30">
        <v>2</v>
      </c>
      <c r="D506" s="37" t="s">
        <v>27</v>
      </c>
      <c r="E506" s="30" t="b">
        <v>0</v>
      </c>
      <c r="F506" s="37" t="s">
        <v>19</v>
      </c>
      <c r="G506" s="37" t="s">
        <v>8</v>
      </c>
      <c r="H506" s="30">
        <v>0.02</v>
      </c>
      <c r="I506" s="30">
        <v>0.06</v>
      </c>
      <c r="J506" s="30">
        <v>0.62</v>
      </c>
      <c r="K506" s="30">
        <v>0.13</v>
      </c>
      <c r="L506" s="30">
        <v>3</v>
      </c>
      <c r="M506" s="30">
        <v>15</v>
      </c>
      <c r="N506" s="30">
        <v>18</v>
      </c>
    </row>
    <row r="507" spans="1:14">
      <c r="A507" s="30">
        <v>506</v>
      </c>
      <c r="B507" s="31">
        <v>40566</v>
      </c>
      <c r="C507" s="30">
        <v>3</v>
      </c>
      <c r="D507" s="37" t="s">
        <v>27</v>
      </c>
      <c r="E507" s="30" t="b">
        <v>0</v>
      </c>
      <c r="F507" s="37" t="s">
        <v>19</v>
      </c>
      <c r="G507" s="37" t="s">
        <v>8</v>
      </c>
      <c r="H507" s="30">
        <v>0.02</v>
      </c>
      <c r="I507" s="30">
        <v>0.06</v>
      </c>
      <c r="J507" s="30">
        <v>0.62</v>
      </c>
      <c r="K507" s="30">
        <v>0.13</v>
      </c>
      <c r="L507" s="30">
        <v>1</v>
      </c>
      <c r="M507" s="30">
        <v>4</v>
      </c>
      <c r="N507" s="30">
        <v>5</v>
      </c>
    </row>
    <row r="508" spans="1:14">
      <c r="A508" s="30">
        <v>507</v>
      </c>
      <c r="B508" s="31">
        <v>40566</v>
      </c>
      <c r="C508" s="30">
        <v>5</v>
      </c>
      <c r="D508" s="37" t="s">
        <v>27</v>
      </c>
      <c r="E508" s="30" t="b">
        <v>0</v>
      </c>
      <c r="F508" s="37" t="s">
        <v>19</v>
      </c>
      <c r="G508" s="37" t="s">
        <v>9</v>
      </c>
      <c r="H508" s="30">
        <v>0.04</v>
      </c>
      <c r="I508" s="30">
        <v>0.08</v>
      </c>
      <c r="J508" s="30">
        <v>0.56999999999999995</v>
      </c>
      <c r="K508" s="30">
        <v>0.1</v>
      </c>
      <c r="L508" s="30">
        <v>0</v>
      </c>
      <c r="M508" s="30">
        <v>3</v>
      </c>
      <c r="N508" s="30">
        <v>3</v>
      </c>
    </row>
    <row r="509" spans="1:14">
      <c r="A509" s="30">
        <v>508</v>
      </c>
      <c r="B509" s="31">
        <v>40566</v>
      </c>
      <c r="C509" s="30">
        <v>6</v>
      </c>
      <c r="D509" s="37" t="s">
        <v>28</v>
      </c>
      <c r="E509" s="30" t="b">
        <v>0</v>
      </c>
      <c r="F509" s="37" t="s">
        <v>19</v>
      </c>
      <c r="G509" s="37" t="s">
        <v>9</v>
      </c>
      <c r="H509" s="30">
        <v>0.04</v>
      </c>
      <c r="I509" s="30">
        <v>0.08</v>
      </c>
      <c r="J509" s="30">
        <v>0.56999999999999995</v>
      </c>
      <c r="K509" s="30">
        <v>0.1</v>
      </c>
      <c r="L509" s="30">
        <v>0</v>
      </c>
      <c r="M509" s="30">
        <v>1</v>
      </c>
      <c r="N509" s="30">
        <v>1</v>
      </c>
    </row>
    <row r="510" spans="1:14">
      <c r="A510" s="30">
        <v>509</v>
      </c>
      <c r="B510" s="31">
        <v>40566</v>
      </c>
      <c r="C510" s="30">
        <v>7</v>
      </c>
      <c r="D510" s="37" t="s">
        <v>28</v>
      </c>
      <c r="E510" s="30" t="b">
        <v>0</v>
      </c>
      <c r="F510" s="37" t="s">
        <v>19</v>
      </c>
      <c r="G510" s="37" t="s">
        <v>8</v>
      </c>
      <c r="H510" s="30">
        <v>0.08</v>
      </c>
      <c r="I510" s="30">
        <v>0.11</v>
      </c>
      <c r="J510" s="30">
        <v>0.57999999999999996</v>
      </c>
      <c r="K510" s="30">
        <v>0.16</v>
      </c>
      <c r="L510" s="30">
        <v>1</v>
      </c>
      <c r="M510" s="30">
        <v>1</v>
      </c>
      <c r="N510" s="30">
        <v>2</v>
      </c>
    </row>
    <row r="511" spans="1:14">
      <c r="A511" s="30">
        <v>510</v>
      </c>
      <c r="B511" s="31">
        <v>40566</v>
      </c>
      <c r="C511" s="30">
        <v>8</v>
      </c>
      <c r="D511" s="37" t="s">
        <v>28</v>
      </c>
      <c r="E511" s="30" t="b">
        <v>0</v>
      </c>
      <c r="F511" s="37" t="s">
        <v>19</v>
      </c>
      <c r="G511" s="37" t="s">
        <v>8</v>
      </c>
      <c r="H511" s="30">
        <v>0.06</v>
      </c>
      <c r="I511" s="30">
        <v>0.08</v>
      </c>
      <c r="J511" s="30">
        <v>0.62</v>
      </c>
      <c r="K511" s="30">
        <v>0.16</v>
      </c>
      <c r="L511" s="30">
        <v>2</v>
      </c>
      <c r="M511" s="30">
        <v>17</v>
      </c>
      <c r="N511" s="30">
        <v>19</v>
      </c>
    </row>
    <row r="512" spans="1:14">
      <c r="A512" s="30">
        <v>511</v>
      </c>
      <c r="B512" s="31">
        <v>40566</v>
      </c>
      <c r="C512" s="30">
        <v>9</v>
      </c>
      <c r="D512" s="37" t="s">
        <v>28</v>
      </c>
      <c r="E512" s="30" t="b">
        <v>0</v>
      </c>
      <c r="F512" s="37" t="s">
        <v>19</v>
      </c>
      <c r="G512" s="37" t="s">
        <v>8</v>
      </c>
      <c r="H512" s="30">
        <v>0.1</v>
      </c>
      <c r="I512" s="30">
        <v>0.08</v>
      </c>
      <c r="J512" s="30">
        <v>0.54</v>
      </c>
      <c r="K512" s="30">
        <v>0.36</v>
      </c>
      <c r="L512" s="30">
        <v>3</v>
      </c>
      <c r="M512" s="30">
        <v>25</v>
      </c>
      <c r="N512" s="30">
        <v>28</v>
      </c>
    </row>
    <row r="513" spans="1:14">
      <c r="A513" s="30">
        <v>512</v>
      </c>
      <c r="B513" s="31">
        <v>40566</v>
      </c>
      <c r="C513" s="30">
        <v>10</v>
      </c>
      <c r="D513" s="37" t="s">
        <v>28</v>
      </c>
      <c r="E513" s="30" t="b">
        <v>0</v>
      </c>
      <c r="F513" s="37" t="s">
        <v>19</v>
      </c>
      <c r="G513" s="37" t="s">
        <v>8</v>
      </c>
      <c r="H513" s="30">
        <v>0.14000000000000001</v>
      </c>
      <c r="I513" s="30">
        <v>0.11</v>
      </c>
      <c r="J513" s="30">
        <v>0.46</v>
      </c>
      <c r="K513" s="30">
        <v>0.39</v>
      </c>
      <c r="L513" s="30">
        <v>7</v>
      </c>
      <c r="M513" s="30">
        <v>51</v>
      </c>
      <c r="N513" s="30">
        <v>58</v>
      </c>
    </row>
    <row r="514" spans="1:14">
      <c r="A514" s="30">
        <v>513</v>
      </c>
      <c r="B514" s="31">
        <v>40566</v>
      </c>
      <c r="C514" s="30">
        <v>11</v>
      </c>
      <c r="D514" s="37" t="s">
        <v>28</v>
      </c>
      <c r="E514" s="30" t="b">
        <v>0</v>
      </c>
      <c r="F514" s="37" t="s">
        <v>19</v>
      </c>
      <c r="G514" s="37" t="s">
        <v>8</v>
      </c>
      <c r="H514" s="30">
        <v>0.14000000000000001</v>
      </c>
      <c r="I514" s="30">
        <v>0.14000000000000001</v>
      </c>
      <c r="J514" s="30">
        <v>0.43</v>
      </c>
      <c r="K514" s="30">
        <v>0.22</v>
      </c>
      <c r="L514" s="30">
        <v>22</v>
      </c>
      <c r="M514" s="30">
        <v>77</v>
      </c>
      <c r="N514" s="30">
        <v>99</v>
      </c>
    </row>
    <row r="515" spans="1:14">
      <c r="A515" s="30">
        <v>514</v>
      </c>
      <c r="B515" s="31">
        <v>40566</v>
      </c>
      <c r="C515" s="30">
        <v>12</v>
      </c>
      <c r="D515" s="37" t="s">
        <v>29</v>
      </c>
      <c r="E515" s="30" t="b">
        <v>0</v>
      </c>
      <c r="F515" s="37" t="s">
        <v>19</v>
      </c>
      <c r="G515" s="37" t="s">
        <v>8</v>
      </c>
      <c r="H515" s="30">
        <v>0.16</v>
      </c>
      <c r="I515" s="30">
        <v>0.12</v>
      </c>
      <c r="J515" s="30">
        <v>0.37</v>
      </c>
      <c r="K515" s="30">
        <v>0.46</v>
      </c>
      <c r="L515" s="30">
        <v>24</v>
      </c>
      <c r="M515" s="30">
        <v>92</v>
      </c>
      <c r="N515" s="30">
        <v>116</v>
      </c>
    </row>
    <row r="516" spans="1:14">
      <c r="A516" s="30">
        <v>515</v>
      </c>
      <c r="B516" s="31">
        <v>40566</v>
      </c>
      <c r="C516" s="30">
        <v>13</v>
      </c>
      <c r="D516" s="37" t="s">
        <v>29</v>
      </c>
      <c r="E516" s="30" t="b">
        <v>0</v>
      </c>
      <c r="F516" s="37" t="s">
        <v>19</v>
      </c>
      <c r="G516" s="37" t="s">
        <v>8</v>
      </c>
      <c r="H516" s="30">
        <v>0.14000000000000001</v>
      </c>
      <c r="I516" s="30">
        <v>0.11</v>
      </c>
      <c r="J516" s="30">
        <v>0.33</v>
      </c>
      <c r="K516" s="30">
        <v>0.39</v>
      </c>
      <c r="L516" s="30">
        <v>12</v>
      </c>
      <c r="M516" s="30">
        <v>75</v>
      </c>
      <c r="N516" s="30">
        <v>87</v>
      </c>
    </row>
    <row r="517" spans="1:14">
      <c r="A517" s="30">
        <v>516</v>
      </c>
      <c r="B517" s="31">
        <v>40566</v>
      </c>
      <c r="C517" s="30">
        <v>14</v>
      </c>
      <c r="D517" s="37" t="s">
        <v>29</v>
      </c>
      <c r="E517" s="30" t="b">
        <v>0</v>
      </c>
      <c r="F517" s="37" t="s">
        <v>19</v>
      </c>
      <c r="G517" s="37" t="s">
        <v>8</v>
      </c>
      <c r="H517" s="30">
        <v>0.16</v>
      </c>
      <c r="I517" s="30">
        <v>0.14000000000000001</v>
      </c>
      <c r="J517" s="30">
        <v>0.28000000000000003</v>
      </c>
      <c r="K517" s="30">
        <v>0.36</v>
      </c>
      <c r="L517" s="30">
        <v>17</v>
      </c>
      <c r="M517" s="30">
        <v>93</v>
      </c>
      <c r="N517" s="30">
        <v>110</v>
      </c>
    </row>
    <row r="518" spans="1:14">
      <c r="A518" s="30">
        <v>517</v>
      </c>
      <c r="B518" s="31">
        <v>40566</v>
      </c>
      <c r="C518" s="30">
        <v>15</v>
      </c>
      <c r="D518" s="37" t="s">
        <v>29</v>
      </c>
      <c r="E518" s="30" t="b">
        <v>0</v>
      </c>
      <c r="F518" s="37" t="s">
        <v>19</v>
      </c>
      <c r="G518" s="37" t="s">
        <v>8</v>
      </c>
      <c r="H518" s="30">
        <v>0.16</v>
      </c>
      <c r="I518" s="30">
        <v>0.14000000000000001</v>
      </c>
      <c r="J518" s="30">
        <v>0.28000000000000003</v>
      </c>
      <c r="K518" s="30">
        <v>0.36</v>
      </c>
      <c r="L518" s="30">
        <v>13</v>
      </c>
      <c r="M518" s="30">
        <v>64</v>
      </c>
      <c r="N518" s="30">
        <v>77</v>
      </c>
    </row>
    <row r="519" spans="1:14">
      <c r="A519" s="30">
        <v>518</v>
      </c>
      <c r="B519" s="31">
        <v>40566</v>
      </c>
      <c r="C519" s="30">
        <v>16</v>
      </c>
      <c r="D519" s="37" t="s">
        <v>29</v>
      </c>
      <c r="E519" s="30" t="b">
        <v>0</v>
      </c>
      <c r="F519" s="37" t="s">
        <v>19</v>
      </c>
      <c r="G519" s="37" t="s">
        <v>8</v>
      </c>
      <c r="H519" s="30">
        <v>0.16</v>
      </c>
      <c r="I519" s="30">
        <v>0.14000000000000001</v>
      </c>
      <c r="J519" s="30">
        <v>0.26</v>
      </c>
      <c r="K519" s="30">
        <v>0.33</v>
      </c>
      <c r="L519" s="30">
        <v>9</v>
      </c>
      <c r="M519" s="30">
        <v>56</v>
      </c>
      <c r="N519" s="30">
        <v>65</v>
      </c>
    </row>
    <row r="520" spans="1:14">
      <c r="A520" s="30">
        <v>519</v>
      </c>
      <c r="B520" s="31">
        <v>40566</v>
      </c>
      <c r="C520" s="30">
        <v>17</v>
      </c>
      <c r="D520" s="37" t="s">
        <v>29</v>
      </c>
      <c r="E520" s="30" t="b">
        <v>0</v>
      </c>
      <c r="F520" s="37" t="s">
        <v>19</v>
      </c>
      <c r="G520" s="37" t="s">
        <v>8</v>
      </c>
      <c r="H520" s="30">
        <v>0.14000000000000001</v>
      </c>
      <c r="I520" s="30">
        <v>0.11</v>
      </c>
      <c r="J520" s="30">
        <v>0.26</v>
      </c>
      <c r="K520" s="30">
        <v>0.39</v>
      </c>
      <c r="L520" s="30">
        <v>5</v>
      </c>
      <c r="M520" s="30">
        <v>50</v>
      </c>
      <c r="N520" s="30">
        <v>55</v>
      </c>
    </row>
    <row r="521" spans="1:14">
      <c r="A521" s="30">
        <v>520</v>
      </c>
      <c r="B521" s="31">
        <v>40566</v>
      </c>
      <c r="C521" s="30">
        <v>18</v>
      </c>
      <c r="D521" s="37" t="s">
        <v>30</v>
      </c>
      <c r="E521" s="30" t="b">
        <v>0</v>
      </c>
      <c r="F521" s="37" t="s">
        <v>19</v>
      </c>
      <c r="G521" s="37" t="s">
        <v>8</v>
      </c>
      <c r="H521" s="30">
        <v>0.12</v>
      </c>
      <c r="I521" s="30">
        <v>0.12</v>
      </c>
      <c r="J521" s="30">
        <v>0.3</v>
      </c>
      <c r="K521" s="30">
        <v>0.25</v>
      </c>
      <c r="L521" s="30">
        <v>5</v>
      </c>
      <c r="M521" s="30">
        <v>44</v>
      </c>
      <c r="N521" s="30">
        <v>49</v>
      </c>
    </row>
    <row r="522" spans="1:14">
      <c r="A522" s="30">
        <v>521</v>
      </c>
      <c r="B522" s="31">
        <v>40566</v>
      </c>
      <c r="C522" s="30">
        <v>19</v>
      </c>
      <c r="D522" s="37" t="s">
        <v>30</v>
      </c>
      <c r="E522" s="30" t="b">
        <v>0</v>
      </c>
      <c r="F522" s="37" t="s">
        <v>19</v>
      </c>
      <c r="G522" s="37" t="s">
        <v>8</v>
      </c>
      <c r="H522" s="30">
        <v>0.12</v>
      </c>
      <c r="I522" s="30">
        <v>0.12</v>
      </c>
      <c r="J522" s="30">
        <v>0.3</v>
      </c>
      <c r="K522" s="30">
        <v>0.28000000000000003</v>
      </c>
      <c r="L522" s="30">
        <v>5</v>
      </c>
      <c r="M522" s="30">
        <v>45</v>
      </c>
      <c r="N522" s="30">
        <v>50</v>
      </c>
    </row>
    <row r="523" spans="1:14">
      <c r="A523" s="30">
        <v>522</v>
      </c>
      <c r="B523" s="31">
        <v>40566</v>
      </c>
      <c r="C523" s="30">
        <v>20</v>
      </c>
      <c r="D523" s="37" t="s">
        <v>30</v>
      </c>
      <c r="E523" s="30" t="b">
        <v>0</v>
      </c>
      <c r="F523" s="37" t="s">
        <v>19</v>
      </c>
      <c r="G523" s="37" t="s">
        <v>8</v>
      </c>
      <c r="H523" s="30">
        <v>0.1</v>
      </c>
      <c r="I523" s="30">
        <v>0.11</v>
      </c>
      <c r="J523" s="30">
        <v>0.36</v>
      </c>
      <c r="K523" s="30">
        <v>0.25</v>
      </c>
      <c r="L523" s="30">
        <v>4</v>
      </c>
      <c r="M523" s="30">
        <v>31</v>
      </c>
      <c r="N523" s="30">
        <v>35</v>
      </c>
    </row>
    <row r="524" spans="1:14">
      <c r="A524" s="30">
        <v>523</v>
      </c>
      <c r="B524" s="31">
        <v>40566</v>
      </c>
      <c r="C524" s="30">
        <v>21</v>
      </c>
      <c r="D524" s="37" t="s">
        <v>30</v>
      </c>
      <c r="E524" s="30" t="b">
        <v>0</v>
      </c>
      <c r="F524" s="37" t="s">
        <v>19</v>
      </c>
      <c r="G524" s="37" t="s">
        <v>8</v>
      </c>
      <c r="H524" s="30">
        <v>0.1</v>
      </c>
      <c r="I524" s="30">
        <v>0.11</v>
      </c>
      <c r="J524" s="30">
        <v>0.36</v>
      </c>
      <c r="K524" s="30">
        <v>0.19</v>
      </c>
      <c r="L524" s="30">
        <v>5</v>
      </c>
      <c r="M524" s="30">
        <v>20</v>
      </c>
      <c r="N524" s="30">
        <v>25</v>
      </c>
    </row>
    <row r="525" spans="1:14">
      <c r="A525" s="30">
        <v>524</v>
      </c>
      <c r="B525" s="31">
        <v>40566</v>
      </c>
      <c r="C525" s="30">
        <v>22</v>
      </c>
      <c r="D525" s="37" t="s">
        <v>30</v>
      </c>
      <c r="E525" s="30" t="b">
        <v>0</v>
      </c>
      <c r="F525" s="37" t="s">
        <v>19</v>
      </c>
      <c r="G525" s="37" t="s">
        <v>8</v>
      </c>
      <c r="H525" s="30">
        <v>0.08</v>
      </c>
      <c r="I525" s="30">
        <v>0.09</v>
      </c>
      <c r="J525" s="30">
        <v>0.38</v>
      </c>
      <c r="K525" s="30">
        <v>0.19</v>
      </c>
      <c r="L525" s="30">
        <v>5</v>
      </c>
      <c r="M525" s="30">
        <v>23</v>
      </c>
      <c r="N525" s="30">
        <v>28</v>
      </c>
    </row>
    <row r="526" spans="1:14">
      <c r="A526" s="30">
        <v>525</v>
      </c>
      <c r="B526" s="31">
        <v>40566</v>
      </c>
      <c r="C526" s="30">
        <v>23</v>
      </c>
      <c r="D526" s="37" t="s">
        <v>30</v>
      </c>
      <c r="E526" s="30" t="b">
        <v>0</v>
      </c>
      <c r="F526" s="37" t="s">
        <v>19</v>
      </c>
      <c r="G526" s="37" t="s">
        <v>8</v>
      </c>
      <c r="H526" s="30">
        <v>0.06</v>
      </c>
      <c r="I526" s="30">
        <v>0.06</v>
      </c>
      <c r="J526" s="30">
        <v>0.41</v>
      </c>
      <c r="K526" s="30">
        <v>0.22</v>
      </c>
      <c r="L526" s="30">
        <v>4</v>
      </c>
      <c r="M526" s="30">
        <v>17</v>
      </c>
      <c r="N526" s="30">
        <v>21</v>
      </c>
    </row>
    <row r="527" spans="1:14">
      <c r="A527" s="30">
        <v>526</v>
      </c>
      <c r="B527" s="31">
        <v>40567</v>
      </c>
      <c r="C527" s="30">
        <v>0</v>
      </c>
      <c r="D527" s="37" t="s">
        <v>27</v>
      </c>
      <c r="E527" s="30" t="b">
        <v>0</v>
      </c>
      <c r="F527" s="37" t="s">
        <v>20</v>
      </c>
      <c r="G527" s="37" t="s">
        <v>8</v>
      </c>
      <c r="H527" s="30">
        <v>0.06</v>
      </c>
      <c r="I527" s="30">
        <v>0.06</v>
      </c>
      <c r="J527" s="30">
        <v>0.41</v>
      </c>
      <c r="K527" s="30">
        <v>0.19</v>
      </c>
      <c r="L527" s="30">
        <v>0</v>
      </c>
      <c r="M527" s="30">
        <v>7</v>
      </c>
      <c r="N527" s="30">
        <v>7</v>
      </c>
    </row>
    <row r="528" spans="1:14">
      <c r="A528" s="30">
        <v>527</v>
      </c>
      <c r="B528" s="31">
        <v>40567</v>
      </c>
      <c r="C528" s="30">
        <v>1</v>
      </c>
      <c r="D528" s="37" t="s">
        <v>27</v>
      </c>
      <c r="E528" s="30" t="b">
        <v>0</v>
      </c>
      <c r="F528" s="37" t="s">
        <v>20</v>
      </c>
      <c r="G528" s="37" t="s">
        <v>8</v>
      </c>
      <c r="H528" s="30">
        <v>0.04</v>
      </c>
      <c r="I528" s="30">
        <v>0.05</v>
      </c>
      <c r="J528" s="30">
        <v>0.45</v>
      </c>
      <c r="K528" s="30">
        <v>0.19</v>
      </c>
      <c r="L528" s="30">
        <v>0</v>
      </c>
      <c r="M528" s="30">
        <v>1</v>
      </c>
      <c r="N528" s="30">
        <v>1</v>
      </c>
    </row>
    <row r="529" spans="1:14">
      <c r="A529" s="30">
        <v>528</v>
      </c>
      <c r="B529" s="31">
        <v>40567</v>
      </c>
      <c r="C529" s="30">
        <v>3</v>
      </c>
      <c r="D529" s="37" t="s">
        <v>27</v>
      </c>
      <c r="E529" s="30" t="b">
        <v>0</v>
      </c>
      <c r="F529" s="37" t="s">
        <v>20</v>
      </c>
      <c r="G529" s="37" t="s">
        <v>8</v>
      </c>
      <c r="H529" s="30">
        <v>0.04</v>
      </c>
      <c r="I529" s="30">
        <v>0.03</v>
      </c>
      <c r="J529" s="30">
        <v>0.45</v>
      </c>
      <c r="K529" s="30">
        <v>0.25</v>
      </c>
      <c r="L529" s="30">
        <v>0</v>
      </c>
      <c r="M529" s="30">
        <v>1</v>
      </c>
      <c r="N529" s="30">
        <v>1</v>
      </c>
    </row>
    <row r="530" spans="1:14">
      <c r="A530" s="30">
        <v>529</v>
      </c>
      <c r="B530" s="31">
        <v>40567</v>
      </c>
      <c r="C530" s="30">
        <v>4</v>
      </c>
      <c r="D530" s="37" t="s">
        <v>27</v>
      </c>
      <c r="E530" s="30" t="b">
        <v>0</v>
      </c>
      <c r="F530" s="37" t="s">
        <v>20</v>
      </c>
      <c r="G530" s="37" t="s">
        <v>8</v>
      </c>
      <c r="H530" s="30">
        <v>0.02</v>
      </c>
      <c r="I530" s="30">
        <v>0.06</v>
      </c>
      <c r="J530" s="30">
        <v>0.48</v>
      </c>
      <c r="K530" s="30">
        <v>0.13</v>
      </c>
      <c r="L530" s="30">
        <v>0</v>
      </c>
      <c r="M530" s="30">
        <v>1</v>
      </c>
      <c r="N530" s="30">
        <v>1</v>
      </c>
    </row>
    <row r="531" spans="1:14">
      <c r="A531" s="30">
        <v>530</v>
      </c>
      <c r="B531" s="31">
        <v>40567</v>
      </c>
      <c r="C531" s="30">
        <v>5</v>
      </c>
      <c r="D531" s="37" t="s">
        <v>27</v>
      </c>
      <c r="E531" s="30" t="b">
        <v>0</v>
      </c>
      <c r="F531" s="37" t="s">
        <v>20</v>
      </c>
      <c r="G531" s="37" t="s">
        <v>8</v>
      </c>
      <c r="H531" s="30">
        <v>0.02</v>
      </c>
      <c r="I531" s="30">
        <v>0.06</v>
      </c>
      <c r="J531" s="30">
        <v>0.48</v>
      </c>
      <c r="K531" s="30">
        <v>0.13</v>
      </c>
      <c r="L531" s="30">
        <v>0</v>
      </c>
      <c r="M531" s="30">
        <v>5</v>
      </c>
      <c r="N531" s="30">
        <v>5</v>
      </c>
    </row>
    <row r="532" spans="1:14">
      <c r="A532" s="30">
        <v>531</v>
      </c>
      <c r="B532" s="31">
        <v>40567</v>
      </c>
      <c r="C532" s="30">
        <v>6</v>
      </c>
      <c r="D532" s="37" t="s">
        <v>28</v>
      </c>
      <c r="E532" s="30" t="b">
        <v>0</v>
      </c>
      <c r="F532" s="37" t="s">
        <v>20</v>
      </c>
      <c r="G532" s="37" t="s">
        <v>8</v>
      </c>
      <c r="H532" s="30">
        <v>0.02</v>
      </c>
      <c r="I532" s="30">
        <v>0.08</v>
      </c>
      <c r="J532" s="30">
        <v>0.48</v>
      </c>
      <c r="K532" s="30">
        <v>0.09</v>
      </c>
      <c r="L532" s="30">
        <v>0</v>
      </c>
      <c r="M532" s="30">
        <v>15</v>
      </c>
      <c r="N532" s="30">
        <v>15</v>
      </c>
    </row>
    <row r="533" spans="1:14">
      <c r="A533" s="30">
        <v>532</v>
      </c>
      <c r="B533" s="31">
        <v>40567</v>
      </c>
      <c r="C533" s="30">
        <v>7</v>
      </c>
      <c r="D533" s="37" t="s">
        <v>28</v>
      </c>
      <c r="E533" s="30" t="b">
        <v>0</v>
      </c>
      <c r="F533" s="37" t="s">
        <v>20</v>
      </c>
      <c r="G533" s="37" t="s">
        <v>8</v>
      </c>
      <c r="H533" s="30">
        <v>0.02</v>
      </c>
      <c r="I533" s="30">
        <v>0.12</v>
      </c>
      <c r="J533" s="30">
        <v>0.48</v>
      </c>
      <c r="K533" s="30">
        <v>0</v>
      </c>
      <c r="L533" s="30">
        <v>5</v>
      </c>
      <c r="M533" s="30">
        <v>79</v>
      </c>
      <c r="N533" s="30">
        <v>84</v>
      </c>
    </row>
    <row r="534" spans="1:14">
      <c r="A534" s="30">
        <v>533</v>
      </c>
      <c r="B534" s="31">
        <v>40567</v>
      </c>
      <c r="C534" s="30">
        <v>8</v>
      </c>
      <c r="D534" s="37" t="s">
        <v>28</v>
      </c>
      <c r="E534" s="30" t="b">
        <v>0</v>
      </c>
      <c r="F534" s="37" t="s">
        <v>20</v>
      </c>
      <c r="G534" s="37" t="s">
        <v>8</v>
      </c>
      <c r="H534" s="30">
        <v>0.04</v>
      </c>
      <c r="I534" s="30">
        <v>0.14000000000000001</v>
      </c>
      <c r="J534" s="30">
        <v>0.49</v>
      </c>
      <c r="K534" s="30">
        <v>0</v>
      </c>
      <c r="L534" s="30">
        <v>6</v>
      </c>
      <c r="M534" s="30">
        <v>171</v>
      </c>
      <c r="N534" s="30">
        <v>177</v>
      </c>
    </row>
    <row r="535" spans="1:14">
      <c r="A535" s="30">
        <v>534</v>
      </c>
      <c r="B535" s="31">
        <v>40567</v>
      </c>
      <c r="C535" s="30">
        <v>9</v>
      </c>
      <c r="D535" s="37" t="s">
        <v>28</v>
      </c>
      <c r="E535" s="30" t="b">
        <v>0</v>
      </c>
      <c r="F535" s="37" t="s">
        <v>20</v>
      </c>
      <c r="G535" s="37" t="s">
        <v>8</v>
      </c>
      <c r="H535" s="30">
        <v>0.06</v>
      </c>
      <c r="I535" s="30">
        <v>0.15</v>
      </c>
      <c r="J535" s="30">
        <v>0.41</v>
      </c>
      <c r="K535" s="30">
        <v>0</v>
      </c>
      <c r="L535" s="30">
        <v>4</v>
      </c>
      <c r="M535" s="30">
        <v>98</v>
      </c>
      <c r="N535" s="30">
        <v>102</v>
      </c>
    </row>
    <row r="536" spans="1:14">
      <c r="A536" s="30">
        <v>535</v>
      </c>
      <c r="B536" s="31">
        <v>40567</v>
      </c>
      <c r="C536" s="30">
        <v>10</v>
      </c>
      <c r="D536" s="37" t="s">
        <v>28</v>
      </c>
      <c r="E536" s="30" t="b">
        <v>0</v>
      </c>
      <c r="F536" s="37" t="s">
        <v>20</v>
      </c>
      <c r="G536" s="37" t="s">
        <v>8</v>
      </c>
      <c r="H536" s="30">
        <v>0.1</v>
      </c>
      <c r="I536" s="30">
        <v>0.14000000000000001</v>
      </c>
      <c r="J536" s="30">
        <v>0.42</v>
      </c>
      <c r="K536" s="30">
        <v>0</v>
      </c>
      <c r="L536" s="30">
        <v>6</v>
      </c>
      <c r="M536" s="30">
        <v>34</v>
      </c>
      <c r="N536" s="30">
        <v>40</v>
      </c>
    </row>
    <row r="537" spans="1:14">
      <c r="A537" s="30">
        <v>536</v>
      </c>
      <c r="B537" s="31">
        <v>40567</v>
      </c>
      <c r="C537" s="30">
        <v>11</v>
      </c>
      <c r="D537" s="37" t="s">
        <v>28</v>
      </c>
      <c r="E537" s="30" t="b">
        <v>0</v>
      </c>
      <c r="F537" s="37" t="s">
        <v>20</v>
      </c>
      <c r="G537" s="37" t="s">
        <v>8</v>
      </c>
      <c r="H537" s="30">
        <v>0.1</v>
      </c>
      <c r="I537" s="30">
        <v>0.12</v>
      </c>
      <c r="J537" s="30">
        <v>0.46</v>
      </c>
      <c r="K537" s="30">
        <v>0.13</v>
      </c>
      <c r="L537" s="30">
        <v>3</v>
      </c>
      <c r="M537" s="30">
        <v>43</v>
      </c>
      <c r="N537" s="30">
        <v>46</v>
      </c>
    </row>
    <row r="538" spans="1:14">
      <c r="A538" s="30">
        <v>537</v>
      </c>
      <c r="B538" s="31">
        <v>40567</v>
      </c>
      <c r="C538" s="30">
        <v>12</v>
      </c>
      <c r="D538" s="37" t="s">
        <v>29</v>
      </c>
      <c r="E538" s="30" t="b">
        <v>0</v>
      </c>
      <c r="F538" s="37" t="s">
        <v>20</v>
      </c>
      <c r="G538" s="37" t="s">
        <v>9</v>
      </c>
      <c r="H538" s="30">
        <v>0.12</v>
      </c>
      <c r="I538" s="30">
        <v>0.14000000000000001</v>
      </c>
      <c r="J538" s="30">
        <v>0.42</v>
      </c>
      <c r="K538" s="30">
        <v>0.19</v>
      </c>
      <c r="L538" s="30">
        <v>11</v>
      </c>
      <c r="M538" s="30">
        <v>52</v>
      </c>
      <c r="N538" s="30">
        <v>63</v>
      </c>
    </row>
    <row r="539" spans="1:14">
      <c r="A539" s="30">
        <v>538</v>
      </c>
      <c r="B539" s="31">
        <v>40567</v>
      </c>
      <c r="C539" s="30">
        <v>13</v>
      </c>
      <c r="D539" s="37" t="s">
        <v>29</v>
      </c>
      <c r="E539" s="30" t="b">
        <v>0</v>
      </c>
      <c r="F539" s="37" t="s">
        <v>20</v>
      </c>
      <c r="G539" s="37" t="s">
        <v>9</v>
      </c>
      <c r="H539" s="30">
        <v>0.14000000000000001</v>
      </c>
      <c r="I539" s="30">
        <v>0.14000000000000001</v>
      </c>
      <c r="J539" s="30">
        <v>0.43</v>
      </c>
      <c r="K539" s="30">
        <v>0.22</v>
      </c>
      <c r="L539" s="30">
        <v>6</v>
      </c>
      <c r="M539" s="30">
        <v>54</v>
      </c>
      <c r="N539" s="30">
        <v>60</v>
      </c>
    </row>
    <row r="540" spans="1:14">
      <c r="A540" s="30">
        <v>539</v>
      </c>
      <c r="B540" s="31">
        <v>40567</v>
      </c>
      <c r="C540" s="30">
        <v>14</v>
      </c>
      <c r="D540" s="37" t="s">
        <v>29</v>
      </c>
      <c r="E540" s="30" t="b">
        <v>0</v>
      </c>
      <c r="F540" s="37" t="s">
        <v>20</v>
      </c>
      <c r="G540" s="37" t="s">
        <v>9</v>
      </c>
      <c r="H540" s="30">
        <v>0.14000000000000001</v>
      </c>
      <c r="I540" s="30">
        <v>0.14000000000000001</v>
      </c>
      <c r="J540" s="30">
        <v>0.46</v>
      </c>
      <c r="K540" s="30">
        <v>0.22</v>
      </c>
      <c r="L540" s="30">
        <v>2</v>
      </c>
      <c r="M540" s="30">
        <v>43</v>
      </c>
      <c r="N540" s="30">
        <v>45</v>
      </c>
    </row>
    <row r="541" spans="1:14">
      <c r="A541" s="30">
        <v>540</v>
      </c>
      <c r="B541" s="31">
        <v>40567</v>
      </c>
      <c r="C541" s="30">
        <v>15</v>
      </c>
      <c r="D541" s="37" t="s">
        <v>29</v>
      </c>
      <c r="E541" s="30" t="b">
        <v>0</v>
      </c>
      <c r="F541" s="37" t="s">
        <v>20</v>
      </c>
      <c r="G541" s="37" t="s">
        <v>8</v>
      </c>
      <c r="H541" s="30">
        <v>0.16</v>
      </c>
      <c r="I541" s="30">
        <v>0.17</v>
      </c>
      <c r="J541" s="30">
        <v>0.4</v>
      </c>
      <c r="K541" s="30">
        <v>0.16</v>
      </c>
      <c r="L541" s="30">
        <v>7</v>
      </c>
      <c r="M541" s="30">
        <v>50</v>
      </c>
      <c r="N541" s="30">
        <v>57</v>
      </c>
    </row>
    <row r="542" spans="1:14">
      <c r="A542" s="30">
        <v>541</v>
      </c>
      <c r="B542" s="31">
        <v>40567</v>
      </c>
      <c r="C542" s="30">
        <v>16</v>
      </c>
      <c r="D542" s="37" t="s">
        <v>29</v>
      </c>
      <c r="E542" s="30" t="b">
        <v>0</v>
      </c>
      <c r="F542" s="37" t="s">
        <v>20</v>
      </c>
      <c r="G542" s="37" t="s">
        <v>8</v>
      </c>
      <c r="H542" s="30">
        <v>0.16</v>
      </c>
      <c r="I542" s="30">
        <v>0.15</v>
      </c>
      <c r="J542" s="30">
        <v>0.47</v>
      </c>
      <c r="K542" s="30">
        <v>0.25</v>
      </c>
      <c r="L542" s="30">
        <v>4</v>
      </c>
      <c r="M542" s="30">
        <v>66</v>
      </c>
      <c r="N542" s="30">
        <v>70</v>
      </c>
    </row>
    <row r="543" spans="1:14">
      <c r="A543" s="30">
        <v>542</v>
      </c>
      <c r="B543" s="31">
        <v>40567</v>
      </c>
      <c r="C543" s="30">
        <v>17</v>
      </c>
      <c r="D543" s="37" t="s">
        <v>29</v>
      </c>
      <c r="E543" s="30" t="b">
        <v>0</v>
      </c>
      <c r="F543" s="37" t="s">
        <v>20</v>
      </c>
      <c r="G543" s="37" t="s">
        <v>8</v>
      </c>
      <c r="H543" s="30">
        <v>0.14000000000000001</v>
      </c>
      <c r="I543" s="30">
        <v>0.12</v>
      </c>
      <c r="J543" s="30">
        <v>0.5</v>
      </c>
      <c r="K543" s="30">
        <v>0.25</v>
      </c>
      <c r="L543" s="30">
        <v>6</v>
      </c>
      <c r="M543" s="30">
        <v>178</v>
      </c>
      <c r="N543" s="30">
        <v>184</v>
      </c>
    </row>
    <row r="544" spans="1:14">
      <c r="A544" s="30">
        <v>543</v>
      </c>
      <c r="B544" s="31">
        <v>40567</v>
      </c>
      <c r="C544" s="30">
        <v>18</v>
      </c>
      <c r="D544" s="37" t="s">
        <v>30</v>
      </c>
      <c r="E544" s="30" t="b">
        <v>0</v>
      </c>
      <c r="F544" s="37" t="s">
        <v>20</v>
      </c>
      <c r="G544" s="37" t="s">
        <v>8</v>
      </c>
      <c r="H544" s="30">
        <v>0.14000000000000001</v>
      </c>
      <c r="I544" s="30">
        <v>0.14000000000000001</v>
      </c>
      <c r="J544" s="30">
        <v>0.59</v>
      </c>
      <c r="K544" s="30">
        <v>0.19</v>
      </c>
      <c r="L544" s="30">
        <v>8</v>
      </c>
      <c r="M544" s="30">
        <v>145</v>
      </c>
      <c r="N544" s="30">
        <v>153</v>
      </c>
    </row>
    <row r="545" spans="1:14">
      <c r="A545" s="30">
        <v>544</v>
      </c>
      <c r="B545" s="31">
        <v>40567</v>
      </c>
      <c r="C545" s="30">
        <v>19</v>
      </c>
      <c r="D545" s="37" t="s">
        <v>30</v>
      </c>
      <c r="E545" s="30" t="b">
        <v>0</v>
      </c>
      <c r="F545" s="37" t="s">
        <v>20</v>
      </c>
      <c r="G545" s="37" t="s">
        <v>8</v>
      </c>
      <c r="H545" s="30">
        <v>0.14000000000000001</v>
      </c>
      <c r="I545" s="30">
        <v>0.15</v>
      </c>
      <c r="J545" s="30">
        <v>0.54</v>
      </c>
      <c r="K545" s="30">
        <v>0.16</v>
      </c>
      <c r="L545" s="30">
        <v>5</v>
      </c>
      <c r="M545" s="30">
        <v>101</v>
      </c>
      <c r="N545" s="30">
        <v>106</v>
      </c>
    </row>
    <row r="546" spans="1:14">
      <c r="A546" s="30">
        <v>545</v>
      </c>
      <c r="B546" s="31">
        <v>40567</v>
      </c>
      <c r="C546" s="30">
        <v>20</v>
      </c>
      <c r="D546" s="37" t="s">
        <v>30</v>
      </c>
      <c r="E546" s="30" t="b">
        <v>0</v>
      </c>
      <c r="F546" s="37" t="s">
        <v>20</v>
      </c>
      <c r="G546" s="37" t="s">
        <v>8</v>
      </c>
      <c r="H546" s="30">
        <v>0.14000000000000001</v>
      </c>
      <c r="I546" s="30">
        <v>0.14000000000000001</v>
      </c>
      <c r="J546" s="30">
        <v>0.59</v>
      </c>
      <c r="K546" s="30">
        <v>0.19</v>
      </c>
      <c r="L546" s="30">
        <v>1</v>
      </c>
      <c r="M546" s="30">
        <v>80</v>
      </c>
      <c r="N546" s="30">
        <v>81</v>
      </c>
    </row>
    <row r="547" spans="1:14">
      <c r="A547" s="30">
        <v>546</v>
      </c>
      <c r="B547" s="31">
        <v>40567</v>
      </c>
      <c r="C547" s="30">
        <v>21</v>
      </c>
      <c r="D547" s="37" t="s">
        <v>30</v>
      </c>
      <c r="E547" s="30" t="b">
        <v>0</v>
      </c>
      <c r="F547" s="37" t="s">
        <v>20</v>
      </c>
      <c r="G547" s="37" t="s">
        <v>8</v>
      </c>
      <c r="H547" s="30">
        <v>0.14000000000000001</v>
      </c>
      <c r="I547" s="30">
        <v>0.15</v>
      </c>
      <c r="J547" s="30">
        <v>0.63</v>
      </c>
      <c r="K547" s="30">
        <v>0.16</v>
      </c>
      <c r="L547" s="30">
        <v>6</v>
      </c>
      <c r="M547" s="30">
        <v>53</v>
      </c>
      <c r="N547" s="30">
        <v>59</v>
      </c>
    </row>
    <row r="548" spans="1:14">
      <c r="A548" s="30">
        <v>547</v>
      </c>
      <c r="B548" s="31">
        <v>40567</v>
      </c>
      <c r="C548" s="30">
        <v>22</v>
      </c>
      <c r="D548" s="37" t="s">
        <v>30</v>
      </c>
      <c r="E548" s="30" t="b">
        <v>0</v>
      </c>
      <c r="F548" s="37" t="s">
        <v>20</v>
      </c>
      <c r="G548" s="37" t="s">
        <v>9</v>
      </c>
      <c r="H548" s="30">
        <v>0.14000000000000001</v>
      </c>
      <c r="I548" s="30">
        <v>0.14000000000000001</v>
      </c>
      <c r="J548" s="30">
        <v>0.63</v>
      </c>
      <c r="K548" s="30">
        <v>0.22</v>
      </c>
      <c r="L548" s="30">
        <v>3</v>
      </c>
      <c r="M548" s="30">
        <v>32</v>
      </c>
      <c r="N548" s="30">
        <v>35</v>
      </c>
    </row>
    <row r="549" spans="1:14">
      <c r="A549" s="30">
        <v>548</v>
      </c>
      <c r="B549" s="31">
        <v>40567</v>
      </c>
      <c r="C549" s="30">
        <v>23</v>
      </c>
      <c r="D549" s="37" t="s">
        <v>30</v>
      </c>
      <c r="E549" s="30" t="b">
        <v>0</v>
      </c>
      <c r="F549" s="37" t="s">
        <v>20</v>
      </c>
      <c r="G549" s="37" t="s">
        <v>9</v>
      </c>
      <c r="H549" s="30">
        <v>0.16</v>
      </c>
      <c r="I549" s="30">
        <v>0.15</v>
      </c>
      <c r="J549" s="30">
        <v>0.64</v>
      </c>
      <c r="K549" s="30">
        <v>0.25</v>
      </c>
      <c r="L549" s="30">
        <v>3</v>
      </c>
      <c r="M549" s="30">
        <v>21</v>
      </c>
      <c r="N549" s="30">
        <v>24</v>
      </c>
    </row>
    <row r="550" spans="1:14">
      <c r="A550" s="30">
        <v>549</v>
      </c>
      <c r="B550" s="31">
        <v>40568</v>
      </c>
      <c r="C550" s="30">
        <v>0</v>
      </c>
      <c r="D550" s="37" t="s">
        <v>27</v>
      </c>
      <c r="E550" s="30" t="b">
        <v>0</v>
      </c>
      <c r="F550" s="37" t="s">
        <v>21</v>
      </c>
      <c r="G550" s="37" t="s">
        <v>9</v>
      </c>
      <c r="H550" s="30">
        <v>0.16</v>
      </c>
      <c r="I550" s="30">
        <v>0.14000000000000001</v>
      </c>
      <c r="J550" s="30">
        <v>0.69</v>
      </c>
      <c r="K550" s="30">
        <v>0.28000000000000003</v>
      </c>
      <c r="L550" s="30">
        <v>3</v>
      </c>
      <c r="M550" s="30">
        <v>6</v>
      </c>
      <c r="N550" s="30">
        <v>9</v>
      </c>
    </row>
    <row r="551" spans="1:14">
      <c r="A551" s="30">
        <v>550</v>
      </c>
      <c r="B551" s="31">
        <v>40568</v>
      </c>
      <c r="C551" s="30">
        <v>1</v>
      </c>
      <c r="D551" s="37" t="s">
        <v>27</v>
      </c>
      <c r="E551" s="30" t="b">
        <v>0</v>
      </c>
      <c r="F551" s="37" t="s">
        <v>21</v>
      </c>
      <c r="G551" s="37" t="s">
        <v>9</v>
      </c>
      <c r="H551" s="30">
        <v>0.16</v>
      </c>
      <c r="I551" s="30">
        <v>0.17</v>
      </c>
      <c r="J551" s="30">
        <v>0.69</v>
      </c>
      <c r="K551" s="30">
        <v>0.16</v>
      </c>
      <c r="L551" s="30">
        <v>0</v>
      </c>
      <c r="M551" s="30">
        <v>5</v>
      </c>
      <c r="N551" s="30">
        <v>5</v>
      </c>
    </row>
    <row r="552" spans="1:14">
      <c r="A552" s="30">
        <v>551</v>
      </c>
      <c r="B552" s="31">
        <v>40568</v>
      </c>
      <c r="C552" s="30">
        <v>2</v>
      </c>
      <c r="D552" s="37" t="s">
        <v>27</v>
      </c>
      <c r="E552" s="30" t="b">
        <v>0</v>
      </c>
      <c r="F552" s="37" t="s">
        <v>21</v>
      </c>
      <c r="G552" s="37" t="s">
        <v>8</v>
      </c>
      <c r="H552" s="30">
        <v>0.16</v>
      </c>
      <c r="I552" s="30">
        <v>0.15</v>
      </c>
      <c r="J552" s="30">
        <v>0.69</v>
      </c>
      <c r="K552" s="30">
        <v>0.22</v>
      </c>
      <c r="L552" s="30">
        <v>0</v>
      </c>
      <c r="M552" s="30">
        <v>2</v>
      </c>
      <c r="N552" s="30">
        <v>2</v>
      </c>
    </row>
    <row r="553" spans="1:14">
      <c r="A553" s="30">
        <v>552</v>
      </c>
      <c r="B553" s="31">
        <v>40568</v>
      </c>
      <c r="C553" s="30">
        <v>4</v>
      </c>
      <c r="D553" s="37" t="s">
        <v>27</v>
      </c>
      <c r="E553" s="30" t="b">
        <v>0</v>
      </c>
      <c r="F553" s="37" t="s">
        <v>21</v>
      </c>
      <c r="G553" s="37" t="s">
        <v>8</v>
      </c>
      <c r="H553" s="30">
        <v>0.14000000000000001</v>
      </c>
      <c r="I553" s="30">
        <v>0.17</v>
      </c>
      <c r="J553" s="30">
        <v>0.74</v>
      </c>
      <c r="K553" s="30">
        <v>0.1</v>
      </c>
      <c r="L553" s="30">
        <v>0</v>
      </c>
      <c r="M553" s="30">
        <v>1</v>
      </c>
      <c r="N553" s="30">
        <v>1</v>
      </c>
    </row>
    <row r="554" spans="1:14">
      <c r="A554" s="30">
        <v>553</v>
      </c>
      <c r="B554" s="31">
        <v>40568</v>
      </c>
      <c r="C554" s="30">
        <v>5</v>
      </c>
      <c r="D554" s="37" t="s">
        <v>27</v>
      </c>
      <c r="E554" s="30" t="b">
        <v>0</v>
      </c>
      <c r="F554" s="37" t="s">
        <v>21</v>
      </c>
      <c r="G554" s="37" t="s">
        <v>8</v>
      </c>
      <c r="H554" s="30">
        <v>0.14000000000000001</v>
      </c>
      <c r="I554" s="30">
        <v>0.14000000000000001</v>
      </c>
      <c r="J554" s="30">
        <v>0.74</v>
      </c>
      <c r="K554" s="30">
        <v>0.22</v>
      </c>
      <c r="L554" s="30">
        <v>0</v>
      </c>
      <c r="M554" s="30">
        <v>9</v>
      </c>
      <c r="N554" s="30">
        <v>9</v>
      </c>
    </row>
    <row r="555" spans="1:14">
      <c r="A555" s="30">
        <v>554</v>
      </c>
      <c r="B555" s="31">
        <v>40568</v>
      </c>
      <c r="C555" s="30">
        <v>6</v>
      </c>
      <c r="D555" s="37" t="s">
        <v>28</v>
      </c>
      <c r="E555" s="30" t="b">
        <v>0</v>
      </c>
      <c r="F555" s="37" t="s">
        <v>21</v>
      </c>
      <c r="G555" s="37" t="s">
        <v>8</v>
      </c>
      <c r="H555" s="30">
        <v>0.16</v>
      </c>
      <c r="I555" s="30">
        <v>0.18</v>
      </c>
      <c r="J555" s="30">
        <v>0.74</v>
      </c>
      <c r="K555" s="30">
        <v>0.1</v>
      </c>
      <c r="L555" s="30">
        <v>1</v>
      </c>
      <c r="M555" s="30">
        <v>35</v>
      </c>
      <c r="N555" s="30">
        <v>36</v>
      </c>
    </row>
    <row r="556" spans="1:14">
      <c r="A556" s="30">
        <v>555</v>
      </c>
      <c r="B556" s="31">
        <v>40568</v>
      </c>
      <c r="C556" s="30">
        <v>7</v>
      </c>
      <c r="D556" s="37" t="s">
        <v>28</v>
      </c>
      <c r="E556" s="30" t="b">
        <v>0</v>
      </c>
      <c r="F556" s="37" t="s">
        <v>21</v>
      </c>
      <c r="G556" s="37" t="s">
        <v>8</v>
      </c>
      <c r="H556" s="30">
        <v>0.16</v>
      </c>
      <c r="I556" s="30">
        <v>0.15</v>
      </c>
      <c r="J556" s="30">
        <v>0.74</v>
      </c>
      <c r="K556" s="30">
        <v>0.22</v>
      </c>
      <c r="L556" s="30">
        <v>5</v>
      </c>
      <c r="M556" s="30">
        <v>103</v>
      </c>
      <c r="N556" s="30">
        <v>108</v>
      </c>
    </row>
    <row r="557" spans="1:14">
      <c r="A557" s="30">
        <v>556</v>
      </c>
      <c r="B557" s="31">
        <v>40568</v>
      </c>
      <c r="C557" s="30">
        <v>8</v>
      </c>
      <c r="D557" s="37" t="s">
        <v>28</v>
      </c>
      <c r="E557" s="30" t="b">
        <v>0</v>
      </c>
      <c r="F557" s="37" t="s">
        <v>21</v>
      </c>
      <c r="G557" s="37" t="s">
        <v>9</v>
      </c>
      <c r="H557" s="30">
        <v>0.16</v>
      </c>
      <c r="I557" s="30">
        <v>0.18</v>
      </c>
      <c r="J557" s="30">
        <v>0.74</v>
      </c>
      <c r="K557" s="30">
        <v>0.13</v>
      </c>
      <c r="L557" s="30">
        <v>5</v>
      </c>
      <c r="M557" s="30">
        <v>233</v>
      </c>
      <c r="N557" s="30">
        <v>238</v>
      </c>
    </row>
    <row r="558" spans="1:14">
      <c r="A558" s="30">
        <v>557</v>
      </c>
      <c r="B558" s="31">
        <v>40568</v>
      </c>
      <c r="C558" s="30">
        <v>9</v>
      </c>
      <c r="D558" s="37" t="s">
        <v>28</v>
      </c>
      <c r="E558" s="30" t="b">
        <v>0</v>
      </c>
      <c r="F558" s="37" t="s">
        <v>21</v>
      </c>
      <c r="G558" s="37" t="s">
        <v>9</v>
      </c>
      <c r="H558" s="30">
        <v>0.2</v>
      </c>
      <c r="I558" s="30">
        <v>0.23</v>
      </c>
      <c r="J558" s="30">
        <v>0.64</v>
      </c>
      <c r="K558" s="30">
        <v>0.09</v>
      </c>
      <c r="L558" s="30">
        <v>10</v>
      </c>
      <c r="M558" s="30">
        <v>134</v>
      </c>
      <c r="N558" s="30">
        <v>144</v>
      </c>
    </row>
    <row r="559" spans="1:14">
      <c r="A559" s="30">
        <v>558</v>
      </c>
      <c r="B559" s="31">
        <v>40568</v>
      </c>
      <c r="C559" s="30">
        <v>10</v>
      </c>
      <c r="D559" s="37" t="s">
        <v>28</v>
      </c>
      <c r="E559" s="30" t="b">
        <v>0</v>
      </c>
      <c r="F559" s="37" t="s">
        <v>21</v>
      </c>
      <c r="G559" s="37" t="s">
        <v>9</v>
      </c>
      <c r="H559" s="30">
        <v>0.22</v>
      </c>
      <c r="I559" s="30">
        <v>0.24</v>
      </c>
      <c r="J559" s="30">
        <v>0.6</v>
      </c>
      <c r="K559" s="30">
        <v>0.1</v>
      </c>
      <c r="L559" s="30">
        <v>6</v>
      </c>
      <c r="M559" s="30">
        <v>49</v>
      </c>
      <c r="N559" s="30">
        <v>55</v>
      </c>
    </row>
    <row r="560" spans="1:14">
      <c r="A560" s="30">
        <v>559</v>
      </c>
      <c r="B560" s="31">
        <v>40568</v>
      </c>
      <c r="C560" s="30">
        <v>11</v>
      </c>
      <c r="D560" s="37" t="s">
        <v>28</v>
      </c>
      <c r="E560" s="30" t="b">
        <v>0</v>
      </c>
      <c r="F560" s="37" t="s">
        <v>21</v>
      </c>
      <c r="G560" s="37" t="s">
        <v>9</v>
      </c>
      <c r="H560" s="30">
        <v>0.24</v>
      </c>
      <c r="I560" s="30">
        <v>0.24</v>
      </c>
      <c r="J560" s="30">
        <v>0.6</v>
      </c>
      <c r="K560" s="30">
        <v>0.13</v>
      </c>
      <c r="L560" s="30">
        <v>6</v>
      </c>
      <c r="M560" s="30">
        <v>55</v>
      </c>
      <c r="N560" s="30">
        <v>61</v>
      </c>
    </row>
    <row r="561" spans="1:14">
      <c r="A561" s="30">
        <v>560</v>
      </c>
      <c r="B561" s="31">
        <v>40568</v>
      </c>
      <c r="C561" s="30">
        <v>12</v>
      </c>
      <c r="D561" s="37" t="s">
        <v>29</v>
      </c>
      <c r="E561" s="30" t="b">
        <v>0</v>
      </c>
      <c r="F561" s="37" t="s">
        <v>21</v>
      </c>
      <c r="G561" s="37" t="s">
        <v>9</v>
      </c>
      <c r="H561" s="30">
        <v>0.26</v>
      </c>
      <c r="I561" s="30">
        <v>0.28999999999999998</v>
      </c>
      <c r="J561" s="30">
        <v>0.56000000000000005</v>
      </c>
      <c r="K561" s="30">
        <v>0.09</v>
      </c>
      <c r="L561" s="30">
        <v>21</v>
      </c>
      <c r="M561" s="30">
        <v>85</v>
      </c>
      <c r="N561" s="30">
        <v>106</v>
      </c>
    </row>
    <row r="562" spans="1:14">
      <c r="A562" s="30">
        <v>561</v>
      </c>
      <c r="B562" s="31">
        <v>40568</v>
      </c>
      <c r="C562" s="30">
        <v>13</v>
      </c>
      <c r="D562" s="37" t="s">
        <v>29</v>
      </c>
      <c r="E562" s="30" t="b">
        <v>0</v>
      </c>
      <c r="F562" s="37" t="s">
        <v>21</v>
      </c>
      <c r="G562" s="37" t="s">
        <v>9</v>
      </c>
      <c r="H562" s="30">
        <v>0.26</v>
      </c>
      <c r="I562" s="30">
        <v>0.27</v>
      </c>
      <c r="J562" s="30">
        <v>0.56000000000000005</v>
      </c>
      <c r="K562" s="30">
        <v>0.13</v>
      </c>
      <c r="L562" s="30">
        <v>21</v>
      </c>
      <c r="M562" s="30">
        <v>72</v>
      </c>
      <c r="N562" s="30">
        <v>93</v>
      </c>
    </row>
    <row r="563" spans="1:14">
      <c r="A563" s="30">
        <v>562</v>
      </c>
      <c r="B563" s="31">
        <v>40568</v>
      </c>
      <c r="C563" s="30">
        <v>14</v>
      </c>
      <c r="D563" s="37" t="s">
        <v>29</v>
      </c>
      <c r="E563" s="30" t="b">
        <v>0</v>
      </c>
      <c r="F563" s="37" t="s">
        <v>21</v>
      </c>
      <c r="G563" s="37" t="s">
        <v>9</v>
      </c>
      <c r="H563" s="30">
        <v>0.3</v>
      </c>
      <c r="I563" s="30">
        <v>0.33</v>
      </c>
      <c r="J563" s="30">
        <v>0.45</v>
      </c>
      <c r="K563" s="30">
        <v>0</v>
      </c>
      <c r="L563" s="30">
        <v>11</v>
      </c>
      <c r="M563" s="30">
        <v>57</v>
      </c>
      <c r="N563" s="30">
        <v>68</v>
      </c>
    </row>
    <row r="564" spans="1:14">
      <c r="A564" s="30">
        <v>563</v>
      </c>
      <c r="B564" s="31">
        <v>40568</v>
      </c>
      <c r="C564" s="30">
        <v>15</v>
      </c>
      <c r="D564" s="37" t="s">
        <v>29</v>
      </c>
      <c r="E564" s="30" t="b">
        <v>0</v>
      </c>
      <c r="F564" s="37" t="s">
        <v>21</v>
      </c>
      <c r="G564" s="37" t="s">
        <v>9</v>
      </c>
      <c r="H564" s="30">
        <v>0.32</v>
      </c>
      <c r="I564" s="30">
        <v>0.35</v>
      </c>
      <c r="J564" s="30">
        <v>0.42</v>
      </c>
      <c r="K564" s="30">
        <v>0</v>
      </c>
      <c r="L564" s="30">
        <v>21</v>
      </c>
      <c r="M564" s="30">
        <v>63</v>
      </c>
      <c r="N564" s="30">
        <v>84</v>
      </c>
    </row>
    <row r="565" spans="1:14">
      <c r="A565" s="30">
        <v>564</v>
      </c>
      <c r="B565" s="31">
        <v>40568</v>
      </c>
      <c r="C565" s="30">
        <v>16</v>
      </c>
      <c r="D565" s="37" t="s">
        <v>29</v>
      </c>
      <c r="E565" s="30" t="b">
        <v>0</v>
      </c>
      <c r="F565" s="37" t="s">
        <v>21</v>
      </c>
      <c r="G565" s="37" t="s">
        <v>9</v>
      </c>
      <c r="H565" s="30">
        <v>0.32</v>
      </c>
      <c r="I565" s="30">
        <v>0.35</v>
      </c>
      <c r="J565" s="30">
        <v>0.42</v>
      </c>
      <c r="K565" s="30">
        <v>0</v>
      </c>
      <c r="L565" s="30">
        <v>14</v>
      </c>
      <c r="M565" s="30">
        <v>102</v>
      </c>
      <c r="N565" s="30">
        <v>116</v>
      </c>
    </row>
    <row r="566" spans="1:14">
      <c r="A566" s="30">
        <v>565</v>
      </c>
      <c r="B566" s="31">
        <v>40568</v>
      </c>
      <c r="C566" s="30">
        <v>17</v>
      </c>
      <c r="D566" s="37" t="s">
        <v>29</v>
      </c>
      <c r="E566" s="30" t="b">
        <v>0</v>
      </c>
      <c r="F566" s="37" t="s">
        <v>21</v>
      </c>
      <c r="G566" s="37" t="s">
        <v>8</v>
      </c>
      <c r="H566" s="30">
        <v>0.3</v>
      </c>
      <c r="I566" s="30">
        <v>0.33</v>
      </c>
      <c r="J566" s="30">
        <v>0.45</v>
      </c>
      <c r="K566" s="30">
        <v>0</v>
      </c>
      <c r="L566" s="30">
        <v>14</v>
      </c>
      <c r="M566" s="30">
        <v>208</v>
      </c>
      <c r="N566" s="30">
        <v>222</v>
      </c>
    </row>
    <row r="567" spans="1:14">
      <c r="A567" s="30">
        <v>566</v>
      </c>
      <c r="B567" s="31">
        <v>40568</v>
      </c>
      <c r="C567" s="30">
        <v>18</v>
      </c>
      <c r="D567" s="37" t="s">
        <v>30</v>
      </c>
      <c r="E567" s="30" t="b">
        <v>0</v>
      </c>
      <c r="F567" s="37" t="s">
        <v>21</v>
      </c>
      <c r="G567" s="37" t="s">
        <v>9</v>
      </c>
      <c r="H567" s="30">
        <v>0.3</v>
      </c>
      <c r="I567" s="30">
        <v>0.32</v>
      </c>
      <c r="J567" s="30">
        <v>0.49</v>
      </c>
      <c r="K567" s="30">
        <v>0.09</v>
      </c>
      <c r="L567" s="30">
        <v>7</v>
      </c>
      <c r="M567" s="30">
        <v>218</v>
      </c>
      <c r="N567" s="30">
        <v>225</v>
      </c>
    </row>
    <row r="568" spans="1:14">
      <c r="A568" s="30">
        <v>567</v>
      </c>
      <c r="B568" s="31">
        <v>40568</v>
      </c>
      <c r="C568" s="30">
        <v>19</v>
      </c>
      <c r="D568" s="37" t="s">
        <v>30</v>
      </c>
      <c r="E568" s="30" t="b">
        <v>0</v>
      </c>
      <c r="F568" s="37" t="s">
        <v>21</v>
      </c>
      <c r="G568" s="37" t="s">
        <v>9</v>
      </c>
      <c r="H568" s="30">
        <v>0.26</v>
      </c>
      <c r="I568" s="30">
        <v>0.26</v>
      </c>
      <c r="J568" s="30">
        <v>0.65</v>
      </c>
      <c r="K568" s="30">
        <v>0.16</v>
      </c>
      <c r="L568" s="30">
        <v>13</v>
      </c>
      <c r="M568" s="30">
        <v>133</v>
      </c>
      <c r="N568" s="30">
        <v>146</v>
      </c>
    </row>
    <row r="569" spans="1:14">
      <c r="A569" s="30">
        <v>568</v>
      </c>
      <c r="B569" s="31">
        <v>40568</v>
      </c>
      <c r="C569" s="30">
        <v>20</v>
      </c>
      <c r="D569" s="37" t="s">
        <v>30</v>
      </c>
      <c r="E569" s="30" t="b">
        <v>0</v>
      </c>
      <c r="F569" s="37" t="s">
        <v>21</v>
      </c>
      <c r="G569" s="37" t="s">
        <v>8</v>
      </c>
      <c r="H569" s="30">
        <v>0.24</v>
      </c>
      <c r="I569" s="30">
        <v>0.23</v>
      </c>
      <c r="J569" s="30">
        <v>0.65</v>
      </c>
      <c r="K569" s="30">
        <v>0.19</v>
      </c>
      <c r="L569" s="30">
        <v>16</v>
      </c>
      <c r="M569" s="30">
        <v>103</v>
      </c>
      <c r="N569" s="30">
        <v>119</v>
      </c>
    </row>
    <row r="570" spans="1:14">
      <c r="A570" s="30">
        <v>569</v>
      </c>
      <c r="B570" s="31">
        <v>40568</v>
      </c>
      <c r="C570" s="30">
        <v>21</v>
      </c>
      <c r="D570" s="37" t="s">
        <v>30</v>
      </c>
      <c r="E570" s="30" t="b">
        <v>0</v>
      </c>
      <c r="F570" s="37" t="s">
        <v>21</v>
      </c>
      <c r="G570" s="37" t="s">
        <v>8</v>
      </c>
      <c r="H570" s="30">
        <v>0.24</v>
      </c>
      <c r="I570" s="30">
        <v>0.23</v>
      </c>
      <c r="J570" s="30">
        <v>0.65</v>
      </c>
      <c r="K570" s="30">
        <v>0.19</v>
      </c>
      <c r="L570" s="30">
        <v>5</v>
      </c>
      <c r="M570" s="30">
        <v>40</v>
      </c>
      <c r="N570" s="30">
        <v>45</v>
      </c>
    </row>
    <row r="571" spans="1:14">
      <c r="A571" s="30">
        <v>570</v>
      </c>
      <c r="B571" s="31">
        <v>40568</v>
      </c>
      <c r="C571" s="30">
        <v>22</v>
      </c>
      <c r="D571" s="37" t="s">
        <v>30</v>
      </c>
      <c r="E571" s="30" t="b">
        <v>0</v>
      </c>
      <c r="F571" s="37" t="s">
        <v>21</v>
      </c>
      <c r="G571" s="37" t="s">
        <v>8</v>
      </c>
      <c r="H571" s="30">
        <v>0.22</v>
      </c>
      <c r="I571" s="30">
        <v>0.23</v>
      </c>
      <c r="J571" s="30">
        <v>0.64</v>
      </c>
      <c r="K571" s="30">
        <v>0.16</v>
      </c>
      <c r="L571" s="30">
        <v>4</v>
      </c>
      <c r="M571" s="30">
        <v>49</v>
      </c>
      <c r="N571" s="30">
        <v>53</v>
      </c>
    </row>
    <row r="572" spans="1:14">
      <c r="A572" s="30">
        <v>571</v>
      </c>
      <c r="B572" s="31">
        <v>40568</v>
      </c>
      <c r="C572" s="30">
        <v>23</v>
      </c>
      <c r="D572" s="37" t="s">
        <v>30</v>
      </c>
      <c r="E572" s="30" t="b">
        <v>0</v>
      </c>
      <c r="F572" s="37" t="s">
        <v>21</v>
      </c>
      <c r="G572" s="37" t="s">
        <v>9</v>
      </c>
      <c r="H572" s="30">
        <v>0.22</v>
      </c>
      <c r="I572" s="30">
        <v>0.23</v>
      </c>
      <c r="J572" s="30">
        <v>0.64</v>
      </c>
      <c r="K572" s="30">
        <v>0.16</v>
      </c>
      <c r="L572" s="30">
        <v>3</v>
      </c>
      <c r="M572" s="30">
        <v>37</v>
      </c>
      <c r="N572" s="30">
        <v>40</v>
      </c>
    </row>
    <row r="573" spans="1:14">
      <c r="A573" s="30">
        <v>572</v>
      </c>
      <c r="B573" s="31">
        <v>40569</v>
      </c>
      <c r="C573" s="30">
        <v>0</v>
      </c>
      <c r="D573" s="37" t="s">
        <v>27</v>
      </c>
      <c r="E573" s="30" t="b">
        <v>0</v>
      </c>
      <c r="F573" s="37" t="s">
        <v>22</v>
      </c>
      <c r="G573" s="37" t="s">
        <v>9</v>
      </c>
      <c r="H573" s="30">
        <v>0.22</v>
      </c>
      <c r="I573" s="30">
        <v>0.23</v>
      </c>
      <c r="J573" s="30">
        <v>0.69</v>
      </c>
      <c r="K573" s="30">
        <v>0.13</v>
      </c>
      <c r="L573" s="30">
        <v>3</v>
      </c>
      <c r="M573" s="30">
        <v>14</v>
      </c>
      <c r="N573" s="30">
        <v>17</v>
      </c>
    </row>
    <row r="574" spans="1:14">
      <c r="A574" s="30">
        <v>573</v>
      </c>
      <c r="B574" s="31">
        <v>40569</v>
      </c>
      <c r="C574" s="30">
        <v>1</v>
      </c>
      <c r="D574" s="37" t="s">
        <v>27</v>
      </c>
      <c r="E574" s="30" t="b">
        <v>0</v>
      </c>
      <c r="F574" s="37" t="s">
        <v>22</v>
      </c>
      <c r="G574" s="37" t="s">
        <v>9</v>
      </c>
      <c r="H574" s="30">
        <v>0.24</v>
      </c>
      <c r="I574" s="30">
        <v>0.24</v>
      </c>
      <c r="J574" s="30">
        <v>0.65</v>
      </c>
      <c r="K574" s="30">
        <v>0.13</v>
      </c>
      <c r="L574" s="30">
        <v>0</v>
      </c>
      <c r="M574" s="30">
        <v>5</v>
      </c>
      <c r="N574" s="30">
        <v>5</v>
      </c>
    </row>
    <row r="575" spans="1:14">
      <c r="A575" s="30">
        <v>574</v>
      </c>
      <c r="B575" s="31">
        <v>40569</v>
      </c>
      <c r="C575" s="30">
        <v>2</v>
      </c>
      <c r="D575" s="37" t="s">
        <v>27</v>
      </c>
      <c r="E575" s="30" t="b">
        <v>0</v>
      </c>
      <c r="F575" s="37" t="s">
        <v>22</v>
      </c>
      <c r="G575" s="37" t="s">
        <v>10</v>
      </c>
      <c r="H575" s="30">
        <v>0.22</v>
      </c>
      <c r="I575" s="30">
        <v>0.23</v>
      </c>
      <c r="J575" s="30">
        <v>0.69</v>
      </c>
      <c r="K575" s="30">
        <v>0.19</v>
      </c>
      <c r="L575" s="30">
        <v>3</v>
      </c>
      <c r="M575" s="30">
        <v>7</v>
      </c>
      <c r="N575" s="30">
        <v>10</v>
      </c>
    </row>
    <row r="576" spans="1:14">
      <c r="A576" s="30">
        <v>575</v>
      </c>
      <c r="B576" s="31">
        <v>40569</v>
      </c>
      <c r="C576" s="30">
        <v>5</v>
      </c>
      <c r="D576" s="37" t="s">
        <v>27</v>
      </c>
      <c r="E576" s="30" t="b">
        <v>0</v>
      </c>
      <c r="F576" s="37" t="s">
        <v>22</v>
      </c>
      <c r="G576" s="37" t="s">
        <v>10</v>
      </c>
      <c r="H576" s="30">
        <v>0.2</v>
      </c>
      <c r="I576" s="30">
        <v>0.18</v>
      </c>
      <c r="J576" s="30">
        <v>0.86</v>
      </c>
      <c r="K576" s="30">
        <v>0.28000000000000003</v>
      </c>
      <c r="L576" s="30">
        <v>0</v>
      </c>
      <c r="M576" s="30">
        <v>1</v>
      </c>
      <c r="N576" s="30">
        <v>1</v>
      </c>
    </row>
    <row r="577" spans="1:14">
      <c r="A577" s="30">
        <v>576</v>
      </c>
      <c r="B577" s="31">
        <v>40569</v>
      </c>
      <c r="C577" s="30">
        <v>6</v>
      </c>
      <c r="D577" s="37" t="s">
        <v>28</v>
      </c>
      <c r="E577" s="30" t="b">
        <v>0</v>
      </c>
      <c r="F577" s="37" t="s">
        <v>22</v>
      </c>
      <c r="G577" s="37" t="s">
        <v>10</v>
      </c>
      <c r="H577" s="30">
        <v>0.2</v>
      </c>
      <c r="I577" s="30">
        <v>0.18</v>
      </c>
      <c r="J577" s="30">
        <v>0.86</v>
      </c>
      <c r="K577" s="30">
        <v>0.28000000000000003</v>
      </c>
      <c r="L577" s="30">
        <v>0</v>
      </c>
      <c r="M577" s="30">
        <v>8</v>
      </c>
      <c r="N577" s="30">
        <v>8</v>
      </c>
    </row>
    <row r="578" spans="1:14">
      <c r="A578" s="30">
        <v>577</v>
      </c>
      <c r="B578" s="31">
        <v>40569</v>
      </c>
      <c r="C578" s="30">
        <v>7</v>
      </c>
      <c r="D578" s="37" t="s">
        <v>28</v>
      </c>
      <c r="E578" s="30" t="b">
        <v>0</v>
      </c>
      <c r="F578" s="37" t="s">
        <v>22</v>
      </c>
      <c r="G578" s="37" t="s">
        <v>10</v>
      </c>
      <c r="H578" s="30">
        <v>0.22</v>
      </c>
      <c r="I578" s="30">
        <v>0.21</v>
      </c>
      <c r="J578" s="30">
        <v>0.87</v>
      </c>
      <c r="K578" s="30">
        <v>0.3</v>
      </c>
      <c r="L578" s="30">
        <v>1</v>
      </c>
      <c r="M578" s="30">
        <v>29</v>
      </c>
      <c r="N578" s="30">
        <v>30</v>
      </c>
    </row>
    <row r="579" spans="1:14">
      <c r="A579" s="30">
        <v>578</v>
      </c>
      <c r="B579" s="31">
        <v>40569</v>
      </c>
      <c r="C579" s="30">
        <v>8</v>
      </c>
      <c r="D579" s="37" t="s">
        <v>28</v>
      </c>
      <c r="E579" s="30" t="b">
        <v>0</v>
      </c>
      <c r="F579" s="37" t="s">
        <v>22</v>
      </c>
      <c r="G579" s="37" t="s">
        <v>10</v>
      </c>
      <c r="H579" s="30">
        <v>0.22</v>
      </c>
      <c r="I579" s="30">
        <v>0.21</v>
      </c>
      <c r="J579" s="30">
        <v>0.87</v>
      </c>
      <c r="K579" s="30">
        <v>0.3</v>
      </c>
      <c r="L579" s="30">
        <v>3</v>
      </c>
      <c r="M579" s="30">
        <v>69</v>
      </c>
      <c r="N579" s="30">
        <v>72</v>
      </c>
    </row>
    <row r="580" spans="1:14">
      <c r="A580" s="30">
        <v>579</v>
      </c>
      <c r="B580" s="31">
        <v>40569</v>
      </c>
      <c r="C580" s="30">
        <v>9</v>
      </c>
      <c r="D580" s="37" t="s">
        <v>28</v>
      </c>
      <c r="E580" s="30" t="b">
        <v>0</v>
      </c>
      <c r="F580" s="37" t="s">
        <v>22</v>
      </c>
      <c r="G580" s="37" t="s">
        <v>10</v>
      </c>
      <c r="H580" s="30">
        <v>0.22</v>
      </c>
      <c r="I580" s="30">
        <v>0.21</v>
      </c>
      <c r="J580" s="30">
        <v>0.87</v>
      </c>
      <c r="K580" s="30">
        <v>0.3</v>
      </c>
      <c r="L580" s="30">
        <v>3</v>
      </c>
      <c r="M580" s="30">
        <v>55</v>
      </c>
      <c r="N580" s="30">
        <v>58</v>
      </c>
    </row>
    <row r="581" spans="1:14">
      <c r="A581" s="30">
        <v>580</v>
      </c>
      <c r="B581" s="31">
        <v>40569</v>
      </c>
      <c r="C581" s="30">
        <v>10</v>
      </c>
      <c r="D581" s="37" t="s">
        <v>28</v>
      </c>
      <c r="E581" s="30" t="b">
        <v>0</v>
      </c>
      <c r="F581" s="37" t="s">
        <v>22</v>
      </c>
      <c r="G581" s="37" t="s">
        <v>10</v>
      </c>
      <c r="H581" s="30">
        <v>0.22</v>
      </c>
      <c r="I581" s="30">
        <v>0.21</v>
      </c>
      <c r="J581" s="30">
        <v>0.93</v>
      </c>
      <c r="K581" s="30">
        <v>0.28000000000000003</v>
      </c>
      <c r="L581" s="30">
        <v>2</v>
      </c>
      <c r="M581" s="30">
        <v>26</v>
      </c>
      <c r="N581" s="30">
        <v>28</v>
      </c>
    </row>
    <row r="582" spans="1:14">
      <c r="A582" s="30">
        <v>581</v>
      </c>
      <c r="B582" s="31">
        <v>40569</v>
      </c>
      <c r="C582" s="30">
        <v>11</v>
      </c>
      <c r="D582" s="37" t="s">
        <v>28</v>
      </c>
      <c r="E582" s="30" t="b">
        <v>0</v>
      </c>
      <c r="F582" s="37" t="s">
        <v>22</v>
      </c>
      <c r="G582" s="37" t="s">
        <v>10</v>
      </c>
      <c r="H582" s="30">
        <v>0.22</v>
      </c>
      <c r="I582" s="30">
        <v>0.2</v>
      </c>
      <c r="J582" s="30">
        <v>0.93</v>
      </c>
      <c r="K582" s="30">
        <v>0.33</v>
      </c>
      <c r="L582" s="30">
        <v>6</v>
      </c>
      <c r="M582" s="30">
        <v>35</v>
      </c>
      <c r="N582" s="30">
        <v>41</v>
      </c>
    </row>
    <row r="583" spans="1:14">
      <c r="A583" s="30">
        <v>582</v>
      </c>
      <c r="B583" s="31">
        <v>40569</v>
      </c>
      <c r="C583" s="30">
        <v>12</v>
      </c>
      <c r="D583" s="37" t="s">
        <v>29</v>
      </c>
      <c r="E583" s="30" t="b">
        <v>0</v>
      </c>
      <c r="F583" s="37" t="s">
        <v>22</v>
      </c>
      <c r="G583" s="37" t="s">
        <v>10</v>
      </c>
      <c r="H583" s="30">
        <v>0.22</v>
      </c>
      <c r="I583" s="30">
        <v>0.2</v>
      </c>
      <c r="J583" s="30">
        <v>0.93</v>
      </c>
      <c r="K583" s="30">
        <v>0.33</v>
      </c>
      <c r="L583" s="30">
        <v>7</v>
      </c>
      <c r="M583" s="30">
        <v>41</v>
      </c>
      <c r="N583" s="30">
        <v>48</v>
      </c>
    </row>
    <row r="584" spans="1:14">
      <c r="A584" s="30">
        <v>583</v>
      </c>
      <c r="B584" s="31">
        <v>40569</v>
      </c>
      <c r="C584" s="30">
        <v>13</v>
      </c>
      <c r="D584" s="37" t="s">
        <v>29</v>
      </c>
      <c r="E584" s="30" t="b">
        <v>0</v>
      </c>
      <c r="F584" s="37" t="s">
        <v>22</v>
      </c>
      <c r="G584" s="37" t="s">
        <v>10</v>
      </c>
      <c r="H584" s="30">
        <v>0.22</v>
      </c>
      <c r="I584" s="30">
        <v>0.2</v>
      </c>
      <c r="J584" s="30">
        <v>0.93</v>
      </c>
      <c r="K584" s="30">
        <v>0.33</v>
      </c>
      <c r="L584" s="30">
        <v>4</v>
      </c>
      <c r="M584" s="30">
        <v>43</v>
      </c>
      <c r="N584" s="30">
        <v>47</v>
      </c>
    </row>
    <row r="585" spans="1:14">
      <c r="A585" s="30">
        <v>584</v>
      </c>
      <c r="B585" s="31">
        <v>40569</v>
      </c>
      <c r="C585" s="30">
        <v>14</v>
      </c>
      <c r="D585" s="37" t="s">
        <v>29</v>
      </c>
      <c r="E585" s="30" t="b">
        <v>0</v>
      </c>
      <c r="F585" s="37" t="s">
        <v>22</v>
      </c>
      <c r="G585" s="37" t="s">
        <v>10</v>
      </c>
      <c r="H585" s="30">
        <v>0.22</v>
      </c>
      <c r="I585" s="30">
        <v>0.2</v>
      </c>
      <c r="J585" s="30">
        <v>0.93</v>
      </c>
      <c r="K585" s="30">
        <v>0.36</v>
      </c>
      <c r="L585" s="30">
        <v>0</v>
      </c>
      <c r="M585" s="30">
        <v>36</v>
      </c>
      <c r="N585" s="30">
        <v>36</v>
      </c>
    </row>
    <row r="586" spans="1:14">
      <c r="A586" s="30">
        <v>585</v>
      </c>
      <c r="B586" s="31">
        <v>40569</v>
      </c>
      <c r="C586" s="30">
        <v>15</v>
      </c>
      <c r="D586" s="37" t="s">
        <v>29</v>
      </c>
      <c r="E586" s="30" t="b">
        <v>0</v>
      </c>
      <c r="F586" s="37" t="s">
        <v>22</v>
      </c>
      <c r="G586" s="37" t="s">
        <v>10</v>
      </c>
      <c r="H586" s="30">
        <v>0.22</v>
      </c>
      <c r="I586" s="30">
        <v>0.18</v>
      </c>
      <c r="J586" s="30">
        <v>0.93</v>
      </c>
      <c r="K586" s="30">
        <v>0.46</v>
      </c>
      <c r="L586" s="30">
        <v>1</v>
      </c>
      <c r="M586" s="30">
        <v>42</v>
      </c>
      <c r="N586" s="30">
        <v>43</v>
      </c>
    </row>
    <row r="587" spans="1:14">
      <c r="A587" s="30">
        <v>586</v>
      </c>
      <c r="B587" s="31">
        <v>40569</v>
      </c>
      <c r="C587" s="30">
        <v>16</v>
      </c>
      <c r="D587" s="37" t="s">
        <v>29</v>
      </c>
      <c r="E587" s="30" t="b">
        <v>0</v>
      </c>
      <c r="F587" s="37" t="s">
        <v>22</v>
      </c>
      <c r="G587" s="37" t="s">
        <v>11</v>
      </c>
      <c r="H587" s="30">
        <v>0.22</v>
      </c>
      <c r="I587" s="30">
        <v>0.2</v>
      </c>
      <c r="J587" s="30">
        <v>0.93</v>
      </c>
      <c r="K587" s="30">
        <v>0.33</v>
      </c>
      <c r="L587" s="30">
        <v>1</v>
      </c>
      <c r="M587" s="30">
        <v>35</v>
      </c>
      <c r="N587" s="30">
        <v>36</v>
      </c>
    </row>
    <row r="588" spans="1:14">
      <c r="A588" s="30">
        <v>587</v>
      </c>
      <c r="B588" s="31">
        <v>40569</v>
      </c>
      <c r="C588" s="30">
        <v>17</v>
      </c>
      <c r="D588" s="37" t="s">
        <v>29</v>
      </c>
      <c r="E588" s="30" t="b">
        <v>0</v>
      </c>
      <c r="F588" s="37" t="s">
        <v>22</v>
      </c>
      <c r="G588" s="37" t="s">
        <v>10</v>
      </c>
      <c r="H588" s="30">
        <v>0.2</v>
      </c>
      <c r="I588" s="30">
        <v>0.18</v>
      </c>
      <c r="J588" s="30">
        <v>0.93</v>
      </c>
      <c r="K588" s="30">
        <v>0.36</v>
      </c>
      <c r="L588" s="30">
        <v>0</v>
      </c>
      <c r="M588" s="30">
        <v>26</v>
      </c>
      <c r="N588" s="30">
        <v>26</v>
      </c>
    </row>
    <row r="589" spans="1:14">
      <c r="A589" s="30">
        <v>588</v>
      </c>
      <c r="B589" s="31">
        <v>40570</v>
      </c>
      <c r="C589" s="30">
        <v>16</v>
      </c>
      <c r="D589" s="37" t="s">
        <v>29</v>
      </c>
      <c r="E589" s="30" t="b">
        <v>0</v>
      </c>
      <c r="F589" s="37" t="s">
        <v>23</v>
      </c>
      <c r="G589" s="37" t="s">
        <v>8</v>
      </c>
      <c r="H589" s="30">
        <v>0.22</v>
      </c>
      <c r="I589" s="30">
        <v>0.23</v>
      </c>
      <c r="J589" s="30">
        <v>0.55000000000000004</v>
      </c>
      <c r="K589" s="30">
        <v>0.19</v>
      </c>
      <c r="L589" s="30">
        <v>1</v>
      </c>
      <c r="M589" s="30">
        <v>23</v>
      </c>
      <c r="N589" s="30">
        <v>24</v>
      </c>
    </row>
    <row r="590" spans="1:14">
      <c r="A590" s="30">
        <v>589</v>
      </c>
      <c r="B590" s="31">
        <v>40570</v>
      </c>
      <c r="C590" s="30">
        <v>17</v>
      </c>
      <c r="D590" s="37" t="s">
        <v>29</v>
      </c>
      <c r="E590" s="30" t="b">
        <v>0</v>
      </c>
      <c r="F590" s="37" t="s">
        <v>23</v>
      </c>
      <c r="G590" s="37" t="s">
        <v>8</v>
      </c>
      <c r="H590" s="30">
        <v>0.22</v>
      </c>
      <c r="I590" s="30">
        <v>0.24</v>
      </c>
      <c r="J590" s="30">
        <v>0.55000000000000004</v>
      </c>
      <c r="K590" s="30">
        <v>0.1</v>
      </c>
      <c r="L590" s="30">
        <v>2</v>
      </c>
      <c r="M590" s="30">
        <v>82</v>
      </c>
      <c r="N590" s="30">
        <v>84</v>
      </c>
    </row>
    <row r="591" spans="1:14">
      <c r="A591" s="30">
        <v>590</v>
      </c>
      <c r="B591" s="31">
        <v>40570</v>
      </c>
      <c r="C591" s="30">
        <v>18</v>
      </c>
      <c r="D591" s="37" t="s">
        <v>30</v>
      </c>
      <c r="E591" s="30" t="b">
        <v>0</v>
      </c>
      <c r="F591" s="37" t="s">
        <v>23</v>
      </c>
      <c r="G591" s="37" t="s">
        <v>8</v>
      </c>
      <c r="H591" s="30">
        <v>0.2</v>
      </c>
      <c r="I591" s="30">
        <v>0.23</v>
      </c>
      <c r="J591" s="30">
        <v>0.69</v>
      </c>
      <c r="K591" s="30">
        <v>0.09</v>
      </c>
      <c r="L591" s="30">
        <v>3</v>
      </c>
      <c r="M591" s="30">
        <v>101</v>
      </c>
      <c r="N591" s="30">
        <v>104</v>
      </c>
    </row>
    <row r="592" spans="1:14">
      <c r="A592" s="30">
        <v>591</v>
      </c>
      <c r="B592" s="31">
        <v>40570</v>
      </c>
      <c r="C592" s="30">
        <v>19</v>
      </c>
      <c r="D592" s="37" t="s">
        <v>30</v>
      </c>
      <c r="E592" s="30" t="b">
        <v>0</v>
      </c>
      <c r="F592" s="37" t="s">
        <v>23</v>
      </c>
      <c r="G592" s="37" t="s">
        <v>8</v>
      </c>
      <c r="H592" s="30">
        <v>0.2</v>
      </c>
      <c r="I592" s="30">
        <v>0.23</v>
      </c>
      <c r="J592" s="30">
        <v>0.69</v>
      </c>
      <c r="K592" s="30">
        <v>0.09</v>
      </c>
      <c r="L592" s="30">
        <v>3</v>
      </c>
      <c r="M592" s="30">
        <v>76</v>
      </c>
      <c r="N592" s="30">
        <v>79</v>
      </c>
    </row>
    <row r="593" spans="1:14">
      <c r="A593" s="30">
        <v>592</v>
      </c>
      <c r="B593" s="31">
        <v>40570</v>
      </c>
      <c r="C593" s="30">
        <v>20</v>
      </c>
      <c r="D593" s="37" t="s">
        <v>30</v>
      </c>
      <c r="E593" s="30" t="b">
        <v>0</v>
      </c>
      <c r="F593" s="37" t="s">
        <v>23</v>
      </c>
      <c r="G593" s="37" t="s">
        <v>8</v>
      </c>
      <c r="H593" s="30">
        <v>0.18</v>
      </c>
      <c r="I593" s="30">
        <v>0.21</v>
      </c>
      <c r="J593" s="30">
        <v>0.74</v>
      </c>
      <c r="K593" s="30">
        <v>0.09</v>
      </c>
      <c r="L593" s="30">
        <v>4</v>
      </c>
      <c r="M593" s="30">
        <v>55</v>
      </c>
      <c r="N593" s="30">
        <v>59</v>
      </c>
    </row>
    <row r="594" spans="1:14">
      <c r="A594" s="30">
        <v>593</v>
      </c>
      <c r="B594" s="31">
        <v>40570</v>
      </c>
      <c r="C594" s="30">
        <v>21</v>
      </c>
      <c r="D594" s="37" t="s">
        <v>30</v>
      </c>
      <c r="E594" s="30" t="b">
        <v>0</v>
      </c>
      <c r="F594" s="37" t="s">
        <v>23</v>
      </c>
      <c r="G594" s="37" t="s">
        <v>8</v>
      </c>
      <c r="H594" s="30">
        <v>0.18</v>
      </c>
      <c r="I594" s="30">
        <v>0.21</v>
      </c>
      <c r="J594" s="30">
        <v>0.74</v>
      </c>
      <c r="K594" s="30">
        <v>0.09</v>
      </c>
      <c r="L594" s="30">
        <v>2</v>
      </c>
      <c r="M594" s="30">
        <v>36</v>
      </c>
      <c r="N594" s="30">
        <v>38</v>
      </c>
    </row>
    <row r="595" spans="1:14">
      <c r="A595" s="30">
        <v>594</v>
      </c>
      <c r="B595" s="31">
        <v>40570</v>
      </c>
      <c r="C595" s="30">
        <v>22</v>
      </c>
      <c r="D595" s="37" t="s">
        <v>30</v>
      </c>
      <c r="E595" s="30" t="b">
        <v>0</v>
      </c>
      <c r="F595" s="37" t="s">
        <v>23</v>
      </c>
      <c r="G595" s="37" t="s">
        <v>8</v>
      </c>
      <c r="H595" s="30">
        <v>0.18</v>
      </c>
      <c r="I595" s="30">
        <v>0.21</v>
      </c>
      <c r="J595" s="30">
        <v>0.74</v>
      </c>
      <c r="K595" s="30">
        <v>0.09</v>
      </c>
      <c r="L595" s="30">
        <v>0</v>
      </c>
      <c r="M595" s="30">
        <v>27</v>
      </c>
      <c r="N595" s="30">
        <v>27</v>
      </c>
    </row>
    <row r="596" spans="1:14">
      <c r="A596" s="30">
        <v>595</v>
      </c>
      <c r="B596" s="31">
        <v>40570</v>
      </c>
      <c r="C596" s="30">
        <v>23</v>
      </c>
      <c r="D596" s="37" t="s">
        <v>30</v>
      </c>
      <c r="E596" s="30" t="b">
        <v>0</v>
      </c>
      <c r="F596" s="37" t="s">
        <v>23</v>
      </c>
      <c r="G596" s="37" t="s">
        <v>8</v>
      </c>
      <c r="H596" s="30">
        <v>0.18</v>
      </c>
      <c r="I596" s="30">
        <v>0.2</v>
      </c>
      <c r="J596" s="30">
        <v>0.8</v>
      </c>
      <c r="K596" s="30">
        <v>0.16</v>
      </c>
      <c r="L596" s="30">
        <v>0</v>
      </c>
      <c r="M596" s="30">
        <v>16</v>
      </c>
      <c r="N596" s="30">
        <v>16</v>
      </c>
    </row>
    <row r="597" spans="1:14">
      <c r="A597" s="30">
        <v>596</v>
      </c>
      <c r="B597" s="31">
        <v>40571</v>
      </c>
      <c r="C597" s="30">
        <v>0</v>
      </c>
      <c r="D597" s="37" t="s">
        <v>27</v>
      </c>
      <c r="E597" s="30" t="b">
        <v>0</v>
      </c>
      <c r="F597" s="37" t="s">
        <v>24</v>
      </c>
      <c r="G597" s="37" t="s">
        <v>9</v>
      </c>
      <c r="H597" s="30">
        <v>0.2</v>
      </c>
      <c r="I597" s="30">
        <v>0.21</v>
      </c>
      <c r="J597" s="30">
        <v>0.75</v>
      </c>
      <c r="K597" s="30">
        <v>0.13</v>
      </c>
      <c r="L597" s="30">
        <v>0</v>
      </c>
      <c r="M597" s="30">
        <v>9</v>
      </c>
      <c r="N597" s="30">
        <v>9</v>
      </c>
    </row>
    <row r="598" spans="1:14">
      <c r="A598" s="30">
        <v>597</v>
      </c>
      <c r="B598" s="31">
        <v>40571</v>
      </c>
      <c r="C598" s="30">
        <v>1</v>
      </c>
      <c r="D598" s="37" t="s">
        <v>27</v>
      </c>
      <c r="E598" s="30" t="b">
        <v>0</v>
      </c>
      <c r="F598" s="37" t="s">
        <v>24</v>
      </c>
      <c r="G598" s="37" t="s">
        <v>9</v>
      </c>
      <c r="H598" s="30">
        <v>0.2</v>
      </c>
      <c r="I598" s="30">
        <v>0.21</v>
      </c>
      <c r="J598" s="30">
        <v>0.75</v>
      </c>
      <c r="K598" s="30">
        <v>0.13</v>
      </c>
      <c r="L598" s="30">
        <v>1</v>
      </c>
      <c r="M598" s="30">
        <v>2</v>
      </c>
      <c r="N598" s="30">
        <v>3</v>
      </c>
    </row>
    <row r="599" spans="1:14">
      <c r="A599" s="30">
        <v>598</v>
      </c>
      <c r="B599" s="31">
        <v>40571</v>
      </c>
      <c r="C599" s="30">
        <v>2</v>
      </c>
      <c r="D599" s="37" t="s">
        <v>27</v>
      </c>
      <c r="E599" s="30" t="b">
        <v>0</v>
      </c>
      <c r="F599" s="37" t="s">
        <v>24</v>
      </c>
      <c r="G599" s="37" t="s">
        <v>9</v>
      </c>
      <c r="H599" s="30">
        <v>0.2</v>
      </c>
      <c r="I599" s="30">
        <v>0.21</v>
      </c>
      <c r="J599" s="30">
        <v>0.75</v>
      </c>
      <c r="K599" s="30">
        <v>0.16</v>
      </c>
      <c r="L599" s="30">
        <v>0</v>
      </c>
      <c r="M599" s="30">
        <v>2</v>
      </c>
      <c r="N599" s="30">
        <v>2</v>
      </c>
    </row>
    <row r="600" spans="1:14">
      <c r="A600" s="30">
        <v>599</v>
      </c>
      <c r="B600" s="31">
        <v>40571</v>
      </c>
      <c r="C600" s="30">
        <v>3</v>
      </c>
      <c r="D600" s="37" t="s">
        <v>27</v>
      </c>
      <c r="E600" s="30" t="b">
        <v>0</v>
      </c>
      <c r="F600" s="37" t="s">
        <v>24</v>
      </c>
      <c r="G600" s="37" t="s">
        <v>9</v>
      </c>
      <c r="H600" s="30">
        <v>0.2</v>
      </c>
      <c r="I600" s="30">
        <v>0.23</v>
      </c>
      <c r="J600" s="30">
        <v>0.75</v>
      </c>
      <c r="K600" s="30">
        <v>0.1</v>
      </c>
      <c r="L600" s="30">
        <v>1</v>
      </c>
      <c r="M600" s="30">
        <v>0</v>
      </c>
      <c r="N600" s="30">
        <v>1</v>
      </c>
    </row>
    <row r="601" spans="1:14">
      <c r="A601" s="30">
        <v>600</v>
      </c>
      <c r="B601" s="31">
        <v>40571</v>
      </c>
      <c r="C601" s="30">
        <v>5</v>
      </c>
      <c r="D601" s="37" t="s">
        <v>27</v>
      </c>
      <c r="E601" s="30" t="b">
        <v>0</v>
      </c>
      <c r="F601" s="37" t="s">
        <v>24</v>
      </c>
      <c r="G601" s="37" t="s">
        <v>9</v>
      </c>
      <c r="H601" s="30">
        <v>0.18</v>
      </c>
      <c r="I601" s="30">
        <v>0.21</v>
      </c>
      <c r="J601" s="30">
        <v>0.8</v>
      </c>
      <c r="K601" s="30">
        <v>0.1</v>
      </c>
      <c r="L601" s="30">
        <v>0</v>
      </c>
      <c r="M601" s="30">
        <v>4</v>
      </c>
      <c r="N601" s="30">
        <v>4</v>
      </c>
    </row>
    <row r="602" spans="1:14">
      <c r="A602" s="30">
        <v>601</v>
      </c>
      <c r="B602" s="31">
        <v>40571</v>
      </c>
      <c r="C602" s="30">
        <v>6</v>
      </c>
      <c r="D602" s="37" t="s">
        <v>28</v>
      </c>
      <c r="E602" s="30" t="b">
        <v>0</v>
      </c>
      <c r="F602" s="37" t="s">
        <v>24</v>
      </c>
      <c r="G602" s="37" t="s">
        <v>9</v>
      </c>
      <c r="H602" s="30">
        <v>0.18</v>
      </c>
      <c r="I602" s="30">
        <v>0.2</v>
      </c>
      <c r="J602" s="30">
        <v>0.8</v>
      </c>
      <c r="K602" s="30">
        <v>0.13</v>
      </c>
      <c r="L602" s="30">
        <v>0</v>
      </c>
      <c r="M602" s="30">
        <v>16</v>
      </c>
      <c r="N602" s="30">
        <v>16</v>
      </c>
    </row>
    <row r="603" spans="1:14">
      <c r="A603" s="30">
        <v>602</v>
      </c>
      <c r="B603" s="31">
        <v>40571</v>
      </c>
      <c r="C603" s="30">
        <v>7</v>
      </c>
      <c r="D603" s="37" t="s">
        <v>28</v>
      </c>
      <c r="E603" s="30" t="b">
        <v>0</v>
      </c>
      <c r="F603" s="37" t="s">
        <v>24</v>
      </c>
      <c r="G603" s="37" t="s">
        <v>9</v>
      </c>
      <c r="H603" s="30">
        <v>0.16</v>
      </c>
      <c r="I603" s="30">
        <v>0.2</v>
      </c>
      <c r="J603" s="30">
        <v>0.86</v>
      </c>
      <c r="K603" s="30">
        <v>0.09</v>
      </c>
      <c r="L603" s="30">
        <v>2</v>
      </c>
      <c r="M603" s="30">
        <v>58</v>
      </c>
      <c r="N603" s="30">
        <v>60</v>
      </c>
    </row>
    <row r="604" spans="1:14">
      <c r="A604" s="30">
        <v>603</v>
      </c>
      <c r="B604" s="31">
        <v>40571</v>
      </c>
      <c r="C604" s="30">
        <v>8</v>
      </c>
      <c r="D604" s="37" t="s">
        <v>28</v>
      </c>
      <c r="E604" s="30" t="b">
        <v>0</v>
      </c>
      <c r="F604" s="37" t="s">
        <v>24</v>
      </c>
      <c r="G604" s="37" t="s">
        <v>9</v>
      </c>
      <c r="H604" s="30">
        <v>0.16</v>
      </c>
      <c r="I604" s="30">
        <v>0.2</v>
      </c>
      <c r="J604" s="30">
        <v>0.86</v>
      </c>
      <c r="K604" s="30">
        <v>0.09</v>
      </c>
      <c r="L604" s="30">
        <v>2</v>
      </c>
      <c r="M604" s="30">
        <v>155</v>
      </c>
      <c r="N604" s="30">
        <v>157</v>
      </c>
    </row>
    <row r="605" spans="1:14">
      <c r="A605" s="30">
        <v>604</v>
      </c>
      <c r="B605" s="31">
        <v>40571</v>
      </c>
      <c r="C605" s="30">
        <v>9</v>
      </c>
      <c r="D605" s="37" t="s">
        <v>28</v>
      </c>
      <c r="E605" s="30" t="b">
        <v>0</v>
      </c>
      <c r="F605" s="37" t="s">
        <v>24</v>
      </c>
      <c r="G605" s="37" t="s">
        <v>10</v>
      </c>
      <c r="H605" s="30">
        <v>0.18</v>
      </c>
      <c r="I605" s="30">
        <v>0.21</v>
      </c>
      <c r="J605" s="30">
        <v>0.86</v>
      </c>
      <c r="K605" s="30">
        <v>0.09</v>
      </c>
      <c r="L605" s="30">
        <v>6</v>
      </c>
      <c r="M605" s="30">
        <v>95</v>
      </c>
      <c r="N605" s="30">
        <v>101</v>
      </c>
    </row>
    <row r="606" spans="1:14">
      <c r="A606" s="30">
        <v>605</v>
      </c>
      <c r="B606" s="31">
        <v>40571</v>
      </c>
      <c r="C606" s="30">
        <v>10</v>
      </c>
      <c r="D606" s="37" t="s">
        <v>28</v>
      </c>
      <c r="E606" s="30" t="b">
        <v>0</v>
      </c>
      <c r="F606" s="37" t="s">
        <v>24</v>
      </c>
      <c r="G606" s="37" t="s">
        <v>10</v>
      </c>
      <c r="H606" s="30">
        <v>0.18</v>
      </c>
      <c r="I606" s="30">
        <v>0.21</v>
      </c>
      <c r="J606" s="30">
        <v>0.86</v>
      </c>
      <c r="K606" s="30">
        <v>0.1</v>
      </c>
      <c r="L606" s="30">
        <v>0</v>
      </c>
      <c r="M606" s="30">
        <v>49</v>
      </c>
      <c r="N606" s="30">
        <v>49</v>
      </c>
    </row>
    <row r="607" spans="1:14">
      <c r="A607" s="30">
        <v>606</v>
      </c>
      <c r="B607" s="31">
        <v>40571</v>
      </c>
      <c r="C607" s="30">
        <v>11</v>
      </c>
      <c r="D607" s="37" t="s">
        <v>28</v>
      </c>
      <c r="E607" s="30" t="b">
        <v>0</v>
      </c>
      <c r="F607" s="37" t="s">
        <v>24</v>
      </c>
      <c r="G607" s="37" t="s">
        <v>10</v>
      </c>
      <c r="H607" s="30">
        <v>0.18</v>
      </c>
      <c r="I607" s="30">
        <v>0.21</v>
      </c>
      <c r="J607" s="30">
        <v>0.93</v>
      </c>
      <c r="K607" s="30">
        <v>0.1</v>
      </c>
      <c r="L607" s="30">
        <v>0</v>
      </c>
      <c r="M607" s="30">
        <v>30</v>
      </c>
      <c r="N607" s="30">
        <v>30</v>
      </c>
    </row>
    <row r="608" spans="1:14">
      <c r="A608" s="30">
        <v>607</v>
      </c>
      <c r="B608" s="31">
        <v>40571</v>
      </c>
      <c r="C608" s="30">
        <v>12</v>
      </c>
      <c r="D608" s="37" t="s">
        <v>29</v>
      </c>
      <c r="E608" s="30" t="b">
        <v>0</v>
      </c>
      <c r="F608" s="37" t="s">
        <v>24</v>
      </c>
      <c r="G608" s="37" t="s">
        <v>10</v>
      </c>
      <c r="H608" s="30">
        <v>0.18</v>
      </c>
      <c r="I608" s="30">
        <v>0.21</v>
      </c>
      <c r="J608" s="30">
        <v>0.93</v>
      </c>
      <c r="K608" s="30">
        <v>0.1</v>
      </c>
      <c r="L608" s="30">
        <v>1</v>
      </c>
      <c r="M608" s="30">
        <v>28</v>
      </c>
      <c r="N608" s="30">
        <v>29</v>
      </c>
    </row>
    <row r="609" spans="1:14">
      <c r="A609" s="30">
        <v>608</v>
      </c>
      <c r="B609" s="31">
        <v>40571</v>
      </c>
      <c r="C609" s="30">
        <v>13</v>
      </c>
      <c r="D609" s="37" t="s">
        <v>29</v>
      </c>
      <c r="E609" s="30" t="b">
        <v>0</v>
      </c>
      <c r="F609" s="37" t="s">
        <v>24</v>
      </c>
      <c r="G609" s="37" t="s">
        <v>10</v>
      </c>
      <c r="H609" s="30">
        <v>0.18</v>
      </c>
      <c r="I609" s="30">
        <v>0.21</v>
      </c>
      <c r="J609" s="30">
        <v>0.93</v>
      </c>
      <c r="K609" s="30">
        <v>0.1</v>
      </c>
      <c r="L609" s="30">
        <v>0</v>
      </c>
      <c r="M609" s="30">
        <v>31</v>
      </c>
      <c r="N609" s="30">
        <v>31</v>
      </c>
    </row>
    <row r="610" spans="1:14">
      <c r="A610" s="30">
        <v>609</v>
      </c>
      <c r="B610" s="31">
        <v>40571</v>
      </c>
      <c r="C610" s="30">
        <v>14</v>
      </c>
      <c r="D610" s="37" t="s">
        <v>29</v>
      </c>
      <c r="E610" s="30" t="b">
        <v>0</v>
      </c>
      <c r="F610" s="37" t="s">
        <v>24</v>
      </c>
      <c r="G610" s="37" t="s">
        <v>10</v>
      </c>
      <c r="H610" s="30">
        <v>0.22</v>
      </c>
      <c r="I610" s="30">
        <v>0.27</v>
      </c>
      <c r="J610" s="30">
        <v>0.8</v>
      </c>
      <c r="K610" s="30">
        <v>0</v>
      </c>
      <c r="L610" s="30">
        <v>2</v>
      </c>
      <c r="M610" s="30">
        <v>36</v>
      </c>
      <c r="N610" s="30">
        <v>38</v>
      </c>
    </row>
    <row r="611" spans="1:14">
      <c r="A611" s="30">
        <v>610</v>
      </c>
      <c r="B611" s="31">
        <v>40571</v>
      </c>
      <c r="C611" s="30">
        <v>15</v>
      </c>
      <c r="D611" s="37" t="s">
        <v>29</v>
      </c>
      <c r="E611" s="30" t="b">
        <v>0</v>
      </c>
      <c r="F611" s="37" t="s">
        <v>24</v>
      </c>
      <c r="G611" s="37" t="s">
        <v>9</v>
      </c>
      <c r="H611" s="30">
        <v>0.2</v>
      </c>
      <c r="I611" s="30">
        <v>0.26</v>
      </c>
      <c r="J611" s="30">
        <v>0.86</v>
      </c>
      <c r="K611" s="30">
        <v>0</v>
      </c>
      <c r="L611" s="30">
        <v>1</v>
      </c>
      <c r="M611" s="30">
        <v>40</v>
      </c>
      <c r="N611" s="30">
        <v>41</v>
      </c>
    </row>
  </sheetData>
  <mergeCells count="1">
    <mergeCell ref="P3:R3"/>
  </mergeCells>
  <conditionalFormatting sqref="N2:N611">
    <cfRule type="aboveAverage" dxfId="11" priority="7" aboveAverage="0"/>
  </conditionalFormatting>
  <conditionalFormatting sqref="N2:N1048576">
    <cfRule type="aboveAverage" dxfId="10" priority="8"/>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80F19B35-B1EA-4769-A22A-A342E19F3E32}">
            <xm:f>NOT(ISERROR(SEARCH($G$576,G1)))</xm:f>
            <xm:f>$G$576</xm:f>
            <x14:dxf>
              <font>
                <color rgb="FF9C0006"/>
              </font>
              <fill>
                <patternFill>
                  <bgColor rgb="FFFFC7CE"/>
                </patternFill>
              </fill>
            </x14:dxf>
          </x14:cfRule>
          <x14:cfRule type="containsText" priority="3" operator="containsText" id="{2BB77349-E513-4CAE-93BE-FCE6CDDEC260}">
            <xm:f>NOT(ISERROR(SEARCH($G$15,G1)))</xm:f>
            <xm:f>$G$15</xm:f>
            <x14:dxf>
              <font>
                <color rgb="FF9C5700"/>
              </font>
              <fill>
                <patternFill>
                  <bgColor rgb="FFFFEB9C"/>
                </patternFill>
              </fill>
            </x14:dxf>
          </x14:cfRule>
          <x14:cfRule type="containsText" priority="4" operator="containsText" id="{118A305C-1BC6-4177-AEE5-2ED9040BB790}">
            <xm:f>NOT(ISERROR(SEARCH($G$2,G1)))</xm:f>
            <xm:f>$G$2</xm:f>
            <x14:dxf>
              <font>
                <color rgb="FF006100"/>
              </font>
              <fill>
                <patternFill>
                  <bgColor rgb="FFC6EFCE"/>
                </patternFill>
              </fill>
            </x14:dxf>
          </x14:cfRule>
          <xm:sqref>G1</xm:sqref>
        </x14:conditionalFormatting>
        <x14:conditionalFormatting xmlns:xm="http://schemas.microsoft.com/office/excel/2006/main">
          <x14:cfRule type="containsText" priority="1" operator="containsText" id="{E067849C-B552-4325-84D7-8C8F097696DD}">
            <xm:f>NOT(ISERROR(SEARCH($G$587,G1)))</xm:f>
            <xm:f>$G$587</xm:f>
            <x14:dxf>
              <fill>
                <patternFill>
                  <bgColor rgb="FFFF0000"/>
                </patternFill>
              </fill>
            </x14:dxf>
          </x14:cfRule>
          <xm:sqref>G1:G611</xm:sqref>
        </x14:conditionalFormatting>
        <x14:conditionalFormatting xmlns:xm="http://schemas.microsoft.com/office/excel/2006/main">
          <x14:cfRule type="containsText" priority="10" operator="containsText" id="{B4835473-2F1B-4E06-B159-49663219818D}">
            <xm:f>NOT(ISERROR(SEARCH($G$20,G2)))</xm:f>
            <xm:f>$G$20</xm:f>
            <x14:dxf>
              <font>
                <color rgb="FF9C0006"/>
              </font>
              <fill>
                <patternFill>
                  <bgColor rgb="FFFFC7CE"/>
                </patternFill>
              </fill>
            </x14:dxf>
          </x14:cfRule>
          <x14:cfRule type="containsText" priority="11" operator="containsText" id="{126AC6BD-822A-47AC-88A6-97FA91BD3AD4}">
            <xm:f>NOT(ISERROR(SEARCH($G$7,G2)))</xm:f>
            <xm:f>$G$7</xm:f>
            <x14:dxf>
              <font>
                <color rgb="FF9C5700"/>
              </font>
              <fill>
                <patternFill>
                  <bgColor rgb="FFFFEB9C"/>
                </patternFill>
              </fill>
            </x14:dxf>
          </x14:cfRule>
          <x14:cfRule type="containsText" priority="12" operator="containsText" id="{8D14952A-80DA-4587-A5AB-F3FB369883FB}">
            <xm:f>NOT(ISERROR(SEARCH($G$2,G2)))</xm:f>
            <xm:f>$G$2</xm:f>
            <x14:dxf>
              <font>
                <color rgb="FF006100"/>
              </font>
              <fill>
                <patternFill>
                  <bgColor rgb="FFC6EFCE"/>
                </patternFill>
              </fill>
            </x14:dxf>
          </x14:cfRule>
          <xm:sqref>G2:G1048576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85417-EE34-481C-B738-C3EB3936312F}">
  <sheetPr codeName="Sheet1"/>
  <dimension ref="A1:R391"/>
  <sheetViews>
    <sheetView workbookViewId="0"/>
  </sheetViews>
  <sheetFormatPr defaultRowHeight="12.5"/>
  <cols>
    <col min="1" max="2" width="14" style="3" customWidth="1"/>
    <col min="3" max="3" width="8.54296875" style="3" customWidth="1"/>
    <col min="4" max="4" width="15.90625" style="3" customWidth="1"/>
    <col min="5" max="5" width="10.453125" style="3" customWidth="1"/>
    <col min="6" max="6" width="14.54296875" style="3" customWidth="1"/>
    <col min="7" max="7" width="18.453125" style="3" customWidth="1"/>
    <col min="8" max="8" width="11.90625" style="3" customWidth="1"/>
    <col min="9" max="9" width="12" style="3" customWidth="1"/>
    <col min="10" max="10" width="9.6328125" style="3" customWidth="1"/>
    <col min="11" max="11" width="14" style="3" customWidth="1"/>
    <col min="12" max="12" width="8.6328125" style="3" bestFit="1" customWidth="1"/>
    <col min="13" max="13" width="11.81640625" style="3" bestFit="1" customWidth="1"/>
    <col min="14" max="14" width="9.7265625" style="3" customWidth="1"/>
    <col min="16" max="16" width="15.6328125" customWidth="1"/>
    <col min="18" max="18" width="14.26953125" customWidth="1"/>
  </cols>
  <sheetData>
    <row r="1" spans="1:18">
      <c r="A1" s="39" t="s">
        <v>7</v>
      </c>
      <c r="B1" s="39" t="s">
        <v>32</v>
      </c>
      <c r="C1" s="39" t="s">
        <v>33</v>
      </c>
      <c r="D1" s="39" t="s">
        <v>26</v>
      </c>
      <c r="E1" s="39" t="s">
        <v>34</v>
      </c>
      <c r="F1" s="39" t="s">
        <v>35</v>
      </c>
      <c r="G1" s="46" t="s">
        <v>36</v>
      </c>
      <c r="H1" s="38" t="s">
        <v>37</v>
      </c>
      <c r="I1" s="35" t="s">
        <v>43</v>
      </c>
      <c r="J1" s="39" t="s">
        <v>38</v>
      </c>
      <c r="K1" s="39" t="s">
        <v>39</v>
      </c>
      <c r="L1" s="48" t="s">
        <v>40</v>
      </c>
      <c r="M1" s="39" t="s">
        <v>41</v>
      </c>
      <c r="N1" s="39" t="s">
        <v>42</v>
      </c>
    </row>
    <row r="2" spans="1:18" ht="25" customHeight="1">
      <c r="A2" s="30">
        <v>611</v>
      </c>
      <c r="B2" s="31">
        <v>40571</v>
      </c>
      <c r="C2" s="30">
        <v>16</v>
      </c>
      <c r="D2" s="30" t="str">
        <f t="shared" ref="D2:D65" si="0">IF($C2&lt;6,"Night",IF($C2&lt;12,"Morning",IF($C2&lt;18,"Afternoon","Evening")))</f>
        <v>Afternoon</v>
      </c>
      <c r="E2" s="30" t="b">
        <v>0</v>
      </c>
      <c r="F2" s="30" t="s">
        <v>24</v>
      </c>
      <c r="G2" s="32" t="s">
        <v>8</v>
      </c>
      <c r="H2" s="30">
        <v>0.22</v>
      </c>
      <c r="I2" s="30">
        <v>0.27</v>
      </c>
      <c r="J2" s="30">
        <v>0.8</v>
      </c>
      <c r="K2" s="30">
        <v>0</v>
      </c>
      <c r="L2" s="30">
        <v>10</v>
      </c>
      <c r="M2" s="30">
        <v>70</v>
      </c>
      <c r="N2" s="30">
        <v>80</v>
      </c>
      <c r="P2" s="27" t="s">
        <v>3</v>
      </c>
      <c r="Q2" s="27" t="s">
        <v>4</v>
      </c>
      <c r="R2" s="27" t="s">
        <v>5</v>
      </c>
    </row>
    <row r="3" spans="1:18" ht="15" customHeight="1">
      <c r="A3" s="30">
        <v>612</v>
      </c>
      <c r="B3" s="31">
        <v>40571</v>
      </c>
      <c r="C3" s="30">
        <v>17</v>
      </c>
      <c r="D3" s="30" t="str">
        <f t="shared" si="0"/>
        <v>Afternoon</v>
      </c>
      <c r="E3" s="30" t="b">
        <v>0</v>
      </c>
      <c r="F3" s="30" t="s">
        <v>24</v>
      </c>
      <c r="G3" s="32" t="str">
        <f>PROPER("Clear Weather")</f>
        <v>Clear Weather</v>
      </c>
      <c r="H3" s="30">
        <v>0.24</v>
      </c>
      <c r="I3" s="30">
        <v>0.24</v>
      </c>
      <c r="J3" s="30">
        <v>0.75</v>
      </c>
      <c r="K3" s="30">
        <v>0.13</v>
      </c>
      <c r="L3" s="30">
        <v>2</v>
      </c>
      <c r="M3" s="30">
        <v>147</v>
      </c>
      <c r="N3" s="30">
        <v>149</v>
      </c>
      <c r="P3" s="28" t="s">
        <v>0</v>
      </c>
      <c r="Q3" s="29">
        <v>1</v>
      </c>
      <c r="R3" s="28" t="s">
        <v>6</v>
      </c>
    </row>
    <row r="4" spans="1:18" ht="17" customHeight="1">
      <c r="A4" s="30">
        <v>613</v>
      </c>
      <c r="B4" s="31">
        <v>40571</v>
      </c>
      <c r="C4" s="30">
        <v>18</v>
      </c>
      <c r="D4" s="30" t="str">
        <f t="shared" si="0"/>
        <v>Evening</v>
      </c>
      <c r="E4" s="30" t="b">
        <v>0</v>
      </c>
      <c r="F4" s="30" t="s">
        <v>24</v>
      </c>
      <c r="G4" s="47" t="s">
        <v>8</v>
      </c>
      <c r="H4" s="30">
        <v>0.24</v>
      </c>
      <c r="I4" s="30">
        <v>0.23</v>
      </c>
      <c r="J4" s="30">
        <v>0.75</v>
      </c>
      <c r="K4" s="30">
        <v>0.19</v>
      </c>
      <c r="L4" s="30">
        <v>2</v>
      </c>
      <c r="M4" s="30">
        <v>107</v>
      </c>
      <c r="N4" s="30">
        <v>109</v>
      </c>
      <c r="P4" s="28" t="s">
        <v>1</v>
      </c>
      <c r="Q4" s="29">
        <v>0</v>
      </c>
      <c r="R4" s="28" t="s">
        <v>6</v>
      </c>
    </row>
    <row r="5" spans="1:18" ht="16.5" customHeight="1">
      <c r="A5" s="30">
        <v>614</v>
      </c>
      <c r="B5" s="31">
        <v>40571</v>
      </c>
      <c r="C5" s="30">
        <v>19</v>
      </c>
      <c r="D5" s="30" t="str">
        <f t="shared" si="0"/>
        <v>Evening</v>
      </c>
      <c r="E5" s="30" t="b">
        <v>0</v>
      </c>
      <c r="F5" s="30" t="s">
        <v>24</v>
      </c>
      <c r="G5" s="30" t="str">
        <f>PROPER("Light Rain")</f>
        <v>Light Rain</v>
      </c>
      <c r="H5" s="30">
        <v>0.24</v>
      </c>
      <c r="I5" s="30">
        <v>0.24</v>
      </c>
      <c r="J5" s="30">
        <v>0.75</v>
      </c>
      <c r="K5" s="30">
        <v>0.13</v>
      </c>
      <c r="L5" s="30">
        <v>5</v>
      </c>
      <c r="M5" s="30">
        <v>84</v>
      </c>
      <c r="N5" s="30">
        <v>89</v>
      </c>
      <c r="P5" s="28" t="s">
        <v>2</v>
      </c>
      <c r="Q5" s="29">
        <v>1</v>
      </c>
      <c r="R5" s="28" t="s">
        <v>6</v>
      </c>
    </row>
    <row r="6" spans="1:18">
      <c r="A6" s="30">
        <v>615</v>
      </c>
      <c r="B6" s="31">
        <v>40571</v>
      </c>
      <c r="C6" s="30">
        <v>20</v>
      </c>
      <c r="D6" s="30" t="str">
        <f t="shared" si="0"/>
        <v>Evening</v>
      </c>
      <c r="E6" s="30" t="b">
        <v>0</v>
      </c>
      <c r="F6" s="30" t="s">
        <v>24</v>
      </c>
      <c r="G6" s="30" t="str">
        <f>PROPER("Light Rain")</f>
        <v>Light Rain</v>
      </c>
      <c r="H6" s="30">
        <v>0.24</v>
      </c>
      <c r="I6" s="30">
        <v>0.23</v>
      </c>
      <c r="J6" s="30">
        <v>0.7</v>
      </c>
      <c r="K6" s="30">
        <v>0.19</v>
      </c>
      <c r="L6" s="30">
        <v>1</v>
      </c>
      <c r="M6" s="30">
        <v>61</v>
      </c>
      <c r="N6" s="30">
        <v>62</v>
      </c>
    </row>
    <row r="7" spans="1:18">
      <c r="A7" s="30">
        <v>616</v>
      </c>
      <c r="B7" s="31">
        <v>40571</v>
      </c>
      <c r="C7" s="30">
        <v>21</v>
      </c>
      <c r="D7" s="30" t="str">
        <f t="shared" si="0"/>
        <v>Evening</v>
      </c>
      <c r="E7" s="30" t="b">
        <v>0</v>
      </c>
      <c r="F7" s="30" t="s">
        <v>24</v>
      </c>
      <c r="G7" s="30" t="str">
        <f>PROPER("Light Rain")</f>
        <v>Light Rain</v>
      </c>
      <c r="H7" s="30">
        <v>0.22</v>
      </c>
      <c r="I7" s="30">
        <v>0.23</v>
      </c>
      <c r="J7" s="30">
        <v>0.75</v>
      </c>
      <c r="K7" s="30">
        <v>0.13</v>
      </c>
      <c r="L7" s="30">
        <v>1</v>
      </c>
      <c r="M7" s="30">
        <v>57</v>
      </c>
      <c r="N7" s="30">
        <v>58</v>
      </c>
    </row>
    <row r="8" spans="1:18">
      <c r="A8" s="30">
        <v>617</v>
      </c>
      <c r="B8" s="31">
        <v>40571</v>
      </c>
      <c r="C8" s="30">
        <v>22</v>
      </c>
      <c r="D8" s="30" t="str">
        <f t="shared" si="0"/>
        <v>Evening</v>
      </c>
      <c r="E8" s="30" t="b">
        <v>0</v>
      </c>
      <c r="F8" s="30" t="s">
        <v>24</v>
      </c>
      <c r="G8" s="30" t="str">
        <f t="shared" ref="G8:G18" si="1">PROPER("Clear Weather")</f>
        <v>Clear Weather</v>
      </c>
      <c r="H8" s="30">
        <v>0.24</v>
      </c>
      <c r="I8" s="30">
        <v>0.21</v>
      </c>
      <c r="J8" s="30">
        <v>0.65</v>
      </c>
      <c r="K8" s="30">
        <v>0.36</v>
      </c>
      <c r="L8" s="30">
        <v>0</v>
      </c>
      <c r="M8" s="30">
        <v>26</v>
      </c>
      <c r="N8" s="30">
        <v>26</v>
      </c>
    </row>
    <row r="9" spans="1:18">
      <c r="A9" s="30">
        <v>618</v>
      </c>
      <c r="B9" s="31">
        <v>40571</v>
      </c>
      <c r="C9" s="30">
        <v>23</v>
      </c>
      <c r="D9" s="30" t="str">
        <f t="shared" si="0"/>
        <v>Evening</v>
      </c>
      <c r="E9" s="30" t="b">
        <v>0</v>
      </c>
      <c r="F9" s="30" t="s">
        <v>24</v>
      </c>
      <c r="G9" s="30" t="str">
        <f t="shared" si="1"/>
        <v>Clear Weather</v>
      </c>
      <c r="H9" s="30">
        <v>0.24</v>
      </c>
      <c r="I9" s="30">
        <v>0.23</v>
      </c>
      <c r="J9" s="30">
        <v>0.6</v>
      </c>
      <c r="K9" s="30">
        <v>0.22</v>
      </c>
      <c r="L9" s="30">
        <v>1</v>
      </c>
      <c r="M9" s="30">
        <v>22</v>
      </c>
      <c r="N9" s="30">
        <v>23</v>
      </c>
      <c r="P9" s="26"/>
    </row>
    <row r="10" spans="1:18">
      <c r="A10" s="30">
        <v>619</v>
      </c>
      <c r="B10" s="31">
        <v>40572</v>
      </c>
      <c r="C10" s="30">
        <v>0</v>
      </c>
      <c r="D10" s="30" t="str">
        <f t="shared" si="0"/>
        <v>Night</v>
      </c>
      <c r="E10" s="30" t="b">
        <v>0</v>
      </c>
      <c r="F10" s="30" t="s">
        <v>25</v>
      </c>
      <c r="G10" s="30" t="str">
        <f t="shared" si="1"/>
        <v>Clear Weather</v>
      </c>
      <c r="H10" s="30">
        <v>0.22</v>
      </c>
      <c r="I10" s="30">
        <v>0.2</v>
      </c>
      <c r="J10" s="30">
        <v>0.64</v>
      </c>
      <c r="K10" s="30">
        <v>0.36</v>
      </c>
      <c r="L10" s="30">
        <v>2</v>
      </c>
      <c r="M10" s="30">
        <v>26</v>
      </c>
      <c r="N10" s="30">
        <v>28</v>
      </c>
    </row>
    <row r="11" spans="1:18">
      <c r="A11" s="30">
        <v>620</v>
      </c>
      <c r="B11" s="31">
        <v>40572</v>
      </c>
      <c r="C11" s="30">
        <v>1</v>
      </c>
      <c r="D11" s="30" t="str">
        <f t="shared" si="0"/>
        <v>Night</v>
      </c>
      <c r="E11" s="30" t="b">
        <v>0</v>
      </c>
      <c r="F11" s="30" t="s">
        <v>25</v>
      </c>
      <c r="G11" s="30" t="str">
        <f t="shared" si="1"/>
        <v>Clear Weather</v>
      </c>
      <c r="H11" s="30">
        <v>0.22</v>
      </c>
      <c r="I11" s="30">
        <v>0.23</v>
      </c>
      <c r="J11" s="30">
        <v>0.64</v>
      </c>
      <c r="K11" s="30">
        <v>0.19</v>
      </c>
      <c r="L11" s="30">
        <v>0</v>
      </c>
      <c r="M11" s="30">
        <v>20</v>
      </c>
      <c r="N11" s="30">
        <v>20</v>
      </c>
    </row>
    <row r="12" spans="1:18">
      <c r="A12" s="30">
        <v>621</v>
      </c>
      <c r="B12" s="31">
        <v>40572</v>
      </c>
      <c r="C12" s="30">
        <v>2</v>
      </c>
      <c r="D12" s="30" t="str">
        <f t="shared" si="0"/>
        <v>Night</v>
      </c>
      <c r="E12" s="30" t="b">
        <v>0</v>
      </c>
      <c r="F12" s="30" t="s">
        <v>25</v>
      </c>
      <c r="G12" s="30" t="str">
        <f t="shared" si="1"/>
        <v>Clear Weather</v>
      </c>
      <c r="H12" s="30">
        <v>0.22</v>
      </c>
      <c r="I12" s="30">
        <v>0.23</v>
      </c>
      <c r="J12" s="30">
        <v>0.64</v>
      </c>
      <c r="K12" s="30">
        <v>0.16</v>
      </c>
      <c r="L12" s="30">
        <v>0</v>
      </c>
      <c r="M12" s="30">
        <v>15</v>
      </c>
      <c r="N12" s="30">
        <v>15</v>
      </c>
    </row>
    <row r="13" spans="1:18">
      <c r="A13" s="30">
        <v>622</v>
      </c>
      <c r="B13" s="31">
        <v>40572</v>
      </c>
      <c r="C13" s="30">
        <v>3</v>
      </c>
      <c r="D13" s="30" t="str">
        <f t="shared" si="0"/>
        <v>Night</v>
      </c>
      <c r="E13" s="30" t="b">
        <v>0</v>
      </c>
      <c r="F13" s="30" t="s">
        <v>25</v>
      </c>
      <c r="G13" s="30" t="str">
        <f t="shared" si="1"/>
        <v>Clear Weather</v>
      </c>
      <c r="H13" s="30">
        <v>0.2</v>
      </c>
      <c r="I13" s="30">
        <v>0.21</v>
      </c>
      <c r="J13" s="30">
        <v>0.64</v>
      </c>
      <c r="K13" s="30">
        <v>0.13</v>
      </c>
      <c r="L13" s="30">
        <v>3</v>
      </c>
      <c r="M13" s="30">
        <v>5</v>
      </c>
      <c r="N13" s="30">
        <v>8</v>
      </c>
    </row>
    <row r="14" spans="1:18">
      <c r="A14" s="30">
        <v>623</v>
      </c>
      <c r="B14" s="31">
        <v>40572</v>
      </c>
      <c r="C14" s="30">
        <v>4</v>
      </c>
      <c r="D14" s="30" t="str">
        <f t="shared" si="0"/>
        <v>Night</v>
      </c>
      <c r="E14" s="30" t="b">
        <v>0</v>
      </c>
      <c r="F14" s="30" t="s">
        <v>25</v>
      </c>
      <c r="G14" s="30" t="str">
        <f t="shared" si="1"/>
        <v>Clear Weather</v>
      </c>
      <c r="H14" s="30">
        <v>0.16</v>
      </c>
      <c r="I14" s="30">
        <v>0.18</v>
      </c>
      <c r="J14" s="30">
        <v>0.69</v>
      </c>
      <c r="K14" s="30">
        <v>0.1</v>
      </c>
      <c r="L14" s="30">
        <v>1</v>
      </c>
      <c r="M14" s="30">
        <v>2</v>
      </c>
      <c r="N14" s="30">
        <v>3</v>
      </c>
    </row>
    <row r="15" spans="1:18">
      <c r="A15" s="30">
        <v>624</v>
      </c>
      <c r="B15" s="31">
        <v>40572</v>
      </c>
      <c r="C15" s="30">
        <v>6</v>
      </c>
      <c r="D15" s="30" t="str">
        <f t="shared" si="0"/>
        <v>Morning</v>
      </c>
      <c r="E15" s="30" t="b">
        <v>0</v>
      </c>
      <c r="F15" s="30" t="s">
        <v>25</v>
      </c>
      <c r="G15" s="30" t="str">
        <f t="shared" si="1"/>
        <v>Clear Weather</v>
      </c>
      <c r="H15" s="30">
        <v>0.16</v>
      </c>
      <c r="I15" s="30">
        <v>0.18</v>
      </c>
      <c r="J15" s="30">
        <v>0.64</v>
      </c>
      <c r="K15" s="30">
        <v>0.13</v>
      </c>
      <c r="L15" s="30">
        <v>0</v>
      </c>
      <c r="M15" s="30">
        <v>2</v>
      </c>
      <c r="N15" s="30">
        <v>2</v>
      </c>
    </row>
    <row r="16" spans="1:18">
      <c r="A16" s="30">
        <v>625</v>
      </c>
      <c r="B16" s="31">
        <v>40572</v>
      </c>
      <c r="C16" s="30">
        <v>7</v>
      </c>
      <c r="D16" s="30" t="str">
        <f>IF($C16&lt;6,"Night",IF($C16&lt;12,"Morning",IF($C16&lt;18,"Afternoon","Evening")))</f>
        <v>Morning</v>
      </c>
      <c r="E16" s="30" t="b">
        <v>0</v>
      </c>
      <c r="F16" s="30" t="s">
        <v>25</v>
      </c>
      <c r="G16" s="30" t="str">
        <f t="shared" si="1"/>
        <v>Clear Weather</v>
      </c>
      <c r="H16" s="30">
        <v>0.16</v>
      </c>
      <c r="I16" s="30">
        <v>0.18</v>
      </c>
      <c r="J16" s="30">
        <v>0.59</v>
      </c>
      <c r="K16" s="30">
        <v>0.1</v>
      </c>
      <c r="L16" s="30">
        <v>1</v>
      </c>
      <c r="M16" s="30">
        <v>4</v>
      </c>
      <c r="N16" s="30">
        <v>5</v>
      </c>
    </row>
    <row r="17" spans="1:14">
      <c r="A17" s="30">
        <v>626</v>
      </c>
      <c r="B17" s="31">
        <v>40572</v>
      </c>
      <c r="C17" s="30">
        <v>8</v>
      </c>
      <c r="D17" s="30" t="str">
        <f t="shared" si="0"/>
        <v>Morning</v>
      </c>
      <c r="E17" s="30" t="b">
        <v>0</v>
      </c>
      <c r="F17" s="30" t="s">
        <v>25</v>
      </c>
      <c r="G17" s="30" t="str">
        <f t="shared" si="1"/>
        <v>Clear Weather</v>
      </c>
      <c r="H17" s="30">
        <v>0.18</v>
      </c>
      <c r="I17" s="30">
        <v>0.2</v>
      </c>
      <c r="J17" s="30">
        <v>0.55000000000000004</v>
      </c>
      <c r="K17" s="30">
        <v>0.16</v>
      </c>
      <c r="L17" s="30">
        <v>3</v>
      </c>
      <c r="M17" s="30">
        <v>31</v>
      </c>
      <c r="N17" s="30">
        <v>34</v>
      </c>
    </row>
    <row r="18" spans="1:14">
      <c r="A18" s="30">
        <v>627</v>
      </c>
      <c r="B18" s="31">
        <v>40572</v>
      </c>
      <c r="C18" s="30">
        <v>9</v>
      </c>
      <c r="D18" s="30" t="str">
        <f t="shared" si="0"/>
        <v>Morning</v>
      </c>
      <c r="E18" s="30" t="b">
        <v>0</v>
      </c>
      <c r="F18" s="30" t="s">
        <v>25</v>
      </c>
      <c r="G18" s="30" t="str">
        <f t="shared" si="1"/>
        <v>Clear Weather</v>
      </c>
      <c r="H18" s="30">
        <v>0.18</v>
      </c>
      <c r="I18" s="30">
        <v>0.21</v>
      </c>
      <c r="J18" s="30">
        <v>0.59</v>
      </c>
      <c r="K18" s="30">
        <v>0.09</v>
      </c>
      <c r="L18" s="30">
        <v>0</v>
      </c>
      <c r="M18" s="30">
        <v>34</v>
      </c>
      <c r="N18" s="30">
        <v>34</v>
      </c>
    </row>
    <row r="19" spans="1:14">
      <c r="A19" s="30">
        <v>628</v>
      </c>
      <c r="B19" s="31">
        <v>40572</v>
      </c>
      <c r="C19" s="30">
        <v>10</v>
      </c>
      <c r="D19" s="30" t="str">
        <f t="shared" si="0"/>
        <v>Morning</v>
      </c>
      <c r="E19" s="30" t="b">
        <v>0</v>
      </c>
      <c r="F19" s="30" t="s">
        <v>25</v>
      </c>
      <c r="G19" s="30" t="str">
        <f>PROPER("Light Rain")</f>
        <v>Light Rain</v>
      </c>
      <c r="H19" s="30">
        <v>0.18</v>
      </c>
      <c r="I19" s="30">
        <v>0.21</v>
      </c>
      <c r="J19" s="30">
        <v>0.64</v>
      </c>
      <c r="K19" s="30">
        <v>0.1</v>
      </c>
      <c r="L19" s="30">
        <v>4</v>
      </c>
      <c r="M19" s="30">
        <v>51</v>
      </c>
      <c r="N19" s="30">
        <v>55</v>
      </c>
    </row>
    <row r="20" spans="1:14">
      <c r="A20" s="30">
        <v>629</v>
      </c>
      <c r="B20" s="31">
        <v>40572</v>
      </c>
      <c r="C20" s="30">
        <v>11</v>
      </c>
      <c r="D20" s="30" t="str">
        <f t="shared" si="0"/>
        <v>Morning</v>
      </c>
      <c r="E20" s="30" t="b">
        <v>0</v>
      </c>
      <c r="F20" s="30" t="s">
        <v>25</v>
      </c>
      <c r="G20" s="30" t="str">
        <f>PROPER("Light Rain")</f>
        <v>Light Rain</v>
      </c>
      <c r="H20" s="30">
        <v>0.18</v>
      </c>
      <c r="I20" s="30">
        <v>0.2</v>
      </c>
      <c r="J20" s="30">
        <v>0.64</v>
      </c>
      <c r="K20" s="30">
        <v>0.13</v>
      </c>
      <c r="L20" s="30">
        <v>4</v>
      </c>
      <c r="M20" s="30">
        <v>60</v>
      </c>
      <c r="N20" s="30">
        <v>64</v>
      </c>
    </row>
    <row r="21" spans="1:14">
      <c r="A21" s="30">
        <v>630</v>
      </c>
      <c r="B21" s="31">
        <v>40572</v>
      </c>
      <c r="C21" s="30">
        <v>12</v>
      </c>
      <c r="D21" s="30" t="str">
        <f t="shared" si="0"/>
        <v>Afternoon</v>
      </c>
      <c r="E21" s="30" t="b">
        <v>0</v>
      </c>
      <c r="F21" s="30" t="s">
        <v>25</v>
      </c>
      <c r="G21" s="30" t="str">
        <f>PROPER("Light Rain")</f>
        <v>Light Rain</v>
      </c>
      <c r="H21" s="30">
        <v>0.2</v>
      </c>
      <c r="I21" s="30">
        <v>0.2</v>
      </c>
      <c r="J21" s="30">
        <v>0.59</v>
      </c>
      <c r="K21" s="30">
        <v>0.19</v>
      </c>
      <c r="L21" s="30">
        <v>12</v>
      </c>
      <c r="M21" s="30">
        <v>66</v>
      </c>
      <c r="N21" s="30">
        <v>78</v>
      </c>
    </row>
    <row r="22" spans="1:14">
      <c r="A22" s="30">
        <v>631</v>
      </c>
      <c r="B22" s="31">
        <v>40572</v>
      </c>
      <c r="C22" s="30">
        <v>13</v>
      </c>
      <c r="D22" s="30" t="str">
        <f t="shared" si="0"/>
        <v>Afternoon</v>
      </c>
      <c r="E22" s="30" t="b">
        <v>0</v>
      </c>
      <c r="F22" s="30" t="s">
        <v>25</v>
      </c>
      <c r="G22" s="30" t="str">
        <f>PROPER("Light Rain")</f>
        <v>Light Rain</v>
      </c>
      <c r="H22" s="30">
        <v>0.22</v>
      </c>
      <c r="I22" s="30">
        <v>0.23</v>
      </c>
      <c r="J22" s="30">
        <v>0.55000000000000004</v>
      </c>
      <c r="K22" s="30">
        <v>0.16</v>
      </c>
      <c r="L22" s="30">
        <v>9</v>
      </c>
      <c r="M22" s="30">
        <v>56</v>
      </c>
      <c r="N22" s="30">
        <v>65</v>
      </c>
    </row>
    <row r="23" spans="1:14">
      <c r="A23" s="30">
        <v>632</v>
      </c>
      <c r="B23" s="31">
        <v>40572</v>
      </c>
      <c r="C23" s="30">
        <v>14</v>
      </c>
      <c r="D23" s="30" t="str">
        <f t="shared" si="0"/>
        <v>Afternoon</v>
      </c>
      <c r="E23" s="30" t="b">
        <v>0</v>
      </c>
      <c r="F23" s="30" t="s">
        <v>25</v>
      </c>
      <c r="G23" s="30" t="str">
        <f>PROPER("Light Rain")</f>
        <v>Light Rain</v>
      </c>
      <c r="H23" s="30">
        <v>0.22</v>
      </c>
      <c r="I23" s="30">
        <v>0.23</v>
      </c>
      <c r="J23" s="30">
        <v>0.6</v>
      </c>
      <c r="K23" s="30">
        <v>0.13</v>
      </c>
      <c r="L23" s="30">
        <v>10</v>
      </c>
      <c r="M23" s="30">
        <v>89</v>
      </c>
      <c r="N23" s="30">
        <v>99</v>
      </c>
    </row>
    <row r="24" spans="1:14">
      <c r="A24" s="30">
        <v>633</v>
      </c>
      <c r="B24" s="31">
        <v>40572</v>
      </c>
      <c r="C24" s="30">
        <v>15</v>
      </c>
      <c r="D24" s="30" t="str">
        <f t="shared" si="0"/>
        <v>Afternoon</v>
      </c>
      <c r="E24" s="30" t="b">
        <v>0</v>
      </c>
      <c r="F24" s="30" t="s">
        <v>25</v>
      </c>
      <c r="G24" s="32" t="s">
        <v>8</v>
      </c>
      <c r="H24" s="30">
        <v>0.22</v>
      </c>
      <c r="I24" s="30">
        <v>0.21</v>
      </c>
      <c r="J24" s="30">
        <v>0.69</v>
      </c>
      <c r="K24" s="30">
        <v>0.25</v>
      </c>
      <c r="L24" s="30">
        <v>22</v>
      </c>
      <c r="M24" s="30">
        <v>98</v>
      </c>
      <c r="N24" s="30">
        <v>120</v>
      </c>
    </row>
    <row r="25" spans="1:14">
      <c r="A25" s="30">
        <v>634</v>
      </c>
      <c r="B25" s="31">
        <v>40572</v>
      </c>
      <c r="C25" s="30">
        <v>16</v>
      </c>
      <c r="D25" s="30" t="str">
        <f t="shared" si="0"/>
        <v>Afternoon</v>
      </c>
      <c r="E25" s="30" t="b">
        <v>0</v>
      </c>
      <c r="F25" s="30" t="s">
        <v>25</v>
      </c>
      <c r="G25" s="32" t="s">
        <v>8</v>
      </c>
      <c r="H25" s="30">
        <v>0.24</v>
      </c>
      <c r="I25" s="30">
        <v>0.24</v>
      </c>
      <c r="J25" s="30">
        <v>0.6</v>
      </c>
      <c r="K25" s="30">
        <v>0.16</v>
      </c>
      <c r="L25" s="30">
        <v>19</v>
      </c>
      <c r="M25" s="30">
        <v>88</v>
      </c>
      <c r="N25" s="30">
        <v>107</v>
      </c>
    </row>
    <row r="26" spans="1:14">
      <c r="A26" s="30">
        <v>635</v>
      </c>
      <c r="B26" s="31">
        <v>40572</v>
      </c>
      <c r="C26" s="30">
        <v>17</v>
      </c>
      <c r="D26" s="30" t="str">
        <f t="shared" si="0"/>
        <v>Afternoon</v>
      </c>
      <c r="E26" s="30" t="b">
        <v>0</v>
      </c>
      <c r="F26" s="30" t="s">
        <v>25</v>
      </c>
      <c r="G26" s="32" t="s">
        <v>8</v>
      </c>
      <c r="H26" s="30">
        <v>0.24</v>
      </c>
      <c r="I26" s="30">
        <v>0.28999999999999998</v>
      </c>
      <c r="J26" s="30">
        <v>0.6</v>
      </c>
      <c r="K26" s="30">
        <v>0</v>
      </c>
      <c r="L26" s="30">
        <v>9</v>
      </c>
      <c r="M26" s="30">
        <v>82</v>
      </c>
      <c r="N26" s="30">
        <v>91</v>
      </c>
    </row>
    <row r="27" spans="1:14">
      <c r="A27" s="30">
        <v>636</v>
      </c>
      <c r="B27" s="31">
        <v>40572</v>
      </c>
      <c r="C27" s="30">
        <v>18</v>
      </c>
      <c r="D27" s="30" t="str">
        <f t="shared" si="0"/>
        <v>Evening</v>
      </c>
      <c r="E27" s="30" t="b">
        <v>0</v>
      </c>
      <c r="F27" s="30" t="s">
        <v>25</v>
      </c>
      <c r="G27" s="32" t="s">
        <v>8</v>
      </c>
      <c r="H27" s="30">
        <v>0.22</v>
      </c>
      <c r="I27" s="30">
        <v>0.23</v>
      </c>
      <c r="J27" s="30">
        <v>0.69</v>
      </c>
      <c r="K27" s="30">
        <v>0.13</v>
      </c>
      <c r="L27" s="30">
        <v>9</v>
      </c>
      <c r="M27" s="30">
        <v>59</v>
      </c>
      <c r="N27" s="30">
        <v>68</v>
      </c>
    </row>
    <row r="28" spans="1:14">
      <c r="A28" s="30">
        <v>637</v>
      </c>
      <c r="B28" s="31">
        <v>40572</v>
      </c>
      <c r="C28" s="30">
        <v>19</v>
      </c>
      <c r="D28" s="30" t="str">
        <f t="shared" si="0"/>
        <v>Evening</v>
      </c>
      <c r="E28" s="30" t="b">
        <v>0</v>
      </c>
      <c r="F28" s="30" t="s">
        <v>25</v>
      </c>
      <c r="G28" s="32" t="s">
        <v>9</v>
      </c>
      <c r="H28" s="30">
        <v>0.22</v>
      </c>
      <c r="I28" s="30">
        <v>0.21</v>
      </c>
      <c r="J28" s="30">
        <v>0.69</v>
      </c>
      <c r="K28" s="30">
        <v>0.25</v>
      </c>
      <c r="L28" s="30">
        <v>6</v>
      </c>
      <c r="M28" s="30">
        <v>52</v>
      </c>
      <c r="N28" s="30">
        <v>58</v>
      </c>
    </row>
    <row r="29" spans="1:14">
      <c r="A29" s="30">
        <v>638</v>
      </c>
      <c r="B29" s="31">
        <v>40572</v>
      </c>
      <c r="C29" s="30">
        <v>20</v>
      </c>
      <c r="D29" s="30" t="str">
        <f t="shared" si="0"/>
        <v>Evening</v>
      </c>
      <c r="E29" s="30" t="b">
        <v>0</v>
      </c>
      <c r="F29" s="30" t="s">
        <v>25</v>
      </c>
      <c r="G29" s="32" t="s">
        <v>8</v>
      </c>
      <c r="H29" s="30">
        <v>0.18</v>
      </c>
      <c r="I29" s="30">
        <v>0.21</v>
      </c>
      <c r="J29" s="30">
        <v>0.74</v>
      </c>
      <c r="K29" s="30">
        <v>0.09</v>
      </c>
      <c r="L29" s="30">
        <v>1</v>
      </c>
      <c r="M29" s="30">
        <v>42</v>
      </c>
      <c r="N29" s="30">
        <v>43</v>
      </c>
    </row>
    <row r="30" spans="1:14">
      <c r="A30" s="30">
        <v>639</v>
      </c>
      <c r="B30" s="31">
        <v>40572</v>
      </c>
      <c r="C30" s="30">
        <v>21</v>
      </c>
      <c r="D30" s="30" t="str">
        <f t="shared" si="0"/>
        <v>Evening</v>
      </c>
      <c r="E30" s="30" t="b">
        <v>0</v>
      </c>
      <c r="F30" s="30" t="s">
        <v>25</v>
      </c>
      <c r="G30" s="32" t="s">
        <v>8</v>
      </c>
      <c r="H30" s="30">
        <v>0.18</v>
      </c>
      <c r="I30" s="30">
        <v>0.21</v>
      </c>
      <c r="J30" s="30">
        <v>0.74</v>
      </c>
      <c r="K30" s="30">
        <v>0.09</v>
      </c>
      <c r="L30" s="30">
        <v>1</v>
      </c>
      <c r="M30" s="30">
        <v>35</v>
      </c>
      <c r="N30" s="30">
        <v>36</v>
      </c>
    </row>
    <row r="31" spans="1:14">
      <c r="A31" s="30">
        <v>640</v>
      </c>
      <c r="B31" s="31">
        <v>40572</v>
      </c>
      <c r="C31" s="30">
        <v>22</v>
      </c>
      <c r="D31" s="30" t="str">
        <f t="shared" si="0"/>
        <v>Evening</v>
      </c>
      <c r="E31" s="30" t="b">
        <v>0</v>
      </c>
      <c r="F31" s="30" t="s">
        <v>25</v>
      </c>
      <c r="G31" s="32" t="s">
        <v>8</v>
      </c>
      <c r="H31" s="30">
        <v>0.16</v>
      </c>
      <c r="I31" s="30">
        <v>0.2</v>
      </c>
      <c r="J31" s="30">
        <v>0.8</v>
      </c>
      <c r="K31" s="30">
        <v>0.09</v>
      </c>
      <c r="L31" s="30">
        <v>4</v>
      </c>
      <c r="M31" s="30">
        <v>28</v>
      </c>
      <c r="N31" s="30">
        <v>32</v>
      </c>
    </row>
    <row r="32" spans="1:14">
      <c r="A32" s="30">
        <v>641</v>
      </c>
      <c r="B32" s="31">
        <v>40572</v>
      </c>
      <c r="C32" s="30">
        <v>23</v>
      </c>
      <c r="D32" s="30" t="str">
        <f t="shared" si="0"/>
        <v>Evening</v>
      </c>
      <c r="E32" s="30" t="b">
        <v>0</v>
      </c>
      <c r="F32" s="30" t="s">
        <v>25</v>
      </c>
      <c r="G32" s="32" t="s">
        <v>8</v>
      </c>
      <c r="H32" s="30">
        <v>0.16</v>
      </c>
      <c r="I32" s="30">
        <v>0.2</v>
      </c>
      <c r="J32" s="30">
        <v>0.8</v>
      </c>
      <c r="K32" s="30">
        <v>0.09</v>
      </c>
      <c r="L32" s="30">
        <v>3</v>
      </c>
      <c r="M32" s="30">
        <v>30</v>
      </c>
      <c r="N32" s="30">
        <v>33</v>
      </c>
    </row>
    <row r="33" spans="1:14">
      <c r="A33" s="30">
        <v>642</v>
      </c>
      <c r="B33" s="31">
        <v>40573</v>
      </c>
      <c r="C33" s="30">
        <v>0</v>
      </c>
      <c r="D33" s="30" t="str">
        <f t="shared" si="0"/>
        <v>Night</v>
      </c>
      <c r="E33" s="30" t="b">
        <v>0</v>
      </c>
      <c r="F33" s="30" t="s">
        <v>19</v>
      </c>
      <c r="G33" s="32" t="s">
        <v>8</v>
      </c>
      <c r="H33" s="30">
        <v>0.16</v>
      </c>
      <c r="I33" s="30">
        <v>0.18</v>
      </c>
      <c r="J33" s="30">
        <v>0.8</v>
      </c>
      <c r="K33" s="30">
        <v>0.1</v>
      </c>
      <c r="L33" s="30">
        <v>0</v>
      </c>
      <c r="M33" s="30">
        <v>33</v>
      </c>
      <c r="N33" s="30">
        <v>33</v>
      </c>
    </row>
    <row r="34" spans="1:14">
      <c r="A34" s="30">
        <v>643</v>
      </c>
      <c r="B34" s="31">
        <v>40573</v>
      </c>
      <c r="C34" s="30">
        <v>1</v>
      </c>
      <c r="D34" s="30" t="str">
        <f t="shared" si="0"/>
        <v>Night</v>
      </c>
      <c r="E34" s="30" t="b">
        <v>0</v>
      </c>
      <c r="F34" s="30" t="s">
        <v>19</v>
      </c>
      <c r="G34" s="32" t="s">
        <v>8</v>
      </c>
      <c r="H34" s="30">
        <v>0.14000000000000001</v>
      </c>
      <c r="I34" s="30">
        <v>0.21</v>
      </c>
      <c r="J34" s="30">
        <v>0.8</v>
      </c>
      <c r="K34" s="30">
        <v>0</v>
      </c>
      <c r="L34" s="30">
        <v>7</v>
      </c>
      <c r="M34" s="30">
        <v>22</v>
      </c>
      <c r="N34" s="30">
        <v>29</v>
      </c>
    </row>
    <row r="35" spans="1:14">
      <c r="A35" s="30">
        <v>644</v>
      </c>
      <c r="B35" s="31">
        <v>40573</v>
      </c>
      <c r="C35" s="30">
        <v>2</v>
      </c>
      <c r="D35" s="30" t="str">
        <f t="shared" si="0"/>
        <v>Night</v>
      </c>
      <c r="E35" s="30" t="b">
        <v>0</v>
      </c>
      <c r="F35" s="30" t="s">
        <v>19</v>
      </c>
      <c r="G35" s="32" t="s">
        <v>8</v>
      </c>
      <c r="H35" s="30">
        <v>0.16</v>
      </c>
      <c r="I35" s="30">
        <v>0.23</v>
      </c>
      <c r="J35" s="30">
        <v>0.8</v>
      </c>
      <c r="K35" s="30">
        <v>0</v>
      </c>
      <c r="L35" s="30">
        <v>1</v>
      </c>
      <c r="M35" s="30">
        <v>10</v>
      </c>
      <c r="N35" s="30">
        <v>11</v>
      </c>
    </row>
    <row r="36" spans="1:14">
      <c r="A36" s="30">
        <v>645</v>
      </c>
      <c r="B36" s="31">
        <v>40573</v>
      </c>
      <c r="C36" s="30">
        <v>3</v>
      </c>
      <c r="D36" s="30" t="str">
        <f t="shared" si="0"/>
        <v>Night</v>
      </c>
      <c r="E36" s="30" t="b">
        <v>0</v>
      </c>
      <c r="F36" s="30" t="s">
        <v>19</v>
      </c>
      <c r="G36" s="32" t="s">
        <v>8</v>
      </c>
      <c r="H36" s="30">
        <v>0.14000000000000001</v>
      </c>
      <c r="I36" s="30">
        <v>0.21</v>
      </c>
      <c r="J36" s="30">
        <v>0.93</v>
      </c>
      <c r="K36" s="30">
        <v>0</v>
      </c>
      <c r="L36" s="30">
        <v>1</v>
      </c>
      <c r="M36" s="30">
        <v>7</v>
      </c>
      <c r="N36" s="30">
        <v>8</v>
      </c>
    </row>
    <row r="37" spans="1:14">
      <c r="A37" s="30">
        <v>646</v>
      </c>
      <c r="B37" s="31">
        <v>40573</v>
      </c>
      <c r="C37" s="30">
        <v>4</v>
      </c>
      <c r="D37" s="30" t="str">
        <f t="shared" si="0"/>
        <v>Night</v>
      </c>
      <c r="E37" s="30" t="b">
        <v>0</v>
      </c>
      <c r="F37" s="30" t="s">
        <v>19</v>
      </c>
      <c r="G37" s="32" t="s">
        <v>8</v>
      </c>
      <c r="H37" s="30">
        <v>0.14000000000000001</v>
      </c>
      <c r="I37" s="30">
        <v>0.21</v>
      </c>
      <c r="J37" s="30">
        <v>0.93</v>
      </c>
      <c r="K37" s="30">
        <v>0</v>
      </c>
      <c r="L37" s="30">
        <v>0</v>
      </c>
      <c r="M37" s="30">
        <v>1</v>
      </c>
      <c r="N37" s="30">
        <v>1</v>
      </c>
    </row>
    <row r="38" spans="1:14">
      <c r="A38" s="30">
        <v>647</v>
      </c>
      <c r="B38" s="31">
        <v>40573</v>
      </c>
      <c r="C38" s="30">
        <v>5</v>
      </c>
      <c r="D38" s="30" t="str">
        <f t="shared" si="0"/>
        <v>Night</v>
      </c>
      <c r="E38" s="30" t="b">
        <v>0</v>
      </c>
      <c r="F38" s="30" t="s">
        <v>19</v>
      </c>
      <c r="G38" s="32" t="s">
        <v>8</v>
      </c>
      <c r="H38" s="30">
        <v>0.14000000000000001</v>
      </c>
      <c r="I38" s="30">
        <v>0.21</v>
      </c>
      <c r="J38" s="30">
        <v>0.86</v>
      </c>
      <c r="K38" s="30">
        <v>0</v>
      </c>
      <c r="L38" s="30">
        <v>0</v>
      </c>
      <c r="M38" s="30">
        <v>3</v>
      </c>
      <c r="N38" s="30">
        <v>3</v>
      </c>
    </row>
    <row r="39" spans="1:14">
      <c r="A39" s="30">
        <v>648</v>
      </c>
      <c r="B39" s="31">
        <v>40573</v>
      </c>
      <c r="C39" s="30">
        <v>7</v>
      </c>
      <c r="D39" s="30" t="str">
        <f t="shared" si="0"/>
        <v>Morning</v>
      </c>
      <c r="E39" s="30" t="b">
        <v>0</v>
      </c>
      <c r="F39" s="30" t="s">
        <v>19</v>
      </c>
      <c r="G39" s="32" t="s">
        <v>8</v>
      </c>
      <c r="H39" s="30">
        <v>0.14000000000000001</v>
      </c>
      <c r="I39" s="30">
        <v>0.21</v>
      </c>
      <c r="J39" s="30">
        <v>0.86</v>
      </c>
      <c r="K39" s="30">
        <v>0</v>
      </c>
      <c r="L39" s="30">
        <v>0</v>
      </c>
      <c r="M39" s="30">
        <v>3</v>
      </c>
      <c r="N39" s="30">
        <v>3</v>
      </c>
    </row>
    <row r="40" spans="1:14">
      <c r="A40" s="30">
        <v>649</v>
      </c>
      <c r="B40" s="31">
        <v>40573</v>
      </c>
      <c r="C40" s="30">
        <v>8</v>
      </c>
      <c r="D40" s="30" t="str">
        <f t="shared" si="0"/>
        <v>Morning</v>
      </c>
      <c r="E40" s="30" t="b">
        <v>0</v>
      </c>
      <c r="F40" s="30" t="s">
        <v>19</v>
      </c>
      <c r="G40" s="32" t="s">
        <v>9</v>
      </c>
      <c r="H40" s="30">
        <v>0.14000000000000001</v>
      </c>
      <c r="I40" s="30">
        <v>0.21</v>
      </c>
      <c r="J40" s="30">
        <v>0.86</v>
      </c>
      <c r="K40" s="30">
        <v>0</v>
      </c>
      <c r="L40" s="30">
        <v>1</v>
      </c>
      <c r="M40" s="30">
        <v>11</v>
      </c>
      <c r="N40" s="30">
        <v>12</v>
      </c>
    </row>
    <row r="41" spans="1:14">
      <c r="A41" s="30">
        <v>650</v>
      </c>
      <c r="B41" s="31">
        <v>40573</v>
      </c>
      <c r="C41" s="30">
        <v>9</v>
      </c>
      <c r="D41" s="30" t="str">
        <f t="shared" si="0"/>
        <v>Morning</v>
      </c>
      <c r="E41" s="30" t="b">
        <v>0</v>
      </c>
      <c r="F41" s="30" t="s">
        <v>19</v>
      </c>
      <c r="G41" s="32" t="s">
        <v>9</v>
      </c>
      <c r="H41" s="30">
        <v>0.16</v>
      </c>
      <c r="I41" s="30">
        <v>0.23</v>
      </c>
      <c r="J41" s="30">
        <v>0.8</v>
      </c>
      <c r="K41" s="30">
        <v>0</v>
      </c>
      <c r="L41" s="30">
        <v>4</v>
      </c>
      <c r="M41" s="30">
        <v>34</v>
      </c>
      <c r="N41" s="30">
        <v>38</v>
      </c>
    </row>
    <row r="42" spans="1:14">
      <c r="A42" s="30">
        <v>651</v>
      </c>
      <c r="B42" s="31">
        <v>40573</v>
      </c>
      <c r="C42" s="30">
        <v>10</v>
      </c>
      <c r="D42" s="30" t="str">
        <f t="shared" si="0"/>
        <v>Morning</v>
      </c>
      <c r="E42" s="30" t="b">
        <v>0</v>
      </c>
      <c r="F42" s="30" t="s">
        <v>19</v>
      </c>
      <c r="G42" s="32" t="s">
        <v>9</v>
      </c>
      <c r="H42" s="30">
        <v>0.18</v>
      </c>
      <c r="I42" s="30">
        <v>0.24</v>
      </c>
      <c r="J42" s="30">
        <v>0.8</v>
      </c>
      <c r="K42" s="30">
        <v>0</v>
      </c>
      <c r="L42" s="30">
        <v>7</v>
      </c>
      <c r="M42" s="30">
        <v>57</v>
      </c>
      <c r="N42" s="30">
        <v>64</v>
      </c>
    </row>
    <row r="43" spans="1:14">
      <c r="A43" s="30">
        <v>652</v>
      </c>
      <c r="B43" s="31">
        <v>40573</v>
      </c>
      <c r="C43" s="30">
        <v>11</v>
      </c>
      <c r="D43" s="30" t="str">
        <f t="shared" si="0"/>
        <v>Morning</v>
      </c>
      <c r="E43" s="30" t="b">
        <v>0</v>
      </c>
      <c r="F43" s="30" t="s">
        <v>19</v>
      </c>
      <c r="G43" s="30" t="s">
        <v>8</v>
      </c>
      <c r="H43" s="30">
        <v>0.22</v>
      </c>
      <c r="I43" s="30">
        <v>0.27</v>
      </c>
      <c r="J43" s="30">
        <v>0.75</v>
      </c>
      <c r="K43" s="30">
        <v>0</v>
      </c>
      <c r="L43" s="30">
        <v>9</v>
      </c>
      <c r="M43" s="30">
        <v>50</v>
      </c>
      <c r="N43" s="30">
        <v>59</v>
      </c>
    </row>
    <row r="44" spans="1:14">
      <c r="A44" s="30">
        <v>653</v>
      </c>
      <c r="B44" s="31">
        <v>40573</v>
      </c>
      <c r="C44" s="30">
        <v>12</v>
      </c>
      <c r="D44" s="30" t="str">
        <f t="shared" si="0"/>
        <v>Afternoon</v>
      </c>
      <c r="E44" s="30" t="b">
        <v>0</v>
      </c>
      <c r="F44" s="30" t="s">
        <v>19</v>
      </c>
      <c r="G44" s="30" t="s">
        <v>8</v>
      </c>
      <c r="H44" s="30">
        <v>0.3</v>
      </c>
      <c r="I44" s="30">
        <v>0.32</v>
      </c>
      <c r="J44" s="30">
        <v>0.52</v>
      </c>
      <c r="K44" s="30">
        <v>0.1</v>
      </c>
      <c r="L44" s="30">
        <v>10</v>
      </c>
      <c r="M44" s="30">
        <v>87</v>
      </c>
      <c r="N44" s="30">
        <v>97</v>
      </c>
    </row>
    <row r="45" spans="1:14">
      <c r="A45" s="30">
        <v>654</v>
      </c>
      <c r="B45" s="31">
        <v>40573</v>
      </c>
      <c r="C45" s="30">
        <v>13</v>
      </c>
      <c r="D45" s="30" t="str">
        <f t="shared" si="0"/>
        <v>Afternoon</v>
      </c>
      <c r="E45" s="30" t="b">
        <v>0</v>
      </c>
      <c r="F45" s="30" t="s">
        <v>19</v>
      </c>
      <c r="G45" s="30" t="s">
        <v>8</v>
      </c>
      <c r="H45" s="30">
        <v>0.28000000000000003</v>
      </c>
      <c r="I45" s="30">
        <v>0.28999999999999998</v>
      </c>
      <c r="J45" s="30">
        <v>0.61</v>
      </c>
      <c r="K45" s="30">
        <v>0.1</v>
      </c>
      <c r="L45" s="30">
        <v>13</v>
      </c>
      <c r="M45" s="30">
        <v>71</v>
      </c>
      <c r="N45" s="30">
        <v>84</v>
      </c>
    </row>
    <row r="46" spans="1:14">
      <c r="A46" s="30">
        <v>655</v>
      </c>
      <c r="B46" s="31">
        <v>40573</v>
      </c>
      <c r="C46" s="30">
        <v>14</v>
      </c>
      <c r="D46" s="30" t="str">
        <f t="shared" si="0"/>
        <v>Afternoon</v>
      </c>
      <c r="E46" s="30" t="b">
        <v>0</v>
      </c>
      <c r="F46" s="30" t="s">
        <v>19</v>
      </c>
      <c r="G46" s="30" t="s">
        <v>8</v>
      </c>
      <c r="H46" s="30">
        <v>0.28000000000000003</v>
      </c>
      <c r="I46" s="30">
        <v>0.3</v>
      </c>
      <c r="J46" s="30">
        <v>0.61</v>
      </c>
      <c r="K46" s="30">
        <v>0.09</v>
      </c>
      <c r="L46" s="30">
        <v>18</v>
      </c>
      <c r="M46" s="30">
        <v>104</v>
      </c>
      <c r="N46" s="30">
        <v>122</v>
      </c>
    </row>
    <row r="47" spans="1:14">
      <c r="A47" s="30">
        <v>656</v>
      </c>
      <c r="B47" s="31">
        <v>40573</v>
      </c>
      <c r="C47" s="30">
        <v>15</v>
      </c>
      <c r="D47" s="30" t="str">
        <f t="shared" si="0"/>
        <v>Afternoon</v>
      </c>
      <c r="E47" s="30" t="b">
        <v>0</v>
      </c>
      <c r="F47" s="30" t="s">
        <v>19</v>
      </c>
      <c r="G47" s="30" t="s">
        <v>8</v>
      </c>
      <c r="H47" s="30">
        <v>0.3</v>
      </c>
      <c r="I47" s="30">
        <v>0.33</v>
      </c>
      <c r="J47" s="30">
        <v>0.56000000000000005</v>
      </c>
      <c r="K47" s="30">
        <v>0</v>
      </c>
      <c r="L47" s="30">
        <v>14</v>
      </c>
      <c r="M47" s="30">
        <v>95</v>
      </c>
      <c r="N47" s="30">
        <v>109</v>
      </c>
    </row>
    <row r="48" spans="1:14">
      <c r="A48" s="30">
        <v>657</v>
      </c>
      <c r="B48" s="31">
        <v>40573</v>
      </c>
      <c r="C48" s="30">
        <v>16</v>
      </c>
      <c r="D48" s="30" t="str">
        <f t="shared" si="0"/>
        <v>Afternoon</v>
      </c>
      <c r="E48" s="30" t="b">
        <v>0</v>
      </c>
      <c r="F48" s="30" t="s">
        <v>19</v>
      </c>
      <c r="G48" s="30" t="s">
        <v>8</v>
      </c>
      <c r="H48" s="30">
        <v>0.3</v>
      </c>
      <c r="I48" s="30">
        <v>0.33</v>
      </c>
      <c r="J48" s="30">
        <v>0.56000000000000005</v>
      </c>
      <c r="K48" s="30">
        <v>0</v>
      </c>
      <c r="L48" s="30">
        <v>19</v>
      </c>
      <c r="M48" s="30">
        <v>104</v>
      </c>
      <c r="N48" s="30">
        <v>123</v>
      </c>
    </row>
    <row r="49" spans="1:14">
      <c r="A49" s="30">
        <v>658</v>
      </c>
      <c r="B49" s="31">
        <v>40573</v>
      </c>
      <c r="C49" s="30">
        <v>17</v>
      </c>
      <c r="D49" s="30" t="str">
        <f t="shared" si="0"/>
        <v>Afternoon</v>
      </c>
      <c r="E49" s="30" t="b">
        <v>0</v>
      </c>
      <c r="F49" s="30" t="s">
        <v>19</v>
      </c>
      <c r="G49" s="30" t="s">
        <v>8</v>
      </c>
      <c r="H49" s="30">
        <v>0.3</v>
      </c>
      <c r="I49" s="30">
        <v>0.28999999999999998</v>
      </c>
      <c r="J49" s="30">
        <v>0.56000000000000005</v>
      </c>
      <c r="K49" s="30">
        <v>0.19</v>
      </c>
      <c r="L49" s="30">
        <v>6</v>
      </c>
      <c r="M49" s="30">
        <v>71</v>
      </c>
      <c r="N49" s="30">
        <v>77</v>
      </c>
    </row>
    <row r="50" spans="1:14">
      <c r="A50" s="30">
        <v>659</v>
      </c>
      <c r="B50" s="31">
        <v>40573</v>
      </c>
      <c r="C50" s="30">
        <v>18</v>
      </c>
      <c r="D50" s="30" t="str">
        <f t="shared" si="0"/>
        <v>Evening</v>
      </c>
      <c r="E50" s="30" t="b">
        <v>0</v>
      </c>
      <c r="F50" s="30" t="s">
        <v>19</v>
      </c>
      <c r="G50" s="30" t="s">
        <v>8</v>
      </c>
      <c r="H50" s="30">
        <v>0.26</v>
      </c>
      <c r="I50" s="30">
        <v>0.26</v>
      </c>
      <c r="J50" s="30">
        <v>0.65</v>
      </c>
      <c r="K50" s="30">
        <v>0.16</v>
      </c>
      <c r="L50" s="30">
        <v>8</v>
      </c>
      <c r="M50" s="30">
        <v>57</v>
      </c>
      <c r="N50" s="30">
        <v>65</v>
      </c>
    </row>
    <row r="51" spans="1:14">
      <c r="A51" s="30">
        <v>660</v>
      </c>
      <c r="B51" s="31">
        <v>40573</v>
      </c>
      <c r="C51" s="30">
        <v>19</v>
      </c>
      <c r="D51" s="30" t="str">
        <f t="shared" si="0"/>
        <v>Evening</v>
      </c>
      <c r="E51" s="30" t="b">
        <v>0</v>
      </c>
      <c r="F51" s="30" t="s">
        <v>19</v>
      </c>
      <c r="G51" s="30" t="s">
        <v>8</v>
      </c>
      <c r="H51" s="30">
        <v>0.26</v>
      </c>
      <c r="I51" s="30">
        <v>0.26</v>
      </c>
      <c r="J51" s="30">
        <v>0.65</v>
      </c>
      <c r="K51" s="30">
        <v>0.19</v>
      </c>
      <c r="L51" s="30">
        <v>9</v>
      </c>
      <c r="M51" s="30">
        <v>46</v>
      </c>
      <c r="N51" s="30">
        <v>55</v>
      </c>
    </row>
    <row r="52" spans="1:14">
      <c r="A52" s="30">
        <v>661</v>
      </c>
      <c r="B52" s="31">
        <v>40573</v>
      </c>
      <c r="C52" s="30">
        <v>20</v>
      </c>
      <c r="D52" s="30" t="str">
        <f t="shared" si="0"/>
        <v>Evening</v>
      </c>
      <c r="E52" s="30" t="b">
        <v>0</v>
      </c>
      <c r="F52" s="30" t="s">
        <v>19</v>
      </c>
      <c r="G52" s="30" t="s">
        <v>9</v>
      </c>
      <c r="H52" s="30">
        <v>0.26</v>
      </c>
      <c r="I52" s="30">
        <v>0.27</v>
      </c>
      <c r="J52" s="30">
        <v>0.65</v>
      </c>
      <c r="K52" s="30">
        <v>0.1</v>
      </c>
      <c r="L52" s="30">
        <v>3</v>
      </c>
      <c r="M52" s="30">
        <v>30</v>
      </c>
      <c r="N52" s="30">
        <v>33</v>
      </c>
    </row>
    <row r="53" spans="1:14">
      <c r="A53" s="30">
        <v>662</v>
      </c>
      <c r="B53" s="31">
        <v>40573</v>
      </c>
      <c r="C53" s="30">
        <v>21</v>
      </c>
      <c r="D53" s="30" t="str">
        <f t="shared" si="0"/>
        <v>Evening</v>
      </c>
      <c r="E53" s="30" t="b">
        <v>0</v>
      </c>
      <c r="F53" s="30" t="s">
        <v>19</v>
      </c>
      <c r="G53" s="30" t="s">
        <v>9</v>
      </c>
      <c r="H53" s="30">
        <v>0.24</v>
      </c>
      <c r="I53" s="30">
        <v>0.24</v>
      </c>
      <c r="J53" s="30">
        <v>0.7</v>
      </c>
      <c r="K53" s="30">
        <v>0.16</v>
      </c>
      <c r="L53" s="30">
        <v>3</v>
      </c>
      <c r="M53" s="30">
        <v>25</v>
      </c>
      <c r="N53" s="30">
        <v>28</v>
      </c>
    </row>
    <row r="54" spans="1:14">
      <c r="A54" s="30">
        <v>663</v>
      </c>
      <c r="B54" s="31">
        <v>40573</v>
      </c>
      <c r="C54" s="30">
        <v>22</v>
      </c>
      <c r="D54" s="30" t="str">
        <f t="shared" si="0"/>
        <v>Evening</v>
      </c>
      <c r="E54" s="30" t="b">
        <v>0</v>
      </c>
      <c r="F54" s="30" t="s">
        <v>19</v>
      </c>
      <c r="G54" s="30" t="s">
        <v>9</v>
      </c>
      <c r="H54" s="30">
        <v>0.24</v>
      </c>
      <c r="I54" s="30">
        <v>0.23</v>
      </c>
      <c r="J54" s="30">
        <v>0.7</v>
      </c>
      <c r="K54" s="30">
        <v>0.19</v>
      </c>
      <c r="L54" s="30">
        <v>2</v>
      </c>
      <c r="M54" s="30">
        <v>19</v>
      </c>
      <c r="N54" s="30">
        <v>21</v>
      </c>
    </row>
    <row r="55" spans="1:14">
      <c r="A55" s="30">
        <v>664</v>
      </c>
      <c r="B55" s="31">
        <v>40573</v>
      </c>
      <c r="C55" s="30">
        <v>23</v>
      </c>
      <c r="D55" s="30" t="str">
        <f t="shared" si="0"/>
        <v>Evening</v>
      </c>
      <c r="E55" s="30" t="b">
        <v>0</v>
      </c>
      <c r="F55" s="30" t="s">
        <v>19</v>
      </c>
      <c r="G55" s="30" t="s">
        <v>9</v>
      </c>
      <c r="H55" s="30">
        <v>0.24</v>
      </c>
      <c r="I55" s="30">
        <v>0.21</v>
      </c>
      <c r="J55" s="30">
        <v>0.65</v>
      </c>
      <c r="K55" s="30">
        <v>0.28000000000000003</v>
      </c>
      <c r="L55" s="30">
        <v>5</v>
      </c>
      <c r="M55" s="30">
        <v>16</v>
      </c>
      <c r="N55" s="30">
        <v>21</v>
      </c>
    </row>
    <row r="56" spans="1:14">
      <c r="A56" s="30">
        <v>665</v>
      </c>
      <c r="B56" s="31">
        <v>40574</v>
      </c>
      <c r="C56" s="30">
        <v>0</v>
      </c>
      <c r="D56" s="30" t="str">
        <f t="shared" si="0"/>
        <v>Night</v>
      </c>
      <c r="E56" s="30" t="b">
        <v>0</v>
      </c>
      <c r="F56" s="30" t="s">
        <v>20</v>
      </c>
      <c r="G56" s="30" t="s">
        <v>9</v>
      </c>
      <c r="H56" s="30">
        <v>0.24</v>
      </c>
      <c r="I56" s="30">
        <v>0.23</v>
      </c>
      <c r="J56" s="30">
        <v>0.65</v>
      </c>
      <c r="K56" s="30">
        <v>0.22</v>
      </c>
      <c r="L56" s="30">
        <v>1</v>
      </c>
      <c r="M56" s="30">
        <v>6</v>
      </c>
      <c r="N56" s="30">
        <v>7</v>
      </c>
    </row>
    <row r="57" spans="1:14">
      <c r="A57" s="30">
        <v>666</v>
      </c>
      <c r="B57" s="31">
        <v>40574</v>
      </c>
      <c r="C57" s="30">
        <v>1</v>
      </c>
      <c r="D57" s="30" t="str">
        <f t="shared" si="0"/>
        <v>Night</v>
      </c>
      <c r="E57" s="30" t="b">
        <v>0</v>
      </c>
      <c r="F57" s="30" t="s">
        <v>20</v>
      </c>
      <c r="G57" s="30" t="s">
        <v>8</v>
      </c>
      <c r="H57" s="30">
        <v>0.22</v>
      </c>
      <c r="I57" s="30">
        <v>0.21</v>
      </c>
      <c r="J57" s="30">
        <v>0.64</v>
      </c>
      <c r="K57" s="30">
        <v>0.25</v>
      </c>
      <c r="L57" s="30">
        <v>2</v>
      </c>
      <c r="M57" s="30">
        <v>5</v>
      </c>
      <c r="N57" s="30">
        <v>7</v>
      </c>
    </row>
    <row r="58" spans="1:14">
      <c r="A58" s="30">
        <v>667</v>
      </c>
      <c r="B58" s="31">
        <v>40574</v>
      </c>
      <c r="C58" s="30">
        <v>2</v>
      </c>
      <c r="D58" s="30" t="str">
        <f t="shared" si="0"/>
        <v>Night</v>
      </c>
      <c r="E58" s="30" t="b">
        <v>0</v>
      </c>
      <c r="F58" s="30" t="s">
        <v>20</v>
      </c>
      <c r="G58" s="30" t="s">
        <v>8</v>
      </c>
      <c r="H58" s="30">
        <v>0.22</v>
      </c>
      <c r="I58" s="30">
        <v>0.23</v>
      </c>
      <c r="J58" s="30">
        <v>0.64</v>
      </c>
      <c r="K58" s="30">
        <v>0.19</v>
      </c>
      <c r="L58" s="30">
        <v>0</v>
      </c>
      <c r="M58" s="30">
        <v>1</v>
      </c>
      <c r="N58" s="30">
        <v>1</v>
      </c>
    </row>
    <row r="59" spans="1:14">
      <c r="A59" s="30">
        <v>668</v>
      </c>
      <c r="B59" s="31">
        <v>40574</v>
      </c>
      <c r="C59" s="30">
        <v>3</v>
      </c>
      <c r="D59" s="30" t="str">
        <f t="shared" si="0"/>
        <v>Night</v>
      </c>
      <c r="E59" s="30" t="b">
        <v>0</v>
      </c>
      <c r="F59" s="30" t="s">
        <v>20</v>
      </c>
      <c r="G59" s="30" t="s">
        <v>8</v>
      </c>
      <c r="H59" s="30">
        <v>0.22</v>
      </c>
      <c r="I59" s="30">
        <v>0.23</v>
      </c>
      <c r="J59" s="30">
        <v>0.64</v>
      </c>
      <c r="K59" s="30">
        <v>0.19</v>
      </c>
      <c r="L59" s="30">
        <v>0</v>
      </c>
      <c r="M59" s="30">
        <v>2</v>
      </c>
      <c r="N59" s="30">
        <v>2</v>
      </c>
    </row>
    <row r="60" spans="1:14">
      <c r="A60" s="30">
        <v>669</v>
      </c>
      <c r="B60" s="31">
        <v>40574</v>
      </c>
      <c r="C60" s="30">
        <v>4</v>
      </c>
      <c r="D60" s="30" t="str">
        <f t="shared" si="0"/>
        <v>Night</v>
      </c>
      <c r="E60" s="30" t="b">
        <v>0</v>
      </c>
      <c r="F60" s="30" t="s">
        <v>20</v>
      </c>
      <c r="G60" s="30" t="s">
        <v>8</v>
      </c>
      <c r="H60" s="30">
        <v>0.2</v>
      </c>
      <c r="I60" s="30">
        <v>0.2</v>
      </c>
      <c r="J60" s="30">
        <v>0.59</v>
      </c>
      <c r="K60" s="30">
        <v>0.22</v>
      </c>
      <c r="L60" s="30">
        <v>0</v>
      </c>
      <c r="M60" s="30">
        <v>2</v>
      </c>
      <c r="N60" s="30">
        <v>2</v>
      </c>
    </row>
    <row r="61" spans="1:14">
      <c r="A61" s="30">
        <v>670</v>
      </c>
      <c r="B61" s="31">
        <v>40574</v>
      </c>
      <c r="C61" s="30">
        <v>5</v>
      </c>
      <c r="D61" s="30" t="str">
        <f t="shared" si="0"/>
        <v>Night</v>
      </c>
      <c r="E61" s="30" t="b">
        <v>0</v>
      </c>
      <c r="F61" s="30" t="s">
        <v>20</v>
      </c>
      <c r="G61" s="30" t="s">
        <v>8</v>
      </c>
      <c r="H61" s="30">
        <v>0.18</v>
      </c>
      <c r="I61" s="30">
        <v>0.17</v>
      </c>
      <c r="J61" s="30">
        <v>0.64</v>
      </c>
      <c r="K61" s="30">
        <v>0.28000000000000003</v>
      </c>
      <c r="L61" s="30">
        <v>0</v>
      </c>
      <c r="M61" s="30">
        <v>8</v>
      </c>
      <c r="N61" s="30">
        <v>8</v>
      </c>
    </row>
    <row r="62" spans="1:14">
      <c r="A62" s="30">
        <v>671</v>
      </c>
      <c r="B62" s="31">
        <v>40574</v>
      </c>
      <c r="C62" s="30">
        <v>6</v>
      </c>
      <c r="D62" s="30" t="str">
        <f t="shared" si="0"/>
        <v>Morning</v>
      </c>
      <c r="E62" s="30" t="b">
        <v>0</v>
      </c>
      <c r="F62" s="30" t="s">
        <v>20</v>
      </c>
      <c r="G62" s="30" t="s">
        <v>8</v>
      </c>
      <c r="H62" s="30">
        <v>0.16</v>
      </c>
      <c r="I62" s="30">
        <v>0.14000000000000001</v>
      </c>
      <c r="J62" s="30">
        <v>0.69</v>
      </c>
      <c r="K62" s="30">
        <v>0.33</v>
      </c>
      <c r="L62" s="30">
        <v>0</v>
      </c>
      <c r="M62" s="30">
        <v>37</v>
      </c>
      <c r="N62" s="30">
        <v>37</v>
      </c>
    </row>
    <row r="63" spans="1:14">
      <c r="A63" s="30">
        <v>672</v>
      </c>
      <c r="B63" s="31">
        <v>40574</v>
      </c>
      <c r="C63" s="30">
        <v>7</v>
      </c>
      <c r="D63" s="30" t="str">
        <f t="shared" si="0"/>
        <v>Morning</v>
      </c>
      <c r="E63" s="30" t="b">
        <v>0</v>
      </c>
      <c r="F63" s="30" t="s">
        <v>20</v>
      </c>
      <c r="G63" s="30" t="s">
        <v>9</v>
      </c>
      <c r="H63" s="30">
        <v>0.16</v>
      </c>
      <c r="I63" s="30">
        <v>0.14000000000000001</v>
      </c>
      <c r="J63" s="30">
        <v>0.64</v>
      </c>
      <c r="K63" s="30">
        <v>0.28000000000000003</v>
      </c>
      <c r="L63" s="30">
        <v>1</v>
      </c>
      <c r="M63" s="30">
        <v>71</v>
      </c>
      <c r="N63" s="30">
        <v>72</v>
      </c>
    </row>
    <row r="64" spans="1:14">
      <c r="A64" s="30">
        <v>673</v>
      </c>
      <c r="B64" s="31">
        <v>40574</v>
      </c>
      <c r="C64" s="30">
        <v>8</v>
      </c>
      <c r="D64" s="30" t="str">
        <f t="shared" si="0"/>
        <v>Morning</v>
      </c>
      <c r="E64" s="30" t="b">
        <v>0</v>
      </c>
      <c r="F64" s="30" t="s">
        <v>20</v>
      </c>
      <c r="G64" s="30" t="s">
        <v>9</v>
      </c>
      <c r="H64" s="30">
        <v>0.16</v>
      </c>
      <c r="I64" s="30">
        <v>0.14000000000000001</v>
      </c>
      <c r="J64" s="30">
        <v>0.59</v>
      </c>
      <c r="K64" s="30">
        <v>0.28000000000000003</v>
      </c>
      <c r="L64" s="30">
        <v>3</v>
      </c>
      <c r="M64" s="30">
        <v>182</v>
      </c>
      <c r="N64" s="30">
        <v>185</v>
      </c>
    </row>
    <row r="65" spans="1:14">
      <c r="A65" s="30">
        <v>674</v>
      </c>
      <c r="B65" s="31">
        <v>40574</v>
      </c>
      <c r="C65" s="30">
        <v>9</v>
      </c>
      <c r="D65" s="30" t="str">
        <f t="shared" si="0"/>
        <v>Morning</v>
      </c>
      <c r="E65" s="30" t="b">
        <v>0</v>
      </c>
      <c r="F65" s="30" t="s">
        <v>20</v>
      </c>
      <c r="G65" s="30" t="s">
        <v>9</v>
      </c>
      <c r="H65" s="30">
        <v>0.16</v>
      </c>
      <c r="I65" s="30">
        <v>0.14000000000000001</v>
      </c>
      <c r="J65" s="30">
        <v>0.59</v>
      </c>
      <c r="K65" s="30">
        <v>0.3</v>
      </c>
      <c r="L65" s="30">
        <v>0</v>
      </c>
      <c r="M65" s="30">
        <v>112</v>
      </c>
      <c r="N65" s="30">
        <v>112</v>
      </c>
    </row>
    <row r="66" spans="1:14">
      <c r="A66" s="30">
        <v>675</v>
      </c>
      <c r="B66" s="31">
        <v>40574</v>
      </c>
      <c r="C66" s="30">
        <v>10</v>
      </c>
      <c r="D66" s="30" t="str">
        <f t="shared" ref="D66:D129" si="2">IF($C66&lt;6,"Night",IF($C66&lt;12,"Morning",IF($C66&lt;18,"Afternoon","Evening")))</f>
        <v>Morning</v>
      </c>
      <c r="E66" s="30" t="b">
        <v>0</v>
      </c>
      <c r="F66" s="30" t="s">
        <v>20</v>
      </c>
      <c r="G66" s="30" t="s">
        <v>9</v>
      </c>
      <c r="H66" s="30">
        <v>0.16</v>
      </c>
      <c r="I66" s="30">
        <v>0.15</v>
      </c>
      <c r="J66" s="30">
        <v>0.59</v>
      </c>
      <c r="K66" s="30">
        <v>0.19</v>
      </c>
      <c r="L66" s="30">
        <v>1</v>
      </c>
      <c r="M66" s="30">
        <v>68</v>
      </c>
      <c r="N66" s="30">
        <v>69</v>
      </c>
    </row>
    <row r="67" spans="1:14">
      <c r="A67" s="30">
        <v>676</v>
      </c>
      <c r="B67" s="31">
        <v>40574</v>
      </c>
      <c r="C67" s="30">
        <v>11</v>
      </c>
      <c r="D67" s="30" t="str">
        <f t="shared" si="2"/>
        <v>Morning</v>
      </c>
      <c r="E67" s="30" t="b">
        <v>0</v>
      </c>
      <c r="F67" s="30" t="s">
        <v>20</v>
      </c>
      <c r="G67" s="30" t="s">
        <v>9</v>
      </c>
      <c r="H67" s="30">
        <v>0.16</v>
      </c>
      <c r="I67" s="30">
        <v>0.15</v>
      </c>
      <c r="J67" s="30">
        <v>0.59</v>
      </c>
      <c r="K67" s="30">
        <v>0.19</v>
      </c>
      <c r="L67" s="30">
        <v>2</v>
      </c>
      <c r="M67" s="30">
        <v>46</v>
      </c>
      <c r="N67" s="30">
        <v>48</v>
      </c>
    </row>
    <row r="68" spans="1:14">
      <c r="A68" s="30">
        <v>677</v>
      </c>
      <c r="B68" s="31">
        <v>40574</v>
      </c>
      <c r="C68" s="30">
        <v>12</v>
      </c>
      <c r="D68" s="30" t="str">
        <f t="shared" si="2"/>
        <v>Afternoon</v>
      </c>
      <c r="E68" s="30" t="b">
        <v>0</v>
      </c>
      <c r="F68" s="30" t="s">
        <v>20</v>
      </c>
      <c r="G68" s="30" t="s">
        <v>9</v>
      </c>
      <c r="H68" s="30">
        <v>0.18</v>
      </c>
      <c r="I68" s="30">
        <v>0.21</v>
      </c>
      <c r="J68" s="30">
        <v>0.55000000000000004</v>
      </c>
      <c r="K68" s="30">
        <v>0.1</v>
      </c>
      <c r="L68" s="30">
        <v>6</v>
      </c>
      <c r="M68" s="30">
        <v>62</v>
      </c>
      <c r="N68" s="30">
        <v>68</v>
      </c>
    </row>
    <row r="69" spans="1:14">
      <c r="A69" s="30">
        <v>678</v>
      </c>
      <c r="B69" s="31">
        <v>40574</v>
      </c>
      <c r="C69" s="30">
        <v>13</v>
      </c>
      <c r="D69" s="30" t="str">
        <f t="shared" si="2"/>
        <v>Afternoon</v>
      </c>
      <c r="E69" s="30" t="b">
        <v>0</v>
      </c>
      <c r="F69" s="30" t="s">
        <v>20</v>
      </c>
      <c r="G69" s="30" t="s">
        <v>9</v>
      </c>
      <c r="H69" s="30">
        <v>0.16</v>
      </c>
      <c r="I69" s="30">
        <v>0.23</v>
      </c>
      <c r="J69" s="30">
        <v>0.59</v>
      </c>
      <c r="K69" s="30">
        <v>0</v>
      </c>
      <c r="L69" s="30">
        <v>2</v>
      </c>
      <c r="M69" s="30">
        <v>52</v>
      </c>
      <c r="N69" s="30">
        <v>54</v>
      </c>
    </row>
    <row r="70" spans="1:14">
      <c r="A70" s="30">
        <v>679</v>
      </c>
      <c r="B70" s="31">
        <v>40574</v>
      </c>
      <c r="C70" s="30">
        <v>14</v>
      </c>
      <c r="D70" s="30" t="str">
        <f t="shared" si="2"/>
        <v>Afternoon</v>
      </c>
      <c r="E70" s="30" t="b">
        <v>0</v>
      </c>
      <c r="F70" s="30" t="s">
        <v>20</v>
      </c>
      <c r="G70" s="30" t="s">
        <v>9</v>
      </c>
      <c r="H70" s="30">
        <v>0.18</v>
      </c>
      <c r="I70" s="30">
        <v>0.2</v>
      </c>
      <c r="J70" s="30">
        <v>0.55000000000000004</v>
      </c>
      <c r="K70" s="30">
        <v>0.13</v>
      </c>
      <c r="L70" s="30">
        <v>1</v>
      </c>
      <c r="M70" s="30">
        <v>85</v>
      </c>
      <c r="N70" s="30">
        <v>86</v>
      </c>
    </row>
    <row r="71" spans="1:14">
      <c r="A71" s="30">
        <v>680</v>
      </c>
      <c r="B71" s="31">
        <v>40574</v>
      </c>
      <c r="C71" s="30">
        <v>15</v>
      </c>
      <c r="D71" s="30" t="str">
        <f t="shared" si="2"/>
        <v>Afternoon</v>
      </c>
      <c r="E71" s="30" t="b">
        <v>0</v>
      </c>
      <c r="F71" s="30" t="s">
        <v>20</v>
      </c>
      <c r="G71" s="30" t="s">
        <v>9</v>
      </c>
      <c r="H71" s="30">
        <v>0.16</v>
      </c>
      <c r="I71" s="30">
        <v>0.18</v>
      </c>
      <c r="J71" s="30">
        <v>0.59</v>
      </c>
      <c r="K71" s="30">
        <v>0.13</v>
      </c>
      <c r="L71" s="30">
        <v>3</v>
      </c>
      <c r="M71" s="30">
        <v>41</v>
      </c>
      <c r="N71" s="30">
        <v>44</v>
      </c>
    </row>
    <row r="72" spans="1:14">
      <c r="A72" s="30">
        <v>681</v>
      </c>
      <c r="B72" s="31">
        <v>40574</v>
      </c>
      <c r="C72" s="30">
        <v>16</v>
      </c>
      <c r="D72" s="30" t="str">
        <f t="shared" si="2"/>
        <v>Afternoon</v>
      </c>
      <c r="E72" s="30" t="b">
        <v>0</v>
      </c>
      <c r="F72" s="30" t="s">
        <v>20</v>
      </c>
      <c r="G72" s="30" t="s">
        <v>9</v>
      </c>
      <c r="H72" s="30">
        <v>0.16</v>
      </c>
      <c r="I72" s="30">
        <v>0.18</v>
      </c>
      <c r="J72" s="30">
        <v>0.56000000000000005</v>
      </c>
      <c r="K72" s="30">
        <v>0.19</v>
      </c>
      <c r="L72" s="30">
        <v>3</v>
      </c>
      <c r="M72" s="30">
        <v>83</v>
      </c>
      <c r="N72" s="30">
        <v>86</v>
      </c>
    </row>
    <row r="73" spans="1:14">
      <c r="A73" s="30">
        <v>682</v>
      </c>
      <c r="B73" s="31">
        <v>40574</v>
      </c>
      <c r="C73" s="30">
        <v>17</v>
      </c>
      <c r="D73" s="30" t="str">
        <f t="shared" si="2"/>
        <v>Afternoon</v>
      </c>
      <c r="E73" s="30" t="b">
        <v>0</v>
      </c>
      <c r="F73" s="30" t="s">
        <v>20</v>
      </c>
      <c r="G73" s="30" t="s">
        <v>9</v>
      </c>
      <c r="H73" s="30">
        <v>0.16</v>
      </c>
      <c r="I73" s="30">
        <v>0.15</v>
      </c>
      <c r="J73" s="30">
        <v>0.59</v>
      </c>
      <c r="K73" s="30">
        <v>0.19</v>
      </c>
      <c r="L73" s="30">
        <v>6</v>
      </c>
      <c r="M73" s="30">
        <v>155</v>
      </c>
      <c r="N73" s="30">
        <v>161</v>
      </c>
    </row>
    <row r="74" spans="1:14">
      <c r="A74" s="30">
        <v>683</v>
      </c>
      <c r="B74" s="31">
        <v>40574</v>
      </c>
      <c r="C74" s="30">
        <v>18</v>
      </c>
      <c r="D74" s="30" t="str">
        <f t="shared" si="2"/>
        <v>Evening</v>
      </c>
      <c r="E74" s="30" t="b">
        <v>0</v>
      </c>
      <c r="F74" s="30" t="s">
        <v>20</v>
      </c>
      <c r="G74" s="30" t="s">
        <v>9</v>
      </c>
      <c r="H74" s="30">
        <v>0.16</v>
      </c>
      <c r="I74" s="30">
        <v>0.15</v>
      </c>
      <c r="J74" s="30">
        <v>0.55000000000000004</v>
      </c>
      <c r="K74" s="30">
        <v>0.22</v>
      </c>
      <c r="L74" s="30">
        <v>3</v>
      </c>
      <c r="M74" s="30">
        <v>153</v>
      </c>
      <c r="N74" s="30">
        <v>156</v>
      </c>
    </row>
    <row r="75" spans="1:14">
      <c r="A75" s="30">
        <v>684</v>
      </c>
      <c r="B75" s="31">
        <v>40574</v>
      </c>
      <c r="C75" s="30">
        <v>19</v>
      </c>
      <c r="D75" s="30" t="str">
        <f t="shared" si="2"/>
        <v>Evening</v>
      </c>
      <c r="E75" s="30" t="b">
        <v>0</v>
      </c>
      <c r="F75" s="30" t="s">
        <v>20</v>
      </c>
      <c r="G75" s="30" t="s">
        <v>8</v>
      </c>
      <c r="H75" s="30">
        <v>0.3</v>
      </c>
      <c r="I75" s="30">
        <v>0.32</v>
      </c>
      <c r="J75" s="30">
        <v>0.61</v>
      </c>
      <c r="K75" s="30">
        <v>0.1</v>
      </c>
      <c r="L75" s="30">
        <v>3</v>
      </c>
      <c r="M75" s="30">
        <v>108</v>
      </c>
      <c r="N75" s="30">
        <v>111</v>
      </c>
    </row>
    <row r="76" spans="1:14">
      <c r="A76" s="30">
        <v>685</v>
      </c>
      <c r="B76" s="31">
        <v>40574</v>
      </c>
      <c r="C76" s="30">
        <v>20</v>
      </c>
      <c r="D76" s="30" t="str">
        <f t="shared" si="2"/>
        <v>Evening</v>
      </c>
      <c r="E76" s="30" t="b">
        <v>0</v>
      </c>
      <c r="F76" s="30" t="s">
        <v>20</v>
      </c>
      <c r="G76" s="30" t="s">
        <v>10</v>
      </c>
      <c r="H76" s="30">
        <v>0.16</v>
      </c>
      <c r="I76" s="30">
        <v>0.17</v>
      </c>
      <c r="J76" s="30">
        <v>0.59</v>
      </c>
      <c r="K76" s="30">
        <v>0.16</v>
      </c>
      <c r="L76" s="30">
        <v>0</v>
      </c>
      <c r="M76" s="30">
        <v>78</v>
      </c>
      <c r="N76" s="30">
        <v>78</v>
      </c>
    </row>
    <row r="77" spans="1:14">
      <c r="A77" s="30">
        <v>686</v>
      </c>
      <c r="B77" s="31">
        <v>40574</v>
      </c>
      <c r="C77" s="30">
        <v>21</v>
      </c>
      <c r="D77" s="30" t="str">
        <f t="shared" si="2"/>
        <v>Evening</v>
      </c>
      <c r="E77" s="30" t="b">
        <v>0</v>
      </c>
      <c r="F77" s="30" t="s">
        <v>20</v>
      </c>
      <c r="G77" s="30" t="s">
        <v>10</v>
      </c>
      <c r="H77" s="30">
        <v>0.16</v>
      </c>
      <c r="I77" s="30">
        <v>0.2</v>
      </c>
      <c r="J77" s="30">
        <v>0.59</v>
      </c>
      <c r="K77" s="30">
        <v>0.09</v>
      </c>
      <c r="L77" s="30">
        <v>3</v>
      </c>
      <c r="M77" s="30">
        <v>53</v>
      </c>
      <c r="N77" s="30">
        <v>56</v>
      </c>
    </row>
    <row r="78" spans="1:14">
      <c r="A78" s="30">
        <v>687</v>
      </c>
      <c r="B78" s="31">
        <v>40574</v>
      </c>
      <c r="C78" s="30">
        <v>22</v>
      </c>
      <c r="D78" s="30" t="str">
        <f t="shared" si="2"/>
        <v>Evening</v>
      </c>
      <c r="E78" s="30" t="b">
        <v>0</v>
      </c>
      <c r="F78" s="30" t="s">
        <v>20</v>
      </c>
      <c r="G78" s="30" t="s">
        <v>9</v>
      </c>
      <c r="H78" s="30">
        <v>0.16</v>
      </c>
      <c r="I78" s="30">
        <v>0.18</v>
      </c>
      <c r="J78" s="30">
        <v>0.59</v>
      </c>
      <c r="K78" s="30">
        <v>0.1</v>
      </c>
      <c r="L78" s="30">
        <v>0</v>
      </c>
      <c r="M78" s="30">
        <v>34</v>
      </c>
      <c r="N78" s="30">
        <v>34</v>
      </c>
    </row>
    <row r="79" spans="1:14">
      <c r="A79" s="30">
        <v>688</v>
      </c>
      <c r="B79" s="31">
        <v>40574</v>
      </c>
      <c r="C79" s="30">
        <v>23</v>
      </c>
      <c r="D79" s="30" t="str">
        <f t="shared" si="2"/>
        <v>Evening</v>
      </c>
      <c r="E79" s="30" t="b">
        <v>0</v>
      </c>
      <c r="F79" s="30" t="s">
        <v>20</v>
      </c>
      <c r="G79" s="30" t="s">
        <v>9</v>
      </c>
      <c r="H79" s="30">
        <v>0.16</v>
      </c>
      <c r="I79" s="30">
        <v>0.2</v>
      </c>
      <c r="J79" s="30">
        <v>0.64</v>
      </c>
      <c r="K79" s="30">
        <v>0.09</v>
      </c>
      <c r="L79" s="30">
        <v>2</v>
      </c>
      <c r="M79" s="30">
        <v>15</v>
      </c>
      <c r="N79" s="30">
        <v>17</v>
      </c>
    </row>
    <row r="80" spans="1:14">
      <c r="A80" s="30">
        <v>689</v>
      </c>
      <c r="B80" s="31">
        <v>40575</v>
      </c>
      <c r="C80" s="30">
        <v>0</v>
      </c>
      <c r="D80" s="30" t="str">
        <f t="shared" si="2"/>
        <v>Night</v>
      </c>
      <c r="E80" s="30" t="b">
        <v>0</v>
      </c>
      <c r="F80" s="30" t="s">
        <v>21</v>
      </c>
      <c r="G80" s="30" t="s">
        <v>9</v>
      </c>
      <c r="H80" s="30">
        <v>0.16</v>
      </c>
      <c r="I80" s="30">
        <v>0.18</v>
      </c>
      <c r="J80" s="30">
        <v>0.64</v>
      </c>
      <c r="K80" s="30">
        <v>0.1</v>
      </c>
      <c r="L80" s="30">
        <v>2</v>
      </c>
      <c r="M80" s="30">
        <v>6</v>
      </c>
      <c r="N80" s="30">
        <v>8</v>
      </c>
    </row>
    <row r="81" spans="1:14">
      <c r="A81" s="30">
        <v>690</v>
      </c>
      <c r="B81" s="31">
        <v>40575</v>
      </c>
      <c r="C81" s="30">
        <v>1</v>
      </c>
      <c r="D81" s="30" t="str">
        <f t="shared" si="2"/>
        <v>Night</v>
      </c>
      <c r="E81" s="30" t="b">
        <v>0</v>
      </c>
      <c r="F81" s="30" t="s">
        <v>21</v>
      </c>
      <c r="G81" s="30" t="s">
        <v>9</v>
      </c>
      <c r="H81" s="30">
        <v>0.16</v>
      </c>
      <c r="I81" s="30">
        <v>0.18</v>
      </c>
      <c r="J81" s="30">
        <v>0.69</v>
      </c>
      <c r="K81" s="30">
        <v>0.1</v>
      </c>
      <c r="L81" s="30">
        <v>0</v>
      </c>
      <c r="M81" s="30">
        <v>3</v>
      </c>
      <c r="N81" s="30">
        <v>3</v>
      </c>
    </row>
    <row r="82" spans="1:14">
      <c r="A82" s="30">
        <v>691</v>
      </c>
      <c r="B82" s="31">
        <v>40575</v>
      </c>
      <c r="C82" s="30">
        <v>2</v>
      </c>
      <c r="D82" s="30" t="str">
        <f t="shared" si="2"/>
        <v>Night</v>
      </c>
      <c r="E82" s="30" t="b">
        <v>0</v>
      </c>
      <c r="F82" s="30" t="s">
        <v>21</v>
      </c>
      <c r="G82" s="30" t="s">
        <v>9</v>
      </c>
      <c r="H82" s="30">
        <v>0.16</v>
      </c>
      <c r="I82" s="30">
        <v>0.23</v>
      </c>
      <c r="J82" s="30">
        <v>0.69</v>
      </c>
      <c r="K82" s="30">
        <v>0</v>
      </c>
      <c r="L82" s="30">
        <v>0</v>
      </c>
      <c r="M82" s="30">
        <v>2</v>
      </c>
      <c r="N82" s="30">
        <v>2</v>
      </c>
    </row>
    <row r="83" spans="1:14">
      <c r="A83" s="30">
        <v>692</v>
      </c>
      <c r="B83" s="31">
        <v>40575</v>
      </c>
      <c r="C83" s="30">
        <v>3</v>
      </c>
      <c r="D83" s="30" t="str">
        <f t="shared" si="2"/>
        <v>Night</v>
      </c>
      <c r="E83" s="30" t="b">
        <v>0</v>
      </c>
      <c r="F83" s="30" t="s">
        <v>21</v>
      </c>
      <c r="G83" s="30" t="s">
        <v>9</v>
      </c>
      <c r="H83" s="30">
        <v>0.16</v>
      </c>
      <c r="I83" s="30">
        <v>0.23</v>
      </c>
      <c r="J83" s="30">
        <v>0.69</v>
      </c>
      <c r="K83" s="30">
        <v>0</v>
      </c>
      <c r="L83" s="30">
        <v>0</v>
      </c>
      <c r="M83" s="30">
        <v>2</v>
      </c>
      <c r="N83" s="30">
        <v>2</v>
      </c>
    </row>
    <row r="84" spans="1:14">
      <c r="A84" s="30">
        <v>693</v>
      </c>
      <c r="B84" s="31">
        <v>40575</v>
      </c>
      <c r="C84" s="30">
        <v>5</v>
      </c>
      <c r="D84" s="30" t="str">
        <f t="shared" si="2"/>
        <v>Night</v>
      </c>
      <c r="E84" s="30" t="b">
        <v>0</v>
      </c>
      <c r="F84" s="30" t="s">
        <v>21</v>
      </c>
      <c r="G84" s="30" t="s">
        <v>10</v>
      </c>
      <c r="H84" s="30">
        <v>0.14000000000000001</v>
      </c>
      <c r="I84" s="30">
        <v>0.21</v>
      </c>
      <c r="J84" s="30">
        <v>0.93</v>
      </c>
      <c r="K84" s="30">
        <v>0</v>
      </c>
      <c r="L84" s="30">
        <v>0</v>
      </c>
      <c r="M84" s="30">
        <v>3</v>
      </c>
      <c r="N84" s="30">
        <v>3</v>
      </c>
    </row>
    <row r="85" spans="1:14">
      <c r="A85" s="30">
        <v>694</v>
      </c>
      <c r="B85" s="31">
        <v>40575</v>
      </c>
      <c r="C85" s="30">
        <v>6</v>
      </c>
      <c r="D85" s="30" t="str">
        <f t="shared" si="2"/>
        <v>Morning</v>
      </c>
      <c r="E85" s="30" t="b">
        <v>0</v>
      </c>
      <c r="F85" s="30" t="s">
        <v>21</v>
      </c>
      <c r="G85" s="30" t="s">
        <v>10</v>
      </c>
      <c r="H85" s="30">
        <v>0.14000000000000001</v>
      </c>
      <c r="I85" s="30">
        <v>0.21</v>
      </c>
      <c r="J85" s="30">
        <v>0.93</v>
      </c>
      <c r="K85" s="30">
        <v>0</v>
      </c>
      <c r="L85" s="30">
        <v>0</v>
      </c>
      <c r="M85" s="30">
        <v>22</v>
      </c>
      <c r="N85" s="30">
        <v>22</v>
      </c>
    </row>
    <row r="86" spans="1:14">
      <c r="A86" s="30">
        <v>695</v>
      </c>
      <c r="B86" s="31">
        <v>40575</v>
      </c>
      <c r="C86" s="30">
        <v>7</v>
      </c>
      <c r="D86" s="30" t="str">
        <f t="shared" si="2"/>
        <v>Morning</v>
      </c>
      <c r="E86" s="30" t="b">
        <v>0</v>
      </c>
      <c r="F86" s="30" t="s">
        <v>21</v>
      </c>
      <c r="G86" s="30" t="s">
        <v>10</v>
      </c>
      <c r="H86" s="30">
        <v>0.16</v>
      </c>
      <c r="I86" s="30">
        <v>0.23</v>
      </c>
      <c r="J86" s="30">
        <v>0.93</v>
      </c>
      <c r="K86" s="30">
        <v>0</v>
      </c>
      <c r="L86" s="30">
        <v>0</v>
      </c>
      <c r="M86" s="30">
        <v>52</v>
      </c>
      <c r="N86" s="30">
        <v>52</v>
      </c>
    </row>
    <row r="87" spans="1:14">
      <c r="A87" s="30">
        <v>696</v>
      </c>
      <c r="B87" s="31">
        <v>40575</v>
      </c>
      <c r="C87" s="30">
        <v>8</v>
      </c>
      <c r="D87" s="30" t="str">
        <f t="shared" si="2"/>
        <v>Morning</v>
      </c>
      <c r="E87" s="30" t="b">
        <v>0</v>
      </c>
      <c r="F87" s="30" t="s">
        <v>21</v>
      </c>
      <c r="G87" s="30" t="s">
        <v>10</v>
      </c>
      <c r="H87" s="30">
        <v>0.16</v>
      </c>
      <c r="I87" s="30">
        <v>0.23</v>
      </c>
      <c r="J87" s="30">
        <v>0.93</v>
      </c>
      <c r="K87" s="30">
        <v>0</v>
      </c>
      <c r="L87" s="30">
        <v>3</v>
      </c>
      <c r="M87" s="30">
        <v>132</v>
      </c>
      <c r="N87" s="30">
        <v>135</v>
      </c>
    </row>
    <row r="88" spans="1:14">
      <c r="A88" s="30">
        <v>697</v>
      </c>
      <c r="B88" s="31">
        <v>40575</v>
      </c>
      <c r="C88" s="30">
        <v>9</v>
      </c>
      <c r="D88" s="30" t="str">
        <f t="shared" si="2"/>
        <v>Morning</v>
      </c>
      <c r="E88" s="30" t="b">
        <v>0</v>
      </c>
      <c r="F88" s="30" t="s">
        <v>21</v>
      </c>
      <c r="G88" s="30" t="s">
        <v>9</v>
      </c>
      <c r="H88" s="30">
        <v>0.16</v>
      </c>
      <c r="I88" s="30">
        <v>0.23</v>
      </c>
      <c r="J88" s="30">
        <v>0.93</v>
      </c>
      <c r="K88" s="30">
        <v>0</v>
      </c>
      <c r="L88" s="30">
        <v>2</v>
      </c>
      <c r="M88" s="30">
        <v>114</v>
      </c>
      <c r="N88" s="30">
        <v>116</v>
      </c>
    </row>
    <row r="89" spans="1:14">
      <c r="A89" s="30">
        <v>698</v>
      </c>
      <c r="B89" s="31">
        <v>40575</v>
      </c>
      <c r="C89" s="30">
        <v>10</v>
      </c>
      <c r="D89" s="30" t="str">
        <f t="shared" si="2"/>
        <v>Morning</v>
      </c>
      <c r="E89" s="30" t="b">
        <v>0</v>
      </c>
      <c r="F89" s="30" t="s">
        <v>21</v>
      </c>
      <c r="G89" s="30" t="s">
        <v>9</v>
      </c>
      <c r="H89" s="30">
        <v>0.16</v>
      </c>
      <c r="I89" s="30">
        <v>0.23</v>
      </c>
      <c r="J89" s="30">
        <v>0.93</v>
      </c>
      <c r="K89" s="30">
        <v>0</v>
      </c>
      <c r="L89" s="30">
        <v>0</v>
      </c>
      <c r="M89" s="30">
        <v>47</v>
      </c>
      <c r="N89" s="30">
        <v>47</v>
      </c>
    </row>
    <row r="90" spans="1:14">
      <c r="A90" s="30">
        <v>699</v>
      </c>
      <c r="B90" s="31">
        <v>40575</v>
      </c>
      <c r="C90" s="30">
        <v>11</v>
      </c>
      <c r="D90" s="30" t="str">
        <f t="shared" si="2"/>
        <v>Morning</v>
      </c>
      <c r="E90" s="30" t="b">
        <v>0</v>
      </c>
      <c r="F90" s="30" t="s">
        <v>21</v>
      </c>
      <c r="G90" s="30" t="s">
        <v>9</v>
      </c>
      <c r="H90" s="30">
        <v>0.18</v>
      </c>
      <c r="I90" s="30">
        <v>0.24</v>
      </c>
      <c r="J90" s="30">
        <v>0.86</v>
      </c>
      <c r="K90" s="30">
        <v>0</v>
      </c>
      <c r="L90" s="30">
        <v>2</v>
      </c>
      <c r="M90" s="30">
        <v>49</v>
      </c>
      <c r="N90" s="30">
        <v>51</v>
      </c>
    </row>
    <row r="91" spans="1:14">
      <c r="A91" s="30">
        <v>700</v>
      </c>
      <c r="B91" s="31">
        <v>40575</v>
      </c>
      <c r="C91" s="30">
        <v>12</v>
      </c>
      <c r="D91" s="30" t="str">
        <f t="shared" si="2"/>
        <v>Afternoon</v>
      </c>
      <c r="E91" s="30" t="b">
        <v>0</v>
      </c>
      <c r="F91" s="30" t="s">
        <v>21</v>
      </c>
      <c r="G91" s="30" t="s">
        <v>9</v>
      </c>
      <c r="H91" s="30">
        <v>0.2</v>
      </c>
      <c r="I91" s="30">
        <v>0.26</v>
      </c>
      <c r="J91" s="30">
        <v>0.86</v>
      </c>
      <c r="K91" s="30">
        <v>0</v>
      </c>
      <c r="L91" s="30">
        <v>2</v>
      </c>
      <c r="M91" s="30">
        <v>53</v>
      </c>
      <c r="N91" s="30">
        <v>55</v>
      </c>
    </row>
    <row r="92" spans="1:14">
      <c r="A92" s="30">
        <v>701</v>
      </c>
      <c r="B92" s="31">
        <v>40575</v>
      </c>
      <c r="C92" s="30">
        <v>13</v>
      </c>
      <c r="D92" s="30" t="str">
        <f t="shared" si="2"/>
        <v>Afternoon</v>
      </c>
      <c r="E92" s="30" t="b">
        <v>0</v>
      </c>
      <c r="F92" s="30" t="s">
        <v>21</v>
      </c>
      <c r="G92" s="30" t="s">
        <v>9</v>
      </c>
      <c r="H92" s="30">
        <v>0.2</v>
      </c>
      <c r="I92" s="30">
        <v>0.26</v>
      </c>
      <c r="J92" s="30">
        <v>0.86</v>
      </c>
      <c r="K92" s="30">
        <v>0</v>
      </c>
      <c r="L92" s="30">
        <v>3</v>
      </c>
      <c r="M92" s="30">
        <v>49</v>
      </c>
      <c r="N92" s="30">
        <v>52</v>
      </c>
    </row>
    <row r="93" spans="1:14">
      <c r="A93" s="30">
        <v>702</v>
      </c>
      <c r="B93" s="31">
        <v>40575</v>
      </c>
      <c r="C93" s="30">
        <v>14</v>
      </c>
      <c r="D93" s="30" t="str">
        <f t="shared" si="2"/>
        <v>Afternoon</v>
      </c>
      <c r="E93" s="30" t="b">
        <v>0</v>
      </c>
      <c r="F93" s="30" t="s">
        <v>21</v>
      </c>
      <c r="G93" s="30" t="s">
        <v>9</v>
      </c>
      <c r="H93" s="30">
        <v>0.22</v>
      </c>
      <c r="I93" s="30">
        <v>0.26</v>
      </c>
      <c r="J93" s="30">
        <v>0.8</v>
      </c>
      <c r="K93" s="30">
        <v>0.09</v>
      </c>
      <c r="L93" s="30">
        <v>5</v>
      </c>
      <c r="M93" s="30">
        <v>49</v>
      </c>
      <c r="N93" s="30">
        <v>54</v>
      </c>
    </row>
    <row r="94" spans="1:14">
      <c r="A94" s="30">
        <v>703</v>
      </c>
      <c r="B94" s="31">
        <v>40575</v>
      </c>
      <c r="C94" s="30">
        <v>15</v>
      </c>
      <c r="D94" s="30" t="str">
        <f t="shared" si="2"/>
        <v>Afternoon</v>
      </c>
      <c r="E94" s="30" t="b">
        <v>0</v>
      </c>
      <c r="F94" s="30" t="s">
        <v>21</v>
      </c>
      <c r="G94" s="30" t="s">
        <v>9</v>
      </c>
      <c r="H94" s="30">
        <v>0.24</v>
      </c>
      <c r="I94" s="30">
        <v>0.28999999999999998</v>
      </c>
      <c r="J94" s="30">
        <v>0.75</v>
      </c>
      <c r="K94" s="30">
        <v>0</v>
      </c>
      <c r="L94" s="30">
        <v>7</v>
      </c>
      <c r="M94" s="30">
        <v>45</v>
      </c>
      <c r="N94" s="30">
        <v>52</v>
      </c>
    </row>
    <row r="95" spans="1:14">
      <c r="A95" s="30">
        <v>704</v>
      </c>
      <c r="B95" s="31">
        <v>40575</v>
      </c>
      <c r="C95" s="30">
        <v>16</v>
      </c>
      <c r="D95" s="30" t="str">
        <f t="shared" si="2"/>
        <v>Afternoon</v>
      </c>
      <c r="E95" s="30" t="b">
        <v>0</v>
      </c>
      <c r="F95" s="30" t="s">
        <v>21</v>
      </c>
      <c r="G95" s="30" t="s">
        <v>9</v>
      </c>
      <c r="H95" s="30">
        <v>0.24</v>
      </c>
      <c r="I95" s="30">
        <v>0.24</v>
      </c>
      <c r="J95" s="30">
        <v>0.75</v>
      </c>
      <c r="K95" s="30">
        <v>0.13</v>
      </c>
      <c r="L95" s="30">
        <v>3</v>
      </c>
      <c r="M95" s="30">
        <v>61</v>
      </c>
      <c r="N95" s="30">
        <v>64</v>
      </c>
    </row>
    <row r="96" spans="1:14">
      <c r="A96" s="30">
        <v>705</v>
      </c>
      <c r="B96" s="31">
        <v>40575</v>
      </c>
      <c r="C96" s="30">
        <v>17</v>
      </c>
      <c r="D96" s="30" t="str">
        <f t="shared" si="2"/>
        <v>Afternoon</v>
      </c>
      <c r="E96" s="30" t="b">
        <v>0</v>
      </c>
      <c r="F96" s="30" t="s">
        <v>21</v>
      </c>
      <c r="G96" s="30" t="s">
        <v>9</v>
      </c>
      <c r="H96" s="30">
        <v>0.24</v>
      </c>
      <c r="I96" s="30">
        <v>0.28999999999999998</v>
      </c>
      <c r="J96" s="30">
        <v>0.75</v>
      </c>
      <c r="K96" s="30">
        <v>0</v>
      </c>
      <c r="L96" s="30">
        <v>4</v>
      </c>
      <c r="M96" s="30">
        <v>172</v>
      </c>
      <c r="N96" s="30">
        <v>176</v>
      </c>
    </row>
    <row r="97" spans="1:14">
      <c r="A97" s="30">
        <v>706</v>
      </c>
      <c r="B97" s="31">
        <v>40575</v>
      </c>
      <c r="C97" s="30">
        <v>18</v>
      </c>
      <c r="D97" s="30" t="str">
        <f t="shared" si="2"/>
        <v>Evening</v>
      </c>
      <c r="E97" s="30" t="b">
        <v>0</v>
      </c>
      <c r="F97" s="30" t="s">
        <v>21</v>
      </c>
      <c r="G97" s="30" t="s">
        <v>9</v>
      </c>
      <c r="H97" s="30">
        <v>0.24</v>
      </c>
      <c r="I97" s="30">
        <v>0.26</v>
      </c>
      <c r="J97" s="30">
        <v>0.81</v>
      </c>
      <c r="K97" s="30">
        <v>0.1</v>
      </c>
      <c r="L97" s="30">
        <v>3</v>
      </c>
      <c r="M97" s="30">
        <v>165</v>
      </c>
      <c r="N97" s="30">
        <v>168</v>
      </c>
    </row>
    <row r="98" spans="1:14">
      <c r="A98" s="30">
        <v>707</v>
      </c>
      <c r="B98" s="31">
        <v>40575</v>
      </c>
      <c r="C98" s="30">
        <v>19</v>
      </c>
      <c r="D98" s="30" t="str">
        <f t="shared" si="2"/>
        <v>Evening</v>
      </c>
      <c r="E98" s="30" t="b">
        <v>0</v>
      </c>
      <c r="F98" s="30" t="s">
        <v>21</v>
      </c>
      <c r="G98" s="30" t="s">
        <v>9</v>
      </c>
      <c r="H98" s="30">
        <v>0.24</v>
      </c>
      <c r="I98" s="30">
        <v>0.24</v>
      </c>
      <c r="J98" s="30">
        <v>0.81</v>
      </c>
      <c r="K98" s="30">
        <v>0.13</v>
      </c>
      <c r="L98" s="30">
        <v>3</v>
      </c>
      <c r="M98" s="30">
        <v>105</v>
      </c>
      <c r="N98" s="30">
        <v>108</v>
      </c>
    </row>
    <row r="99" spans="1:14">
      <c r="A99" s="30">
        <v>708</v>
      </c>
      <c r="B99" s="31">
        <v>40575</v>
      </c>
      <c r="C99" s="30">
        <v>20</v>
      </c>
      <c r="D99" s="30" t="str">
        <f t="shared" si="2"/>
        <v>Evening</v>
      </c>
      <c r="E99" s="30" t="b">
        <v>0</v>
      </c>
      <c r="F99" s="30" t="s">
        <v>21</v>
      </c>
      <c r="G99" s="30" t="s">
        <v>9</v>
      </c>
      <c r="H99" s="30">
        <v>0.22</v>
      </c>
      <c r="I99" s="30">
        <v>0.23</v>
      </c>
      <c r="J99" s="30">
        <v>0.87</v>
      </c>
      <c r="K99" s="30">
        <v>0.13</v>
      </c>
      <c r="L99" s="30">
        <v>5</v>
      </c>
      <c r="M99" s="30">
        <v>69</v>
      </c>
      <c r="N99" s="30">
        <v>74</v>
      </c>
    </row>
    <row r="100" spans="1:14">
      <c r="A100" s="30">
        <v>709</v>
      </c>
      <c r="B100" s="31">
        <v>40575</v>
      </c>
      <c r="C100" s="30">
        <v>21</v>
      </c>
      <c r="D100" s="30" t="str">
        <f t="shared" si="2"/>
        <v>Evening</v>
      </c>
      <c r="E100" s="30" t="b">
        <v>0</v>
      </c>
      <c r="F100" s="30" t="s">
        <v>21</v>
      </c>
      <c r="G100" s="30" t="s">
        <v>9</v>
      </c>
      <c r="H100" s="30">
        <v>0.22</v>
      </c>
      <c r="I100" s="30">
        <v>0.23</v>
      </c>
      <c r="J100" s="30">
        <v>0.87</v>
      </c>
      <c r="K100" s="30">
        <v>0.13</v>
      </c>
      <c r="L100" s="30">
        <v>0</v>
      </c>
      <c r="M100" s="30">
        <v>64</v>
      </c>
      <c r="N100" s="30">
        <v>64</v>
      </c>
    </row>
    <row r="101" spans="1:14">
      <c r="A101" s="30">
        <v>710</v>
      </c>
      <c r="B101" s="31">
        <v>40575</v>
      </c>
      <c r="C101" s="30">
        <v>22</v>
      </c>
      <c r="D101" s="30" t="str">
        <f t="shared" si="2"/>
        <v>Evening</v>
      </c>
      <c r="E101" s="30" t="b">
        <v>0</v>
      </c>
      <c r="F101" s="30" t="s">
        <v>21</v>
      </c>
      <c r="G101" s="30" t="s">
        <v>9</v>
      </c>
      <c r="H101" s="30">
        <v>0.22</v>
      </c>
      <c r="I101" s="30">
        <v>0.26</v>
      </c>
      <c r="J101" s="30">
        <v>0.87</v>
      </c>
      <c r="K101" s="30">
        <v>0.09</v>
      </c>
      <c r="L101" s="30">
        <v>2</v>
      </c>
      <c r="M101" s="30">
        <v>34</v>
      </c>
      <c r="N101" s="30">
        <v>36</v>
      </c>
    </row>
    <row r="102" spans="1:14">
      <c r="A102" s="30">
        <v>711</v>
      </c>
      <c r="B102" s="31">
        <v>40575</v>
      </c>
      <c r="C102" s="30">
        <v>23</v>
      </c>
      <c r="D102" s="30" t="str">
        <f t="shared" si="2"/>
        <v>Evening</v>
      </c>
      <c r="E102" s="30" t="b">
        <v>0</v>
      </c>
      <c r="F102" s="30" t="s">
        <v>21</v>
      </c>
      <c r="G102" s="30" t="s">
        <v>10</v>
      </c>
      <c r="H102" s="30">
        <v>0.2</v>
      </c>
      <c r="I102" s="30">
        <v>0.2</v>
      </c>
      <c r="J102" s="30">
        <v>0.93</v>
      </c>
      <c r="K102" s="30">
        <v>0.19</v>
      </c>
      <c r="L102" s="30">
        <v>1</v>
      </c>
      <c r="M102" s="30">
        <v>15</v>
      </c>
      <c r="N102" s="30">
        <v>16</v>
      </c>
    </row>
    <row r="103" spans="1:14">
      <c r="A103" s="30">
        <v>712</v>
      </c>
      <c r="B103" s="31">
        <v>40576</v>
      </c>
      <c r="C103" s="30">
        <v>0</v>
      </c>
      <c r="D103" s="30" t="str">
        <f t="shared" si="2"/>
        <v>Night</v>
      </c>
      <c r="E103" s="30" t="b">
        <v>0</v>
      </c>
      <c r="F103" s="30" t="s">
        <v>22</v>
      </c>
      <c r="G103" s="30" t="s">
        <v>10</v>
      </c>
      <c r="H103" s="30">
        <v>0.22</v>
      </c>
      <c r="I103" s="30">
        <v>0.24</v>
      </c>
      <c r="J103" s="30">
        <v>0.93</v>
      </c>
      <c r="K103" s="30">
        <v>0.1</v>
      </c>
      <c r="L103" s="30">
        <v>0</v>
      </c>
      <c r="M103" s="30">
        <v>2</v>
      </c>
      <c r="N103" s="30">
        <v>2</v>
      </c>
    </row>
    <row r="104" spans="1:14">
      <c r="A104" s="30">
        <v>713</v>
      </c>
      <c r="B104" s="31">
        <v>40576</v>
      </c>
      <c r="C104" s="30">
        <v>1</v>
      </c>
      <c r="D104" s="30" t="str">
        <f t="shared" si="2"/>
        <v>Night</v>
      </c>
      <c r="E104" s="30" t="b">
        <v>0</v>
      </c>
      <c r="F104" s="30" t="s">
        <v>22</v>
      </c>
      <c r="G104" s="30" t="s">
        <v>10</v>
      </c>
      <c r="H104" s="30">
        <v>0.22</v>
      </c>
      <c r="I104" s="30">
        <v>0.23</v>
      </c>
      <c r="J104" s="30">
        <v>0.93</v>
      </c>
      <c r="K104" s="30">
        <v>0.19</v>
      </c>
      <c r="L104" s="30">
        <v>0</v>
      </c>
      <c r="M104" s="30">
        <v>3</v>
      </c>
      <c r="N104" s="30">
        <v>3</v>
      </c>
    </row>
    <row r="105" spans="1:14">
      <c r="A105" s="30">
        <v>714</v>
      </c>
      <c r="B105" s="31">
        <v>40576</v>
      </c>
      <c r="C105" s="30">
        <v>2</v>
      </c>
      <c r="D105" s="30" t="str">
        <f t="shared" si="2"/>
        <v>Night</v>
      </c>
      <c r="E105" s="30" t="b">
        <v>0</v>
      </c>
      <c r="F105" s="30" t="s">
        <v>22</v>
      </c>
      <c r="G105" s="30" t="s">
        <v>10</v>
      </c>
      <c r="H105" s="30">
        <v>0.22</v>
      </c>
      <c r="I105" s="30">
        <v>0.23</v>
      </c>
      <c r="J105" s="30">
        <v>0.93</v>
      </c>
      <c r="K105" s="30">
        <v>0.13</v>
      </c>
      <c r="L105" s="30">
        <v>4</v>
      </c>
      <c r="M105" s="30">
        <v>0</v>
      </c>
      <c r="N105" s="30">
        <v>4</v>
      </c>
    </row>
    <row r="106" spans="1:14">
      <c r="A106" s="30">
        <v>715</v>
      </c>
      <c r="B106" s="31">
        <v>40576</v>
      </c>
      <c r="C106" s="30">
        <v>3</v>
      </c>
      <c r="D106" s="30" t="str">
        <f t="shared" si="2"/>
        <v>Night</v>
      </c>
      <c r="E106" s="30" t="b">
        <v>0</v>
      </c>
      <c r="F106" s="30" t="s">
        <v>22</v>
      </c>
      <c r="G106" s="30" t="s">
        <v>10</v>
      </c>
      <c r="H106" s="30">
        <v>0.22</v>
      </c>
      <c r="I106" s="30">
        <v>0.23</v>
      </c>
      <c r="J106" s="30">
        <v>0.93</v>
      </c>
      <c r="K106" s="30">
        <v>0.13</v>
      </c>
      <c r="L106" s="30">
        <v>0</v>
      </c>
      <c r="M106" s="30">
        <v>1</v>
      </c>
      <c r="N106" s="30">
        <v>1</v>
      </c>
    </row>
    <row r="107" spans="1:14">
      <c r="A107" s="30">
        <v>716</v>
      </c>
      <c r="B107" s="31">
        <v>40576</v>
      </c>
      <c r="C107" s="30">
        <v>4</v>
      </c>
      <c r="D107" s="30" t="str">
        <f t="shared" si="2"/>
        <v>Night</v>
      </c>
      <c r="E107" s="30" t="b">
        <v>0</v>
      </c>
      <c r="F107" s="30" t="s">
        <v>22</v>
      </c>
      <c r="G107" s="30" t="s">
        <v>10</v>
      </c>
      <c r="H107" s="30">
        <v>0.22</v>
      </c>
      <c r="I107" s="30">
        <v>0.21</v>
      </c>
      <c r="J107" s="30">
        <v>0.93</v>
      </c>
      <c r="K107" s="30">
        <v>0.28000000000000003</v>
      </c>
      <c r="L107" s="30">
        <v>0</v>
      </c>
      <c r="M107" s="30">
        <v>1</v>
      </c>
      <c r="N107" s="30">
        <v>1</v>
      </c>
    </row>
    <row r="108" spans="1:14">
      <c r="A108" s="30">
        <v>717</v>
      </c>
      <c r="B108" s="31">
        <v>40576</v>
      </c>
      <c r="C108" s="30">
        <v>5</v>
      </c>
      <c r="D108" s="30" t="str">
        <f t="shared" si="2"/>
        <v>Night</v>
      </c>
      <c r="E108" s="30" t="b">
        <v>0</v>
      </c>
      <c r="F108" s="30" t="s">
        <v>22</v>
      </c>
      <c r="G108" s="30" t="s">
        <v>10</v>
      </c>
      <c r="H108" s="30">
        <v>0.22</v>
      </c>
      <c r="I108" s="30">
        <v>0.24</v>
      </c>
      <c r="J108" s="30">
        <v>0.93</v>
      </c>
      <c r="K108" s="30">
        <v>0.1</v>
      </c>
      <c r="L108" s="30">
        <v>0</v>
      </c>
      <c r="M108" s="30">
        <v>3</v>
      </c>
      <c r="N108" s="30">
        <v>3</v>
      </c>
    </row>
    <row r="109" spans="1:14">
      <c r="A109" s="30">
        <v>718</v>
      </c>
      <c r="B109" s="31">
        <v>40576</v>
      </c>
      <c r="C109" s="30">
        <v>6</v>
      </c>
      <c r="D109" s="30" t="str">
        <f t="shared" si="2"/>
        <v>Morning</v>
      </c>
      <c r="E109" s="30" t="b">
        <v>0</v>
      </c>
      <c r="F109" s="30" t="s">
        <v>22</v>
      </c>
      <c r="G109" s="30" t="s">
        <v>10</v>
      </c>
      <c r="H109" s="30">
        <v>0.22</v>
      </c>
      <c r="I109" s="30">
        <v>0.24</v>
      </c>
      <c r="J109" s="30">
        <v>0.93</v>
      </c>
      <c r="K109" s="30">
        <v>0.1</v>
      </c>
      <c r="L109" s="30">
        <v>1</v>
      </c>
      <c r="M109" s="30">
        <v>17</v>
      </c>
      <c r="N109" s="30">
        <v>18</v>
      </c>
    </row>
    <row r="110" spans="1:14">
      <c r="A110" s="30">
        <v>719</v>
      </c>
      <c r="B110" s="31">
        <v>40576</v>
      </c>
      <c r="C110" s="30">
        <v>7</v>
      </c>
      <c r="D110" s="30" t="str">
        <f t="shared" si="2"/>
        <v>Morning</v>
      </c>
      <c r="E110" s="30" t="b">
        <v>0</v>
      </c>
      <c r="F110" s="30" t="s">
        <v>22</v>
      </c>
      <c r="G110" s="30" t="s">
        <v>10</v>
      </c>
      <c r="H110" s="30">
        <v>0.22</v>
      </c>
      <c r="I110" s="30">
        <v>0.21</v>
      </c>
      <c r="J110" s="30">
        <v>0.93</v>
      </c>
      <c r="K110" s="30">
        <v>0.22</v>
      </c>
      <c r="L110" s="30">
        <v>1</v>
      </c>
      <c r="M110" s="30">
        <v>48</v>
      </c>
      <c r="N110" s="30">
        <v>49</v>
      </c>
    </row>
    <row r="111" spans="1:14">
      <c r="A111" s="30">
        <v>720</v>
      </c>
      <c r="B111" s="31">
        <v>40576</v>
      </c>
      <c r="C111" s="30">
        <v>8</v>
      </c>
      <c r="D111" s="30" t="str">
        <f t="shared" si="2"/>
        <v>Morning</v>
      </c>
      <c r="E111" s="30" t="b">
        <v>0</v>
      </c>
      <c r="F111" s="30" t="s">
        <v>22</v>
      </c>
      <c r="G111" s="30" t="s">
        <v>10</v>
      </c>
      <c r="H111" s="30">
        <v>0.22</v>
      </c>
      <c r="I111" s="30">
        <v>0.21</v>
      </c>
      <c r="J111" s="30">
        <v>0.93</v>
      </c>
      <c r="K111" s="30">
        <v>0.22</v>
      </c>
      <c r="L111" s="30">
        <v>1</v>
      </c>
      <c r="M111" s="30">
        <v>154</v>
      </c>
      <c r="N111" s="30">
        <v>155</v>
      </c>
    </row>
    <row r="112" spans="1:14">
      <c r="A112" s="30">
        <v>721</v>
      </c>
      <c r="B112" s="31">
        <v>40576</v>
      </c>
      <c r="C112" s="30">
        <v>9</v>
      </c>
      <c r="D112" s="30" t="str">
        <f t="shared" si="2"/>
        <v>Morning</v>
      </c>
      <c r="E112" s="30" t="b">
        <v>0</v>
      </c>
      <c r="F112" s="30" t="s">
        <v>22</v>
      </c>
      <c r="G112" s="30" t="s">
        <v>9</v>
      </c>
      <c r="H112" s="30">
        <v>0.24</v>
      </c>
      <c r="I112" s="30">
        <v>0.26</v>
      </c>
      <c r="J112" s="30">
        <v>0.93</v>
      </c>
      <c r="K112" s="30">
        <v>0.09</v>
      </c>
      <c r="L112" s="30">
        <v>4</v>
      </c>
      <c r="M112" s="30">
        <v>119</v>
      </c>
      <c r="N112" s="30">
        <v>123</v>
      </c>
    </row>
    <row r="113" spans="1:14">
      <c r="A113" s="30">
        <v>722</v>
      </c>
      <c r="B113" s="31">
        <v>40576</v>
      </c>
      <c r="C113" s="30">
        <v>10</v>
      </c>
      <c r="D113" s="30" t="str">
        <f t="shared" si="2"/>
        <v>Morning</v>
      </c>
      <c r="E113" s="30" t="b">
        <v>0</v>
      </c>
      <c r="F113" s="30" t="s">
        <v>22</v>
      </c>
      <c r="G113" s="30" t="s">
        <v>9</v>
      </c>
      <c r="H113" s="30">
        <v>0.22</v>
      </c>
      <c r="I113" s="30">
        <v>0.27</v>
      </c>
      <c r="J113" s="30">
        <v>1</v>
      </c>
      <c r="K113" s="30">
        <v>0</v>
      </c>
      <c r="L113" s="30">
        <v>2</v>
      </c>
      <c r="M113" s="30">
        <v>59</v>
      </c>
      <c r="N113" s="30">
        <v>61</v>
      </c>
    </row>
    <row r="114" spans="1:14">
      <c r="A114" s="30">
        <v>723</v>
      </c>
      <c r="B114" s="31">
        <v>40576</v>
      </c>
      <c r="C114" s="30">
        <v>11</v>
      </c>
      <c r="D114" s="30" t="str">
        <f t="shared" si="2"/>
        <v>Morning</v>
      </c>
      <c r="E114" s="30" t="b">
        <v>0</v>
      </c>
      <c r="F114" s="30" t="s">
        <v>22</v>
      </c>
      <c r="G114" s="30" t="s">
        <v>9</v>
      </c>
      <c r="H114" s="30">
        <v>0.24</v>
      </c>
      <c r="I114" s="30">
        <v>0.23</v>
      </c>
      <c r="J114" s="30">
        <v>0.93</v>
      </c>
      <c r="K114" s="30">
        <v>0.19</v>
      </c>
      <c r="L114" s="30">
        <v>5</v>
      </c>
      <c r="M114" s="30">
        <v>47</v>
      </c>
      <c r="N114" s="30">
        <v>52</v>
      </c>
    </row>
    <row r="115" spans="1:14">
      <c r="A115" s="30">
        <v>724</v>
      </c>
      <c r="B115" s="31">
        <v>40576</v>
      </c>
      <c r="C115" s="30">
        <v>12</v>
      </c>
      <c r="D115" s="30" t="str">
        <f t="shared" si="2"/>
        <v>Afternoon</v>
      </c>
      <c r="E115" s="30" t="b">
        <v>0</v>
      </c>
      <c r="F115" s="30" t="s">
        <v>22</v>
      </c>
      <c r="G115" s="30" t="s">
        <v>9</v>
      </c>
      <c r="H115" s="30">
        <v>0.24</v>
      </c>
      <c r="I115" s="30">
        <v>0.23</v>
      </c>
      <c r="J115" s="30">
        <v>0.93</v>
      </c>
      <c r="K115" s="30">
        <v>0.22</v>
      </c>
      <c r="L115" s="30">
        <v>3</v>
      </c>
      <c r="M115" s="30">
        <v>61</v>
      </c>
      <c r="N115" s="30">
        <v>64</v>
      </c>
    </row>
    <row r="116" spans="1:14">
      <c r="A116" s="30">
        <v>725</v>
      </c>
      <c r="B116" s="31">
        <v>40576</v>
      </c>
      <c r="C116" s="30">
        <v>13</v>
      </c>
      <c r="D116" s="30" t="str">
        <f t="shared" si="2"/>
        <v>Afternoon</v>
      </c>
      <c r="E116" s="30" t="b">
        <v>0</v>
      </c>
      <c r="F116" s="30" t="s">
        <v>22</v>
      </c>
      <c r="G116" s="30" t="s">
        <v>8</v>
      </c>
      <c r="H116" s="30">
        <v>0.34</v>
      </c>
      <c r="I116" s="30">
        <v>0.33</v>
      </c>
      <c r="J116" s="30">
        <v>0.93</v>
      </c>
      <c r="K116" s="30">
        <v>0.16</v>
      </c>
      <c r="L116" s="30">
        <v>1</v>
      </c>
      <c r="M116" s="30">
        <v>74</v>
      </c>
      <c r="N116" s="30">
        <v>75</v>
      </c>
    </row>
    <row r="117" spans="1:14">
      <c r="A117" s="30">
        <v>726</v>
      </c>
      <c r="B117" s="31">
        <v>40576</v>
      </c>
      <c r="C117" s="30">
        <v>14</v>
      </c>
      <c r="D117" s="30" t="str">
        <f t="shared" si="2"/>
        <v>Afternoon</v>
      </c>
      <c r="E117" s="30" t="b">
        <v>0</v>
      </c>
      <c r="F117" s="30" t="s">
        <v>22</v>
      </c>
      <c r="G117" s="30" t="s">
        <v>8</v>
      </c>
      <c r="H117" s="30">
        <v>0.38</v>
      </c>
      <c r="I117" s="30">
        <v>0.39</v>
      </c>
      <c r="J117" s="30">
        <v>0.82</v>
      </c>
      <c r="K117" s="30">
        <v>0.39</v>
      </c>
      <c r="L117" s="30">
        <v>2</v>
      </c>
      <c r="M117" s="30">
        <v>61</v>
      </c>
      <c r="N117" s="30">
        <v>63</v>
      </c>
    </row>
    <row r="118" spans="1:14">
      <c r="A118" s="30">
        <v>727</v>
      </c>
      <c r="B118" s="31">
        <v>40576</v>
      </c>
      <c r="C118" s="30">
        <v>15</v>
      </c>
      <c r="D118" s="30" t="str">
        <f t="shared" si="2"/>
        <v>Afternoon</v>
      </c>
      <c r="E118" s="30" t="b">
        <v>0</v>
      </c>
      <c r="F118" s="30" t="s">
        <v>22</v>
      </c>
      <c r="G118" s="30" t="s">
        <v>8</v>
      </c>
      <c r="H118" s="30">
        <v>0.38</v>
      </c>
      <c r="I118" s="30">
        <v>0.39</v>
      </c>
      <c r="J118" s="30">
        <v>0.76</v>
      </c>
      <c r="K118" s="30">
        <v>0.33</v>
      </c>
      <c r="L118" s="30">
        <v>10</v>
      </c>
      <c r="M118" s="30">
        <v>66</v>
      </c>
      <c r="N118" s="30">
        <v>76</v>
      </c>
    </row>
    <row r="119" spans="1:14">
      <c r="A119" s="30">
        <v>728</v>
      </c>
      <c r="B119" s="31">
        <v>40576</v>
      </c>
      <c r="C119" s="30">
        <v>16</v>
      </c>
      <c r="D119" s="30" t="str">
        <f t="shared" si="2"/>
        <v>Afternoon</v>
      </c>
      <c r="E119" s="30" t="b">
        <v>0</v>
      </c>
      <c r="F119" s="30" t="s">
        <v>22</v>
      </c>
      <c r="G119" s="30" t="s">
        <v>8</v>
      </c>
      <c r="H119" s="30">
        <v>0.36</v>
      </c>
      <c r="I119" s="30">
        <v>0.33</v>
      </c>
      <c r="J119" s="30">
        <v>0.71</v>
      </c>
      <c r="K119" s="30">
        <v>0.3</v>
      </c>
      <c r="L119" s="30">
        <v>8</v>
      </c>
      <c r="M119" s="30">
        <v>95</v>
      </c>
      <c r="N119" s="30">
        <v>103</v>
      </c>
    </row>
    <row r="120" spans="1:14">
      <c r="A120" s="30">
        <v>729</v>
      </c>
      <c r="B120" s="31">
        <v>40576</v>
      </c>
      <c r="C120" s="30">
        <v>17</v>
      </c>
      <c r="D120" s="30" t="str">
        <f t="shared" si="2"/>
        <v>Afternoon</v>
      </c>
      <c r="E120" s="30" t="b">
        <v>0</v>
      </c>
      <c r="F120" s="30" t="s">
        <v>22</v>
      </c>
      <c r="G120" s="30" t="s">
        <v>8</v>
      </c>
      <c r="H120" s="30">
        <v>0.36</v>
      </c>
      <c r="I120" s="30">
        <v>0.32</v>
      </c>
      <c r="J120" s="30">
        <v>0.53</v>
      </c>
      <c r="K120" s="30">
        <v>0.52</v>
      </c>
      <c r="L120" s="30">
        <v>7</v>
      </c>
      <c r="M120" s="30">
        <v>183</v>
      </c>
      <c r="N120" s="30">
        <v>190</v>
      </c>
    </row>
    <row r="121" spans="1:14">
      <c r="A121" s="30">
        <v>730</v>
      </c>
      <c r="B121" s="31">
        <v>40576</v>
      </c>
      <c r="C121" s="30">
        <v>18</v>
      </c>
      <c r="D121" s="30" t="str">
        <f t="shared" si="2"/>
        <v>Evening</v>
      </c>
      <c r="E121" s="30" t="b">
        <v>0</v>
      </c>
      <c r="F121" s="30" t="s">
        <v>22</v>
      </c>
      <c r="G121" s="30" t="s">
        <v>8</v>
      </c>
      <c r="H121" s="30">
        <v>0.34</v>
      </c>
      <c r="I121" s="30">
        <v>0.28999999999999998</v>
      </c>
      <c r="J121" s="30">
        <v>0.42</v>
      </c>
      <c r="K121" s="30">
        <v>0.55000000000000004</v>
      </c>
      <c r="L121" s="30">
        <v>7</v>
      </c>
      <c r="M121" s="30">
        <v>175</v>
      </c>
      <c r="N121" s="30">
        <v>182</v>
      </c>
    </row>
    <row r="122" spans="1:14">
      <c r="A122" s="30">
        <v>731</v>
      </c>
      <c r="B122" s="31">
        <v>40576</v>
      </c>
      <c r="C122" s="30">
        <v>19</v>
      </c>
      <c r="D122" s="30" t="str">
        <f t="shared" si="2"/>
        <v>Evening</v>
      </c>
      <c r="E122" s="30" t="b">
        <v>0</v>
      </c>
      <c r="F122" s="30" t="s">
        <v>22</v>
      </c>
      <c r="G122" s="30" t="s">
        <v>8</v>
      </c>
      <c r="H122" s="30">
        <v>0.28000000000000003</v>
      </c>
      <c r="I122" s="30">
        <v>0.24</v>
      </c>
      <c r="J122" s="30">
        <v>0.45</v>
      </c>
      <c r="K122" s="30">
        <v>0.49</v>
      </c>
      <c r="L122" s="30">
        <v>3</v>
      </c>
      <c r="M122" s="30">
        <v>88</v>
      </c>
      <c r="N122" s="30">
        <v>91</v>
      </c>
    </row>
    <row r="123" spans="1:14">
      <c r="A123" s="30">
        <v>732</v>
      </c>
      <c r="B123" s="31">
        <v>40576</v>
      </c>
      <c r="C123" s="30">
        <v>20</v>
      </c>
      <c r="D123" s="30" t="str">
        <f t="shared" si="2"/>
        <v>Evening</v>
      </c>
      <c r="E123" s="30" t="b">
        <v>0</v>
      </c>
      <c r="F123" s="30" t="s">
        <v>22</v>
      </c>
      <c r="G123" s="30" t="s">
        <v>8</v>
      </c>
      <c r="H123" s="30">
        <v>0.24</v>
      </c>
      <c r="I123" s="30">
        <v>0.2</v>
      </c>
      <c r="J123" s="30">
        <v>0.48</v>
      </c>
      <c r="K123" s="30">
        <v>0.55000000000000004</v>
      </c>
      <c r="L123" s="30">
        <v>4</v>
      </c>
      <c r="M123" s="30">
        <v>71</v>
      </c>
      <c r="N123" s="30">
        <v>75</v>
      </c>
    </row>
    <row r="124" spans="1:14">
      <c r="A124" s="30">
        <v>733</v>
      </c>
      <c r="B124" s="31">
        <v>40576</v>
      </c>
      <c r="C124" s="30">
        <v>21</v>
      </c>
      <c r="D124" s="30" t="str">
        <f t="shared" si="2"/>
        <v>Evening</v>
      </c>
      <c r="E124" s="30" t="b">
        <v>0</v>
      </c>
      <c r="F124" s="30" t="s">
        <v>22</v>
      </c>
      <c r="G124" s="30" t="s">
        <v>8</v>
      </c>
      <c r="H124" s="30">
        <v>0.22</v>
      </c>
      <c r="I124" s="30">
        <v>0.2</v>
      </c>
      <c r="J124" s="30">
        <v>0.47</v>
      </c>
      <c r="K124" s="30">
        <v>0.33</v>
      </c>
      <c r="L124" s="30">
        <v>1</v>
      </c>
      <c r="M124" s="30">
        <v>62</v>
      </c>
      <c r="N124" s="30">
        <v>63</v>
      </c>
    </row>
    <row r="125" spans="1:14">
      <c r="A125" s="30">
        <v>734</v>
      </c>
      <c r="B125" s="31">
        <v>40576</v>
      </c>
      <c r="C125" s="30">
        <v>22</v>
      </c>
      <c r="D125" s="30" t="str">
        <f t="shared" si="2"/>
        <v>Evening</v>
      </c>
      <c r="E125" s="30" t="b">
        <v>0</v>
      </c>
      <c r="F125" s="30" t="s">
        <v>22</v>
      </c>
      <c r="G125" s="30" t="s">
        <v>8</v>
      </c>
      <c r="H125" s="30">
        <v>0.22</v>
      </c>
      <c r="I125" s="30">
        <v>0.21</v>
      </c>
      <c r="J125" s="30">
        <v>0.44</v>
      </c>
      <c r="K125" s="30">
        <v>0.25</v>
      </c>
      <c r="L125" s="30">
        <v>5</v>
      </c>
      <c r="M125" s="30">
        <v>35</v>
      </c>
      <c r="N125" s="30">
        <v>40</v>
      </c>
    </row>
    <row r="126" spans="1:14">
      <c r="A126" s="30">
        <v>735</v>
      </c>
      <c r="B126" s="31">
        <v>40576</v>
      </c>
      <c r="C126" s="30">
        <v>23</v>
      </c>
      <c r="D126" s="30" t="str">
        <f t="shared" si="2"/>
        <v>Evening</v>
      </c>
      <c r="E126" s="30" t="b">
        <v>0</v>
      </c>
      <c r="F126" s="30" t="s">
        <v>22</v>
      </c>
      <c r="G126" s="30" t="s">
        <v>8</v>
      </c>
      <c r="H126" s="30">
        <v>0.2</v>
      </c>
      <c r="I126" s="30">
        <v>0.17</v>
      </c>
      <c r="J126" s="30">
        <v>0.44</v>
      </c>
      <c r="K126" s="30">
        <v>0.45</v>
      </c>
      <c r="L126" s="30">
        <v>3</v>
      </c>
      <c r="M126" s="30">
        <v>29</v>
      </c>
      <c r="N126" s="30">
        <v>32</v>
      </c>
    </row>
    <row r="127" spans="1:14">
      <c r="A127" s="30">
        <v>736</v>
      </c>
      <c r="B127" s="31">
        <v>40577</v>
      </c>
      <c r="C127" s="30">
        <v>0</v>
      </c>
      <c r="D127" s="30" t="str">
        <f t="shared" si="2"/>
        <v>Night</v>
      </c>
      <c r="E127" s="30" t="b">
        <v>0</v>
      </c>
      <c r="F127" s="30" t="s">
        <v>23</v>
      </c>
      <c r="G127" s="30" t="s">
        <v>8</v>
      </c>
      <c r="H127" s="30">
        <v>0.2</v>
      </c>
      <c r="I127" s="30">
        <v>0.17</v>
      </c>
      <c r="J127" s="30">
        <v>0.4</v>
      </c>
      <c r="K127" s="30">
        <v>0.45</v>
      </c>
      <c r="L127" s="30">
        <v>1</v>
      </c>
      <c r="M127" s="30">
        <v>11</v>
      </c>
      <c r="N127" s="30">
        <v>12</v>
      </c>
    </row>
    <row r="128" spans="1:14">
      <c r="A128" s="30">
        <v>737</v>
      </c>
      <c r="B128" s="31">
        <v>40577</v>
      </c>
      <c r="C128" s="30">
        <v>1</v>
      </c>
      <c r="D128" s="30" t="str">
        <f t="shared" si="2"/>
        <v>Night</v>
      </c>
      <c r="E128" s="30" t="b">
        <v>0</v>
      </c>
      <c r="F128" s="30" t="s">
        <v>23</v>
      </c>
      <c r="G128" s="30" t="s">
        <v>8</v>
      </c>
      <c r="H128" s="30">
        <v>0.2</v>
      </c>
      <c r="I128" s="30">
        <v>0.15</v>
      </c>
      <c r="J128" s="30">
        <v>0.44</v>
      </c>
      <c r="K128" s="30">
        <v>0.52</v>
      </c>
      <c r="L128" s="30">
        <v>0</v>
      </c>
      <c r="M128" s="30">
        <v>5</v>
      </c>
      <c r="N128" s="30">
        <v>5</v>
      </c>
    </row>
    <row r="129" spans="1:14">
      <c r="A129" s="30">
        <v>738</v>
      </c>
      <c r="B129" s="31">
        <v>40577</v>
      </c>
      <c r="C129" s="30">
        <v>2</v>
      </c>
      <c r="D129" s="30" t="str">
        <f t="shared" si="2"/>
        <v>Night</v>
      </c>
      <c r="E129" s="30" t="b">
        <v>0</v>
      </c>
      <c r="F129" s="30" t="s">
        <v>23</v>
      </c>
      <c r="G129" s="30" t="s">
        <v>8</v>
      </c>
      <c r="H129" s="30">
        <v>0.18</v>
      </c>
      <c r="I129" s="30">
        <v>0.17</v>
      </c>
      <c r="J129" s="30">
        <v>0.43</v>
      </c>
      <c r="K129" s="30">
        <v>0.25</v>
      </c>
      <c r="L129" s="30">
        <v>0</v>
      </c>
      <c r="M129" s="30">
        <v>2</v>
      </c>
      <c r="N129" s="30">
        <v>2</v>
      </c>
    </row>
    <row r="130" spans="1:14">
      <c r="A130" s="30">
        <v>739</v>
      </c>
      <c r="B130" s="31">
        <v>40577</v>
      </c>
      <c r="C130" s="30">
        <v>3</v>
      </c>
      <c r="D130" s="30" t="str">
        <f t="shared" ref="D130:D193" si="3">IF($C130&lt;6,"Night",IF($C130&lt;12,"Morning",IF($C130&lt;18,"Afternoon","Evening")))</f>
        <v>Night</v>
      </c>
      <c r="E130" s="30" t="b">
        <v>0</v>
      </c>
      <c r="F130" s="30" t="s">
        <v>23</v>
      </c>
      <c r="G130" s="30" t="s">
        <v>8</v>
      </c>
      <c r="H130" s="30">
        <v>0.18</v>
      </c>
      <c r="I130" s="30">
        <v>0.17</v>
      </c>
      <c r="J130" s="30">
        <v>0.43</v>
      </c>
      <c r="K130" s="30">
        <v>0.25</v>
      </c>
      <c r="L130" s="30">
        <v>0</v>
      </c>
      <c r="M130" s="30">
        <v>1</v>
      </c>
      <c r="N130" s="30">
        <v>1</v>
      </c>
    </row>
    <row r="131" spans="1:14">
      <c r="A131" s="30">
        <v>740</v>
      </c>
      <c r="B131" s="31">
        <v>40577</v>
      </c>
      <c r="C131" s="30">
        <v>5</v>
      </c>
      <c r="D131" s="30" t="str">
        <f t="shared" si="3"/>
        <v>Night</v>
      </c>
      <c r="E131" s="30" t="b">
        <v>0</v>
      </c>
      <c r="F131" s="30" t="s">
        <v>23</v>
      </c>
      <c r="G131" s="30" t="s">
        <v>8</v>
      </c>
      <c r="H131" s="30">
        <v>0.16</v>
      </c>
      <c r="I131" s="30">
        <v>0.14000000000000001</v>
      </c>
      <c r="J131" s="30">
        <v>0.5</v>
      </c>
      <c r="K131" s="30">
        <v>0.3</v>
      </c>
      <c r="L131" s="30">
        <v>0</v>
      </c>
      <c r="M131" s="30">
        <v>2</v>
      </c>
      <c r="N131" s="30">
        <v>2</v>
      </c>
    </row>
    <row r="132" spans="1:14">
      <c r="A132" s="30">
        <v>741</v>
      </c>
      <c r="B132" s="31">
        <v>40577</v>
      </c>
      <c r="C132" s="30">
        <v>6</v>
      </c>
      <c r="D132" s="30" t="str">
        <f t="shared" si="3"/>
        <v>Morning</v>
      </c>
      <c r="E132" s="30" t="b">
        <v>0</v>
      </c>
      <c r="F132" s="30" t="s">
        <v>23</v>
      </c>
      <c r="G132" s="30" t="s">
        <v>8</v>
      </c>
      <c r="H132" s="30">
        <v>0.16</v>
      </c>
      <c r="I132" s="30">
        <v>0.14000000000000001</v>
      </c>
      <c r="J132" s="30">
        <v>0.43</v>
      </c>
      <c r="K132" s="30">
        <v>0.36</v>
      </c>
      <c r="L132" s="30">
        <v>0</v>
      </c>
      <c r="M132" s="30">
        <v>39</v>
      </c>
      <c r="N132" s="30">
        <v>39</v>
      </c>
    </row>
    <row r="133" spans="1:14">
      <c r="A133" s="30">
        <v>742</v>
      </c>
      <c r="B133" s="31">
        <v>40577</v>
      </c>
      <c r="C133" s="30">
        <v>7</v>
      </c>
      <c r="D133" s="30" t="str">
        <f t="shared" si="3"/>
        <v>Morning</v>
      </c>
      <c r="E133" s="30" t="b">
        <v>0</v>
      </c>
      <c r="F133" s="30" t="s">
        <v>23</v>
      </c>
      <c r="G133" s="30" t="s">
        <v>8</v>
      </c>
      <c r="H133" s="30">
        <v>0.14000000000000001</v>
      </c>
      <c r="I133" s="30">
        <v>0.12</v>
      </c>
      <c r="J133" s="30">
        <v>0.5</v>
      </c>
      <c r="K133" s="30">
        <v>0.33</v>
      </c>
      <c r="L133" s="30">
        <v>1</v>
      </c>
      <c r="M133" s="30">
        <v>86</v>
      </c>
      <c r="N133" s="30">
        <v>87</v>
      </c>
    </row>
    <row r="134" spans="1:14">
      <c r="A134" s="30">
        <v>743</v>
      </c>
      <c r="B134" s="31">
        <v>40577</v>
      </c>
      <c r="C134" s="30">
        <v>8</v>
      </c>
      <c r="D134" s="30" t="str">
        <f t="shared" si="3"/>
        <v>Morning</v>
      </c>
      <c r="E134" s="30" t="b">
        <v>0</v>
      </c>
      <c r="F134" s="30" t="s">
        <v>23</v>
      </c>
      <c r="G134" s="30" t="s">
        <v>8</v>
      </c>
      <c r="H134" s="30">
        <v>0.14000000000000001</v>
      </c>
      <c r="I134" s="30">
        <v>0.12</v>
      </c>
      <c r="J134" s="30">
        <v>0.5</v>
      </c>
      <c r="K134" s="30">
        <v>0.36</v>
      </c>
      <c r="L134" s="30">
        <v>4</v>
      </c>
      <c r="M134" s="30">
        <v>184</v>
      </c>
      <c r="N134" s="30">
        <v>188</v>
      </c>
    </row>
    <row r="135" spans="1:14">
      <c r="A135" s="30">
        <v>744</v>
      </c>
      <c r="B135" s="31">
        <v>40577</v>
      </c>
      <c r="C135" s="30">
        <v>9</v>
      </c>
      <c r="D135" s="30" t="str">
        <f t="shared" si="3"/>
        <v>Morning</v>
      </c>
      <c r="E135" s="30" t="b">
        <v>0</v>
      </c>
      <c r="F135" s="30" t="s">
        <v>23</v>
      </c>
      <c r="G135" s="30" t="s">
        <v>8</v>
      </c>
      <c r="H135" s="30">
        <v>0.16</v>
      </c>
      <c r="I135" s="30">
        <v>0.14000000000000001</v>
      </c>
      <c r="J135" s="30">
        <v>0.47</v>
      </c>
      <c r="K135" s="30">
        <v>0.3</v>
      </c>
      <c r="L135" s="30">
        <v>6</v>
      </c>
      <c r="M135" s="30">
        <v>127</v>
      </c>
      <c r="N135" s="30">
        <v>133</v>
      </c>
    </row>
    <row r="136" spans="1:14">
      <c r="A136" s="30">
        <v>745</v>
      </c>
      <c r="B136" s="31">
        <v>40577</v>
      </c>
      <c r="C136" s="30">
        <v>10</v>
      </c>
      <c r="D136" s="30" t="str">
        <f t="shared" si="3"/>
        <v>Morning</v>
      </c>
      <c r="E136" s="30" t="b">
        <v>0</v>
      </c>
      <c r="F136" s="30" t="s">
        <v>23</v>
      </c>
      <c r="G136" s="30" t="s">
        <v>8</v>
      </c>
      <c r="H136" s="30">
        <v>0.18</v>
      </c>
      <c r="I136" s="30">
        <v>0.15</v>
      </c>
      <c r="J136" s="30">
        <v>0.43</v>
      </c>
      <c r="K136" s="30">
        <v>0.33</v>
      </c>
      <c r="L136" s="30">
        <v>2</v>
      </c>
      <c r="M136" s="30">
        <v>50</v>
      </c>
      <c r="N136" s="30">
        <v>52</v>
      </c>
    </row>
    <row r="137" spans="1:14">
      <c r="A137" s="30">
        <v>746</v>
      </c>
      <c r="B137" s="31">
        <v>40577</v>
      </c>
      <c r="C137" s="30">
        <v>11</v>
      </c>
      <c r="D137" s="30" t="str">
        <f t="shared" si="3"/>
        <v>Morning</v>
      </c>
      <c r="E137" s="30" t="b">
        <v>0</v>
      </c>
      <c r="F137" s="30" t="s">
        <v>23</v>
      </c>
      <c r="G137" s="30" t="s">
        <v>8</v>
      </c>
      <c r="H137" s="30">
        <v>0.18</v>
      </c>
      <c r="I137" s="30">
        <v>0.14000000000000001</v>
      </c>
      <c r="J137" s="30">
        <v>0.43</v>
      </c>
      <c r="K137" s="30">
        <v>0.45</v>
      </c>
      <c r="L137" s="30">
        <v>9</v>
      </c>
      <c r="M137" s="30">
        <v>55</v>
      </c>
      <c r="N137" s="30">
        <v>64</v>
      </c>
    </row>
    <row r="138" spans="1:14">
      <c r="A138" s="30">
        <v>747</v>
      </c>
      <c r="B138" s="31">
        <v>40577</v>
      </c>
      <c r="C138" s="30">
        <v>12</v>
      </c>
      <c r="D138" s="30" t="str">
        <f t="shared" si="3"/>
        <v>Afternoon</v>
      </c>
      <c r="E138" s="30" t="b">
        <v>0</v>
      </c>
      <c r="F138" s="30" t="s">
        <v>23</v>
      </c>
      <c r="G138" s="30" t="s">
        <v>8</v>
      </c>
      <c r="H138" s="30">
        <v>0.2</v>
      </c>
      <c r="I138" s="30">
        <v>0.18</v>
      </c>
      <c r="J138" s="30">
        <v>0.4</v>
      </c>
      <c r="K138" s="30">
        <v>0.36</v>
      </c>
      <c r="L138" s="30">
        <v>2</v>
      </c>
      <c r="M138" s="30">
        <v>67</v>
      </c>
      <c r="N138" s="30">
        <v>69</v>
      </c>
    </row>
    <row r="139" spans="1:14">
      <c r="A139" s="30">
        <v>748</v>
      </c>
      <c r="B139" s="31">
        <v>40577</v>
      </c>
      <c r="C139" s="30">
        <v>13</v>
      </c>
      <c r="D139" s="30" t="str">
        <f t="shared" si="3"/>
        <v>Afternoon</v>
      </c>
      <c r="E139" s="30" t="b">
        <v>0</v>
      </c>
      <c r="F139" s="30" t="s">
        <v>23</v>
      </c>
      <c r="G139" s="30" t="s">
        <v>8</v>
      </c>
      <c r="H139" s="30">
        <v>0.2</v>
      </c>
      <c r="I139" s="30">
        <v>0.17</v>
      </c>
      <c r="J139" s="30">
        <v>0.4</v>
      </c>
      <c r="K139" s="30">
        <v>0.42</v>
      </c>
      <c r="L139" s="30">
        <v>4</v>
      </c>
      <c r="M139" s="30">
        <v>47</v>
      </c>
      <c r="N139" s="30">
        <v>51</v>
      </c>
    </row>
    <row r="140" spans="1:14">
      <c r="A140" s="30">
        <v>749</v>
      </c>
      <c r="B140" s="31">
        <v>40577</v>
      </c>
      <c r="C140" s="30">
        <v>14</v>
      </c>
      <c r="D140" s="30" t="str">
        <f t="shared" si="3"/>
        <v>Afternoon</v>
      </c>
      <c r="E140" s="30" t="b">
        <v>0</v>
      </c>
      <c r="F140" s="30" t="s">
        <v>23</v>
      </c>
      <c r="G140" s="30" t="s">
        <v>8</v>
      </c>
      <c r="H140" s="30">
        <v>0.22</v>
      </c>
      <c r="I140" s="30">
        <v>0.2</v>
      </c>
      <c r="J140" s="30">
        <v>0.37</v>
      </c>
      <c r="K140" s="30">
        <v>0.39</v>
      </c>
      <c r="L140" s="30">
        <v>4</v>
      </c>
      <c r="M140" s="30">
        <v>43</v>
      </c>
      <c r="N140" s="30">
        <v>47</v>
      </c>
    </row>
    <row r="141" spans="1:14">
      <c r="A141" s="30">
        <v>750</v>
      </c>
      <c r="B141" s="31">
        <v>40577</v>
      </c>
      <c r="C141" s="30">
        <v>15</v>
      </c>
      <c r="D141" s="30" t="str">
        <f t="shared" si="3"/>
        <v>Afternoon</v>
      </c>
      <c r="E141" s="30" t="b">
        <v>0</v>
      </c>
      <c r="F141" s="30" t="s">
        <v>23</v>
      </c>
      <c r="G141" s="30" t="s">
        <v>8</v>
      </c>
      <c r="H141" s="30">
        <v>0.22</v>
      </c>
      <c r="I141" s="30">
        <v>0.2</v>
      </c>
      <c r="J141" s="30">
        <v>0.37</v>
      </c>
      <c r="K141" s="30">
        <v>0.33</v>
      </c>
      <c r="L141" s="30">
        <v>4</v>
      </c>
      <c r="M141" s="30">
        <v>56</v>
      </c>
      <c r="N141" s="30">
        <v>60</v>
      </c>
    </row>
    <row r="142" spans="1:14">
      <c r="A142" s="30">
        <v>751</v>
      </c>
      <c r="B142" s="31">
        <v>40577</v>
      </c>
      <c r="C142" s="30">
        <v>16</v>
      </c>
      <c r="D142" s="30" t="str">
        <f t="shared" si="3"/>
        <v>Afternoon</v>
      </c>
      <c r="E142" s="30" t="b">
        <v>0</v>
      </c>
      <c r="F142" s="30" t="s">
        <v>23</v>
      </c>
      <c r="G142" s="30" t="s">
        <v>8</v>
      </c>
      <c r="H142" s="30">
        <v>0.22</v>
      </c>
      <c r="I142" s="30">
        <v>0.21</v>
      </c>
      <c r="J142" s="30">
        <v>0.37</v>
      </c>
      <c r="K142" s="30">
        <v>0.25</v>
      </c>
      <c r="L142" s="30">
        <v>5</v>
      </c>
      <c r="M142" s="30">
        <v>73</v>
      </c>
      <c r="N142" s="30">
        <v>78</v>
      </c>
    </row>
    <row r="143" spans="1:14">
      <c r="A143" s="30">
        <v>752</v>
      </c>
      <c r="B143" s="31">
        <v>40577</v>
      </c>
      <c r="C143" s="30">
        <v>17</v>
      </c>
      <c r="D143" s="30" t="str">
        <f t="shared" si="3"/>
        <v>Afternoon</v>
      </c>
      <c r="E143" s="30" t="b">
        <v>0</v>
      </c>
      <c r="F143" s="30" t="s">
        <v>23</v>
      </c>
      <c r="G143" s="30" t="s">
        <v>8</v>
      </c>
      <c r="H143" s="30">
        <v>0.2</v>
      </c>
      <c r="I143" s="30">
        <v>0.2</v>
      </c>
      <c r="J143" s="30">
        <v>0.4</v>
      </c>
      <c r="K143" s="30">
        <v>0.19</v>
      </c>
      <c r="L143" s="30">
        <v>5</v>
      </c>
      <c r="M143" s="30">
        <v>170</v>
      </c>
      <c r="N143" s="30">
        <v>175</v>
      </c>
    </row>
    <row r="144" spans="1:14">
      <c r="A144" s="30">
        <v>753</v>
      </c>
      <c r="B144" s="31">
        <v>40577</v>
      </c>
      <c r="C144" s="30">
        <v>18</v>
      </c>
      <c r="D144" s="30" t="str">
        <f t="shared" si="3"/>
        <v>Evening</v>
      </c>
      <c r="E144" s="30" t="b">
        <v>0</v>
      </c>
      <c r="F144" s="30" t="s">
        <v>23</v>
      </c>
      <c r="G144" s="30" t="s">
        <v>8</v>
      </c>
      <c r="H144" s="30">
        <v>0.2</v>
      </c>
      <c r="I144" s="30">
        <v>0.21</v>
      </c>
      <c r="J144" s="30">
        <v>0.4</v>
      </c>
      <c r="K144" s="30">
        <v>0.16</v>
      </c>
      <c r="L144" s="30">
        <v>2</v>
      </c>
      <c r="M144" s="30">
        <v>145</v>
      </c>
      <c r="N144" s="30">
        <v>147</v>
      </c>
    </row>
    <row r="145" spans="1:14">
      <c r="A145" s="30">
        <v>754</v>
      </c>
      <c r="B145" s="31">
        <v>40577</v>
      </c>
      <c r="C145" s="30">
        <v>19</v>
      </c>
      <c r="D145" s="30" t="str">
        <f t="shared" si="3"/>
        <v>Evening</v>
      </c>
      <c r="E145" s="30" t="b">
        <v>0</v>
      </c>
      <c r="F145" s="30" t="s">
        <v>23</v>
      </c>
      <c r="G145" s="30" t="s">
        <v>8</v>
      </c>
      <c r="H145" s="30">
        <v>0.2</v>
      </c>
      <c r="I145" s="30">
        <v>0.26</v>
      </c>
      <c r="J145" s="30">
        <v>0.4</v>
      </c>
      <c r="K145" s="30">
        <v>0</v>
      </c>
      <c r="L145" s="30">
        <v>4</v>
      </c>
      <c r="M145" s="30">
        <v>92</v>
      </c>
      <c r="N145" s="30">
        <v>96</v>
      </c>
    </row>
    <row r="146" spans="1:14">
      <c r="A146" s="30">
        <v>755</v>
      </c>
      <c r="B146" s="31">
        <v>40577</v>
      </c>
      <c r="C146" s="30">
        <v>20</v>
      </c>
      <c r="D146" s="30" t="str">
        <f t="shared" si="3"/>
        <v>Evening</v>
      </c>
      <c r="E146" s="30" t="b">
        <v>0</v>
      </c>
      <c r="F146" s="30" t="s">
        <v>23</v>
      </c>
      <c r="G146" s="30" t="s">
        <v>8</v>
      </c>
      <c r="H146" s="30">
        <v>0.2</v>
      </c>
      <c r="I146" s="30">
        <v>0.23</v>
      </c>
      <c r="J146" s="30">
        <v>0.47</v>
      </c>
      <c r="K146" s="30">
        <v>0.09</v>
      </c>
      <c r="L146" s="30">
        <v>1</v>
      </c>
      <c r="M146" s="30">
        <v>108</v>
      </c>
      <c r="N146" s="30">
        <v>109</v>
      </c>
    </row>
    <row r="147" spans="1:14">
      <c r="A147" s="30">
        <v>756</v>
      </c>
      <c r="B147" s="31">
        <v>40577</v>
      </c>
      <c r="C147" s="30">
        <v>21</v>
      </c>
      <c r="D147" s="30" t="str">
        <f t="shared" si="3"/>
        <v>Evening</v>
      </c>
      <c r="E147" s="30" t="b">
        <v>0</v>
      </c>
      <c r="F147" s="30" t="s">
        <v>23</v>
      </c>
      <c r="G147" s="30" t="s">
        <v>8</v>
      </c>
      <c r="H147" s="30">
        <v>0.18</v>
      </c>
      <c r="I147" s="30">
        <v>0.21</v>
      </c>
      <c r="J147" s="30">
        <v>0.55000000000000004</v>
      </c>
      <c r="K147" s="30">
        <v>0.1</v>
      </c>
      <c r="L147" s="30">
        <v>1</v>
      </c>
      <c r="M147" s="30">
        <v>53</v>
      </c>
      <c r="N147" s="30">
        <v>54</v>
      </c>
    </row>
    <row r="148" spans="1:14">
      <c r="A148" s="30">
        <v>757</v>
      </c>
      <c r="B148" s="31">
        <v>40577</v>
      </c>
      <c r="C148" s="30">
        <v>22</v>
      </c>
      <c r="D148" s="30" t="str">
        <f t="shared" si="3"/>
        <v>Evening</v>
      </c>
      <c r="E148" s="30" t="b">
        <v>0</v>
      </c>
      <c r="F148" s="30" t="s">
        <v>23</v>
      </c>
      <c r="G148" s="30" t="s">
        <v>8</v>
      </c>
      <c r="H148" s="30">
        <v>0.18</v>
      </c>
      <c r="I148" s="30">
        <v>0.21</v>
      </c>
      <c r="J148" s="30">
        <v>0.51</v>
      </c>
      <c r="K148" s="30">
        <v>0.09</v>
      </c>
      <c r="L148" s="30">
        <v>2</v>
      </c>
      <c r="M148" s="30">
        <v>39</v>
      </c>
      <c r="N148" s="30">
        <v>41</v>
      </c>
    </row>
    <row r="149" spans="1:14">
      <c r="A149" s="30">
        <v>758</v>
      </c>
      <c r="B149" s="31">
        <v>40577</v>
      </c>
      <c r="C149" s="30">
        <v>23</v>
      </c>
      <c r="D149" s="30" t="str">
        <f t="shared" si="3"/>
        <v>Evening</v>
      </c>
      <c r="E149" s="30" t="b">
        <v>0</v>
      </c>
      <c r="F149" s="30" t="s">
        <v>23</v>
      </c>
      <c r="G149" s="30" t="s">
        <v>8</v>
      </c>
      <c r="H149" s="30">
        <v>0.2</v>
      </c>
      <c r="I149" s="30">
        <v>0.23</v>
      </c>
      <c r="J149" s="30">
        <v>0.47</v>
      </c>
      <c r="K149" s="30">
        <v>0.1</v>
      </c>
      <c r="L149" s="30">
        <v>4</v>
      </c>
      <c r="M149" s="30">
        <v>34</v>
      </c>
      <c r="N149" s="30">
        <v>38</v>
      </c>
    </row>
    <row r="150" spans="1:14">
      <c r="A150" s="30">
        <v>759</v>
      </c>
      <c r="B150" s="31">
        <v>40578</v>
      </c>
      <c r="C150" s="30">
        <v>0</v>
      </c>
      <c r="D150" s="30" t="str">
        <f t="shared" si="3"/>
        <v>Night</v>
      </c>
      <c r="E150" s="30" t="b">
        <v>0</v>
      </c>
      <c r="F150" s="30" t="s">
        <v>24</v>
      </c>
      <c r="G150" s="30" t="s">
        <v>9</v>
      </c>
      <c r="H150" s="30">
        <v>0.2</v>
      </c>
      <c r="I150" s="30">
        <v>0.26</v>
      </c>
      <c r="J150" s="30">
        <v>0.44</v>
      </c>
      <c r="K150" s="30">
        <v>0</v>
      </c>
      <c r="L150" s="30">
        <v>3</v>
      </c>
      <c r="M150" s="30">
        <v>10</v>
      </c>
      <c r="N150" s="30">
        <v>13</v>
      </c>
    </row>
    <row r="151" spans="1:14">
      <c r="A151" s="30">
        <v>760</v>
      </c>
      <c r="B151" s="31">
        <v>40578</v>
      </c>
      <c r="C151" s="30">
        <v>1</v>
      </c>
      <c r="D151" s="30" t="str">
        <f t="shared" si="3"/>
        <v>Night</v>
      </c>
      <c r="E151" s="30" t="b">
        <v>0</v>
      </c>
      <c r="F151" s="30" t="s">
        <v>24</v>
      </c>
      <c r="G151" s="30" t="s">
        <v>9</v>
      </c>
      <c r="H151" s="30">
        <v>0.16</v>
      </c>
      <c r="I151" s="30">
        <v>0.23</v>
      </c>
      <c r="J151" s="30">
        <v>0.59</v>
      </c>
      <c r="K151" s="30">
        <v>0</v>
      </c>
      <c r="L151" s="30">
        <v>0</v>
      </c>
      <c r="M151" s="30">
        <v>7</v>
      </c>
      <c r="N151" s="30">
        <v>7</v>
      </c>
    </row>
    <row r="152" spans="1:14">
      <c r="A152" s="30">
        <v>761</v>
      </c>
      <c r="B152" s="31">
        <v>40578</v>
      </c>
      <c r="C152" s="30">
        <v>2</v>
      </c>
      <c r="D152" s="30" t="str">
        <f t="shared" si="3"/>
        <v>Night</v>
      </c>
      <c r="E152" s="30" t="b">
        <v>0</v>
      </c>
      <c r="F152" s="30" t="s">
        <v>24</v>
      </c>
      <c r="G152" s="30" t="s">
        <v>9</v>
      </c>
      <c r="H152" s="30">
        <v>0.14000000000000001</v>
      </c>
      <c r="I152" s="30">
        <v>0.17</v>
      </c>
      <c r="J152" s="30">
        <v>0.63</v>
      </c>
      <c r="K152" s="30">
        <v>0.1</v>
      </c>
      <c r="L152" s="30">
        <v>0</v>
      </c>
      <c r="M152" s="30">
        <v>1</v>
      </c>
      <c r="N152" s="30">
        <v>1</v>
      </c>
    </row>
    <row r="153" spans="1:14">
      <c r="A153" s="30">
        <v>762</v>
      </c>
      <c r="B153" s="31">
        <v>40578</v>
      </c>
      <c r="C153" s="30">
        <v>3</v>
      </c>
      <c r="D153" s="30" t="str">
        <f t="shared" si="3"/>
        <v>Night</v>
      </c>
      <c r="E153" s="30" t="b">
        <v>0</v>
      </c>
      <c r="F153" s="30" t="s">
        <v>24</v>
      </c>
      <c r="G153" s="30" t="s">
        <v>9</v>
      </c>
      <c r="H153" s="30">
        <v>0.14000000000000001</v>
      </c>
      <c r="I153" s="30">
        <v>0.17</v>
      </c>
      <c r="J153" s="30">
        <v>0.63</v>
      </c>
      <c r="K153" s="30">
        <v>0.1</v>
      </c>
      <c r="L153" s="30">
        <v>0</v>
      </c>
      <c r="M153" s="30">
        <v>1</v>
      </c>
      <c r="N153" s="30">
        <v>1</v>
      </c>
    </row>
    <row r="154" spans="1:14">
      <c r="A154" s="30">
        <v>763</v>
      </c>
      <c r="B154" s="31">
        <v>40578</v>
      </c>
      <c r="C154" s="30">
        <v>5</v>
      </c>
      <c r="D154" s="30" t="str">
        <f t="shared" si="3"/>
        <v>Night</v>
      </c>
      <c r="E154" s="30" t="b">
        <v>0</v>
      </c>
      <c r="F154" s="30" t="s">
        <v>24</v>
      </c>
      <c r="G154" s="30" t="s">
        <v>9</v>
      </c>
      <c r="H154" s="30">
        <v>0.14000000000000001</v>
      </c>
      <c r="I154" s="30">
        <v>0.15</v>
      </c>
      <c r="J154" s="30">
        <v>0.63</v>
      </c>
      <c r="K154" s="30">
        <v>0.13</v>
      </c>
      <c r="L154" s="30">
        <v>0</v>
      </c>
      <c r="M154" s="30">
        <v>7</v>
      </c>
      <c r="N154" s="30">
        <v>7</v>
      </c>
    </row>
    <row r="155" spans="1:14">
      <c r="A155" s="30">
        <v>764</v>
      </c>
      <c r="B155" s="31">
        <v>40578</v>
      </c>
      <c r="C155" s="30">
        <v>6</v>
      </c>
      <c r="D155" s="30" t="str">
        <f t="shared" si="3"/>
        <v>Morning</v>
      </c>
      <c r="E155" s="30" t="b">
        <v>0</v>
      </c>
      <c r="F155" s="30" t="s">
        <v>24</v>
      </c>
      <c r="G155" s="30" t="s">
        <v>9</v>
      </c>
      <c r="H155" s="30">
        <v>0.16</v>
      </c>
      <c r="I155" s="30">
        <v>0.23</v>
      </c>
      <c r="J155" s="30">
        <v>0.55000000000000004</v>
      </c>
      <c r="K155" s="30">
        <v>0</v>
      </c>
      <c r="L155" s="30">
        <v>2</v>
      </c>
      <c r="M155" s="30">
        <v>26</v>
      </c>
      <c r="N155" s="30">
        <v>28</v>
      </c>
    </row>
    <row r="156" spans="1:14">
      <c r="A156" s="30">
        <v>765</v>
      </c>
      <c r="B156" s="31">
        <v>40578</v>
      </c>
      <c r="C156" s="30">
        <v>7</v>
      </c>
      <c r="D156" s="30" t="str">
        <f t="shared" si="3"/>
        <v>Morning</v>
      </c>
      <c r="E156" s="30" t="b">
        <v>0</v>
      </c>
      <c r="F156" s="30" t="s">
        <v>24</v>
      </c>
      <c r="G156" s="30" t="s">
        <v>8</v>
      </c>
      <c r="H156" s="30">
        <v>0.14000000000000001</v>
      </c>
      <c r="I156" s="30">
        <v>0.21</v>
      </c>
      <c r="J156" s="30">
        <v>0.59</v>
      </c>
      <c r="K156" s="30">
        <v>0</v>
      </c>
      <c r="L156" s="30">
        <v>0</v>
      </c>
      <c r="M156" s="30">
        <v>87</v>
      </c>
      <c r="N156" s="30">
        <v>87</v>
      </c>
    </row>
    <row r="157" spans="1:14">
      <c r="A157" s="30">
        <v>766</v>
      </c>
      <c r="B157" s="31">
        <v>40578</v>
      </c>
      <c r="C157" s="30">
        <v>8</v>
      </c>
      <c r="D157" s="30" t="str">
        <f t="shared" si="3"/>
        <v>Morning</v>
      </c>
      <c r="E157" s="30" t="b">
        <v>0</v>
      </c>
      <c r="F157" s="30" t="s">
        <v>24</v>
      </c>
      <c r="G157" s="30" t="s">
        <v>8</v>
      </c>
      <c r="H157" s="30">
        <v>0.14000000000000001</v>
      </c>
      <c r="I157" s="30">
        <v>0.15</v>
      </c>
      <c r="J157" s="30">
        <v>0.74</v>
      </c>
      <c r="K157" s="30">
        <v>0.13</v>
      </c>
      <c r="L157" s="30">
        <v>3</v>
      </c>
      <c r="M157" s="30">
        <v>217</v>
      </c>
      <c r="N157" s="30">
        <v>220</v>
      </c>
    </row>
    <row r="158" spans="1:14">
      <c r="A158" s="30">
        <v>767</v>
      </c>
      <c r="B158" s="31">
        <v>40578</v>
      </c>
      <c r="C158" s="30">
        <v>9</v>
      </c>
      <c r="D158" s="30" t="str">
        <f t="shared" si="3"/>
        <v>Morning</v>
      </c>
      <c r="E158" s="30" t="b">
        <v>0</v>
      </c>
      <c r="F158" s="30" t="s">
        <v>24</v>
      </c>
      <c r="G158" s="30" t="s">
        <v>9</v>
      </c>
      <c r="H158" s="30">
        <v>0.16</v>
      </c>
      <c r="I158" s="30">
        <v>0.18</v>
      </c>
      <c r="J158" s="30">
        <v>0.8</v>
      </c>
      <c r="K158" s="30">
        <v>0.13</v>
      </c>
      <c r="L158" s="30">
        <v>3</v>
      </c>
      <c r="M158" s="30">
        <v>124</v>
      </c>
      <c r="N158" s="30">
        <v>127</v>
      </c>
    </row>
    <row r="159" spans="1:14">
      <c r="A159" s="30">
        <v>768</v>
      </c>
      <c r="B159" s="31">
        <v>40578</v>
      </c>
      <c r="C159" s="30">
        <v>10</v>
      </c>
      <c r="D159" s="30" t="str">
        <f t="shared" si="3"/>
        <v>Morning</v>
      </c>
      <c r="E159" s="30" t="b">
        <v>0</v>
      </c>
      <c r="F159" s="30" t="s">
        <v>24</v>
      </c>
      <c r="G159" s="30" t="s">
        <v>9</v>
      </c>
      <c r="H159" s="30">
        <v>0.2</v>
      </c>
      <c r="I159" s="30">
        <v>0.21</v>
      </c>
      <c r="J159" s="30">
        <v>0.51</v>
      </c>
      <c r="K159" s="30">
        <v>0.13</v>
      </c>
      <c r="L159" s="30">
        <v>5</v>
      </c>
      <c r="M159" s="30">
        <v>46</v>
      </c>
      <c r="N159" s="30">
        <v>51</v>
      </c>
    </row>
    <row r="160" spans="1:14">
      <c r="A160" s="30">
        <v>769</v>
      </c>
      <c r="B160" s="31">
        <v>40578</v>
      </c>
      <c r="C160" s="30">
        <v>11</v>
      </c>
      <c r="D160" s="30" t="str">
        <f t="shared" si="3"/>
        <v>Morning</v>
      </c>
      <c r="E160" s="30" t="b">
        <v>0</v>
      </c>
      <c r="F160" s="30" t="s">
        <v>24</v>
      </c>
      <c r="G160" s="30" t="s">
        <v>8</v>
      </c>
      <c r="H160" s="30">
        <v>0.22</v>
      </c>
      <c r="I160" s="30">
        <v>0.23</v>
      </c>
      <c r="J160" s="30">
        <v>0.51</v>
      </c>
      <c r="K160" s="30">
        <v>0.16</v>
      </c>
      <c r="L160" s="30">
        <v>3</v>
      </c>
      <c r="M160" s="30">
        <v>61</v>
      </c>
      <c r="N160" s="30">
        <v>64</v>
      </c>
    </row>
    <row r="161" spans="1:14">
      <c r="A161" s="30">
        <v>770</v>
      </c>
      <c r="B161" s="31">
        <v>40578</v>
      </c>
      <c r="C161" s="30">
        <v>12</v>
      </c>
      <c r="D161" s="30" t="str">
        <f t="shared" si="3"/>
        <v>Afternoon</v>
      </c>
      <c r="E161" s="30" t="b">
        <v>0</v>
      </c>
      <c r="F161" s="30" t="s">
        <v>24</v>
      </c>
      <c r="G161" s="30" t="s">
        <v>9</v>
      </c>
      <c r="H161" s="30">
        <v>0.24</v>
      </c>
      <c r="I161" s="30">
        <v>0.24</v>
      </c>
      <c r="J161" s="30">
        <v>0.48</v>
      </c>
      <c r="K161" s="30">
        <v>0.16</v>
      </c>
      <c r="L161" s="30">
        <v>8</v>
      </c>
      <c r="M161" s="30">
        <v>78</v>
      </c>
      <c r="N161" s="30">
        <v>86</v>
      </c>
    </row>
    <row r="162" spans="1:14">
      <c r="A162" s="30">
        <v>771</v>
      </c>
      <c r="B162" s="31">
        <v>40578</v>
      </c>
      <c r="C162" s="30">
        <v>13</v>
      </c>
      <c r="D162" s="30" t="str">
        <f t="shared" si="3"/>
        <v>Afternoon</v>
      </c>
      <c r="E162" s="30" t="b">
        <v>0</v>
      </c>
      <c r="F162" s="30" t="s">
        <v>24</v>
      </c>
      <c r="G162" s="30" t="s">
        <v>9</v>
      </c>
      <c r="H162" s="30">
        <v>0.26</v>
      </c>
      <c r="I162" s="30">
        <v>0.26</v>
      </c>
      <c r="J162" s="30">
        <v>0.5</v>
      </c>
      <c r="K162" s="30">
        <v>0.22</v>
      </c>
      <c r="L162" s="30">
        <v>9</v>
      </c>
      <c r="M162" s="30">
        <v>73</v>
      </c>
      <c r="N162" s="30">
        <v>82</v>
      </c>
    </row>
    <row r="163" spans="1:14">
      <c r="A163" s="30">
        <v>772</v>
      </c>
      <c r="B163" s="31">
        <v>40578</v>
      </c>
      <c r="C163" s="30">
        <v>14</v>
      </c>
      <c r="D163" s="30" t="str">
        <f t="shared" si="3"/>
        <v>Afternoon</v>
      </c>
      <c r="E163" s="30" t="b">
        <v>0</v>
      </c>
      <c r="F163" s="30" t="s">
        <v>24</v>
      </c>
      <c r="G163" s="30" t="s">
        <v>9</v>
      </c>
      <c r="H163" s="30">
        <v>0.28000000000000003</v>
      </c>
      <c r="I163" s="30">
        <v>0.27</v>
      </c>
      <c r="J163" s="30">
        <v>0.45</v>
      </c>
      <c r="K163" s="30">
        <v>0.16</v>
      </c>
      <c r="L163" s="30">
        <v>15</v>
      </c>
      <c r="M163" s="30">
        <v>76</v>
      </c>
      <c r="N163" s="30">
        <v>91</v>
      </c>
    </row>
    <row r="164" spans="1:14">
      <c r="A164" s="30">
        <v>773</v>
      </c>
      <c r="B164" s="31">
        <v>40578</v>
      </c>
      <c r="C164" s="30">
        <v>15</v>
      </c>
      <c r="D164" s="30" t="str">
        <f t="shared" si="3"/>
        <v>Afternoon</v>
      </c>
      <c r="E164" s="30" t="b">
        <v>0</v>
      </c>
      <c r="F164" s="30" t="s">
        <v>24</v>
      </c>
      <c r="G164" s="30" t="s">
        <v>9</v>
      </c>
      <c r="H164" s="30">
        <v>0.28000000000000003</v>
      </c>
      <c r="I164" s="30">
        <v>0.27</v>
      </c>
      <c r="J164" s="30">
        <v>0.48</v>
      </c>
      <c r="K164" s="30">
        <v>0.25</v>
      </c>
      <c r="L164" s="30">
        <v>9</v>
      </c>
      <c r="M164" s="30">
        <v>81</v>
      </c>
      <c r="N164" s="30">
        <v>90</v>
      </c>
    </row>
    <row r="165" spans="1:14">
      <c r="A165" s="30">
        <v>774</v>
      </c>
      <c r="B165" s="31">
        <v>40578</v>
      </c>
      <c r="C165" s="30">
        <v>16</v>
      </c>
      <c r="D165" s="30" t="str">
        <f t="shared" si="3"/>
        <v>Afternoon</v>
      </c>
      <c r="E165" s="30" t="b">
        <v>0</v>
      </c>
      <c r="F165" s="30" t="s">
        <v>24</v>
      </c>
      <c r="G165" s="30" t="s">
        <v>9</v>
      </c>
      <c r="H165" s="30">
        <v>0.3</v>
      </c>
      <c r="I165" s="30">
        <v>0.28999999999999998</v>
      </c>
      <c r="J165" s="30">
        <v>0.42</v>
      </c>
      <c r="K165" s="30">
        <v>0.22</v>
      </c>
      <c r="L165" s="30">
        <v>8</v>
      </c>
      <c r="M165" s="30">
        <v>91</v>
      </c>
      <c r="N165" s="30">
        <v>99</v>
      </c>
    </row>
    <row r="166" spans="1:14">
      <c r="A166" s="30">
        <v>775</v>
      </c>
      <c r="B166" s="31">
        <v>40578</v>
      </c>
      <c r="C166" s="30">
        <v>17</v>
      </c>
      <c r="D166" s="30" t="str">
        <f t="shared" si="3"/>
        <v>Afternoon</v>
      </c>
      <c r="E166" s="30" t="b">
        <v>0</v>
      </c>
      <c r="F166" s="30" t="s">
        <v>24</v>
      </c>
      <c r="G166" s="30" t="s">
        <v>9</v>
      </c>
      <c r="H166" s="30">
        <v>0.26</v>
      </c>
      <c r="I166" s="30">
        <v>0.27</v>
      </c>
      <c r="J166" s="30">
        <v>0.56000000000000005</v>
      </c>
      <c r="K166" s="30">
        <v>0.13</v>
      </c>
      <c r="L166" s="30">
        <v>10</v>
      </c>
      <c r="M166" s="30">
        <v>195</v>
      </c>
      <c r="N166" s="30">
        <v>205</v>
      </c>
    </row>
    <row r="167" spans="1:14">
      <c r="A167" s="30">
        <v>776</v>
      </c>
      <c r="B167" s="31">
        <v>40578</v>
      </c>
      <c r="C167" s="30">
        <v>18</v>
      </c>
      <c r="D167" s="30" t="str">
        <f t="shared" si="3"/>
        <v>Evening</v>
      </c>
      <c r="E167" s="30" t="b">
        <v>0</v>
      </c>
      <c r="F167" s="30" t="s">
        <v>24</v>
      </c>
      <c r="G167" s="30" t="s">
        <v>9</v>
      </c>
      <c r="H167" s="30">
        <v>0.24</v>
      </c>
      <c r="I167" s="30">
        <v>0.26</v>
      </c>
      <c r="J167" s="30">
        <v>0.6</v>
      </c>
      <c r="K167" s="30">
        <v>0.1</v>
      </c>
      <c r="L167" s="30">
        <v>3</v>
      </c>
      <c r="M167" s="30">
        <v>152</v>
      </c>
      <c r="N167" s="30">
        <v>155</v>
      </c>
    </row>
    <row r="168" spans="1:14">
      <c r="A168" s="30">
        <v>777</v>
      </c>
      <c r="B168" s="31">
        <v>40578</v>
      </c>
      <c r="C168" s="30">
        <v>19</v>
      </c>
      <c r="D168" s="30" t="str">
        <f t="shared" si="3"/>
        <v>Evening</v>
      </c>
      <c r="E168" s="30" t="b">
        <v>0</v>
      </c>
      <c r="F168" s="30" t="s">
        <v>24</v>
      </c>
      <c r="G168" s="30" t="s">
        <v>9</v>
      </c>
      <c r="H168" s="30">
        <v>0.24</v>
      </c>
      <c r="I168" s="30">
        <v>0.24</v>
      </c>
      <c r="J168" s="30">
        <v>0.65</v>
      </c>
      <c r="K168" s="30">
        <v>0.13</v>
      </c>
      <c r="L168" s="30">
        <v>1</v>
      </c>
      <c r="M168" s="30">
        <v>102</v>
      </c>
      <c r="N168" s="30">
        <v>103</v>
      </c>
    </row>
    <row r="169" spans="1:14">
      <c r="A169" s="30">
        <v>778</v>
      </c>
      <c r="B169" s="31">
        <v>40578</v>
      </c>
      <c r="C169" s="30">
        <v>20</v>
      </c>
      <c r="D169" s="30" t="str">
        <f t="shared" si="3"/>
        <v>Evening</v>
      </c>
      <c r="E169" s="30" t="b">
        <v>0</v>
      </c>
      <c r="F169" s="30" t="s">
        <v>24</v>
      </c>
      <c r="G169" s="30" t="s">
        <v>9</v>
      </c>
      <c r="H169" s="30">
        <v>0.24</v>
      </c>
      <c r="I169" s="30">
        <v>0.24</v>
      </c>
      <c r="J169" s="30">
        <v>0.65</v>
      </c>
      <c r="K169" s="30">
        <v>0.16</v>
      </c>
      <c r="L169" s="30">
        <v>2</v>
      </c>
      <c r="M169" s="30">
        <v>69</v>
      </c>
      <c r="N169" s="30">
        <v>71</v>
      </c>
    </row>
    <row r="170" spans="1:14">
      <c r="A170" s="30">
        <v>779</v>
      </c>
      <c r="B170" s="31">
        <v>40578</v>
      </c>
      <c r="C170" s="30">
        <v>21</v>
      </c>
      <c r="D170" s="30" t="str">
        <f t="shared" si="3"/>
        <v>Evening</v>
      </c>
      <c r="E170" s="30" t="b">
        <v>0</v>
      </c>
      <c r="F170" s="30" t="s">
        <v>24</v>
      </c>
      <c r="G170" s="30" t="s">
        <v>9</v>
      </c>
      <c r="H170" s="30">
        <v>0.24</v>
      </c>
      <c r="I170" s="30">
        <v>0.24</v>
      </c>
      <c r="J170" s="30">
        <v>0.7</v>
      </c>
      <c r="K170" s="30">
        <v>0.16</v>
      </c>
      <c r="L170" s="30">
        <v>2</v>
      </c>
      <c r="M170" s="30">
        <v>41</v>
      </c>
      <c r="N170" s="30">
        <v>43</v>
      </c>
    </row>
    <row r="171" spans="1:14">
      <c r="A171" s="30">
        <v>780</v>
      </c>
      <c r="B171" s="31">
        <v>40578</v>
      </c>
      <c r="C171" s="30">
        <v>22</v>
      </c>
      <c r="D171" s="30" t="str">
        <f t="shared" si="3"/>
        <v>Evening</v>
      </c>
      <c r="E171" s="30" t="b">
        <v>0</v>
      </c>
      <c r="F171" s="30" t="s">
        <v>24</v>
      </c>
      <c r="G171" s="30" t="s">
        <v>9</v>
      </c>
      <c r="H171" s="30">
        <v>0.24</v>
      </c>
      <c r="I171" s="30">
        <v>0.24</v>
      </c>
      <c r="J171" s="30">
        <v>0.65</v>
      </c>
      <c r="K171" s="30">
        <v>0.16</v>
      </c>
      <c r="L171" s="30">
        <v>1</v>
      </c>
      <c r="M171" s="30">
        <v>45</v>
      </c>
      <c r="N171" s="30">
        <v>46</v>
      </c>
    </row>
    <row r="172" spans="1:14">
      <c r="A172" s="30">
        <v>781</v>
      </c>
      <c r="B172" s="31">
        <v>40578</v>
      </c>
      <c r="C172" s="30">
        <v>23</v>
      </c>
      <c r="D172" s="30" t="str">
        <f t="shared" si="3"/>
        <v>Evening</v>
      </c>
      <c r="E172" s="30" t="b">
        <v>0</v>
      </c>
      <c r="F172" s="30" t="s">
        <v>24</v>
      </c>
      <c r="G172" s="30" t="s">
        <v>9</v>
      </c>
      <c r="H172" s="30">
        <v>0.24</v>
      </c>
      <c r="I172" s="30">
        <v>0.24</v>
      </c>
      <c r="J172" s="30">
        <v>0.7</v>
      </c>
      <c r="K172" s="30">
        <v>0.13</v>
      </c>
      <c r="L172" s="30">
        <v>1</v>
      </c>
      <c r="M172" s="30">
        <v>30</v>
      </c>
      <c r="N172" s="30">
        <v>31</v>
      </c>
    </row>
    <row r="173" spans="1:14">
      <c r="A173" s="30">
        <v>782</v>
      </c>
      <c r="B173" s="31">
        <v>40579</v>
      </c>
      <c r="C173" s="30">
        <v>0</v>
      </c>
      <c r="D173" s="30" t="str">
        <f t="shared" si="3"/>
        <v>Night</v>
      </c>
      <c r="E173" s="30" t="b">
        <v>0</v>
      </c>
      <c r="F173" s="30" t="s">
        <v>25</v>
      </c>
      <c r="G173" s="30" t="s">
        <v>9</v>
      </c>
      <c r="H173" s="30">
        <v>0.24</v>
      </c>
      <c r="I173" s="30">
        <v>0.24</v>
      </c>
      <c r="J173" s="30">
        <v>0.7</v>
      </c>
      <c r="K173" s="30">
        <v>0.16</v>
      </c>
      <c r="L173" s="30">
        <v>3</v>
      </c>
      <c r="M173" s="30">
        <v>36</v>
      </c>
      <c r="N173" s="30">
        <v>39</v>
      </c>
    </row>
    <row r="174" spans="1:14">
      <c r="A174" s="30">
        <v>783</v>
      </c>
      <c r="B174" s="31">
        <v>40579</v>
      </c>
      <c r="C174" s="30">
        <v>1</v>
      </c>
      <c r="D174" s="30" t="str">
        <f t="shared" si="3"/>
        <v>Night</v>
      </c>
      <c r="E174" s="30" t="b">
        <v>0</v>
      </c>
      <c r="F174" s="30" t="s">
        <v>25</v>
      </c>
      <c r="G174" s="30" t="s">
        <v>9</v>
      </c>
      <c r="H174" s="30">
        <v>0.24</v>
      </c>
      <c r="I174" s="30">
        <v>0.24</v>
      </c>
      <c r="J174" s="30">
        <v>0.65</v>
      </c>
      <c r="K174" s="30">
        <v>0.16</v>
      </c>
      <c r="L174" s="30">
        <v>1</v>
      </c>
      <c r="M174" s="30">
        <v>17</v>
      </c>
      <c r="N174" s="30">
        <v>18</v>
      </c>
    </row>
    <row r="175" spans="1:14">
      <c r="A175" s="30">
        <v>784</v>
      </c>
      <c r="B175" s="31">
        <v>40579</v>
      </c>
      <c r="C175" s="30">
        <v>2</v>
      </c>
      <c r="D175" s="30" t="str">
        <f t="shared" si="3"/>
        <v>Night</v>
      </c>
      <c r="E175" s="30" t="b">
        <v>0</v>
      </c>
      <c r="F175" s="30" t="s">
        <v>25</v>
      </c>
      <c r="G175" s="30" t="s">
        <v>9</v>
      </c>
      <c r="H175" s="30">
        <v>0.24</v>
      </c>
      <c r="I175" s="30">
        <v>0.24</v>
      </c>
      <c r="J175" s="30">
        <v>0.75</v>
      </c>
      <c r="K175" s="30">
        <v>0.16</v>
      </c>
      <c r="L175" s="30">
        <v>5</v>
      </c>
      <c r="M175" s="30">
        <v>12</v>
      </c>
      <c r="N175" s="30">
        <v>17</v>
      </c>
    </row>
    <row r="176" spans="1:14">
      <c r="A176" s="30">
        <v>785</v>
      </c>
      <c r="B176" s="31">
        <v>40579</v>
      </c>
      <c r="C176" s="30">
        <v>3</v>
      </c>
      <c r="D176" s="30" t="str">
        <f t="shared" si="3"/>
        <v>Night</v>
      </c>
      <c r="E176" s="30" t="b">
        <v>0</v>
      </c>
      <c r="F176" s="30" t="s">
        <v>25</v>
      </c>
      <c r="G176" s="30" t="s">
        <v>9</v>
      </c>
      <c r="H176" s="30">
        <v>0.24</v>
      </c>
      <c r="I176" s="30">
        <v>0.24</v>
      </c>
      <c r="J176" s="30">
        <v>0.75</v>
      </c>
      <c r="K176" s="30">
        <v>0.16</v>
      </c>
      <c r="L176" s="30">
        <v>1</v>
      </c>
      <c r="M176" s="30">
        <v>10</v>
      </c>
      <c r="N176" s="30">
        <v>11</v>
      </c>
    </row>
    <row r="177" spans="1:14">
      <c r="A177" s="30">
        <v>786</v>
      </c>
      <c r="B177" s="31">
        <v>40579</v>
      </c>
      <c r="C177" s="30">
        <v>4</v>
      </c>
      <c r="D177" s="30" t="str">
        <f t="shared" si="3"/>
        <v>Night</v>
      </c>
      <c r="E177" s="30" t="b">
        <v>0</v>
      </c>
      <c r="F177" s="30" t="s">
        <v>25</v>
      </c>
      <c r="G177" s="30" t="s">
        <v>10</v>
      </c>
      <c r="H177" s="30">
        <v>0.22</v>
      </c>
      <c r="I177" s="30">
        <v>0.23</v>
      </c>
      <c r="J177" s="30">
        <v>0.93</v>
      </c>
      <c r="K177" s="30">
        <v>0.13</v>
      </c>
      <c r="L177" s="30">
        <v>0</v>
      </c>
      <c r="M177" s="30">
        <v>8</v>
      </c>
      <c r="N177" s="30">
        <v>8</v>
      </c>
    </row>
    <row r="178" spans="1:14">
      <c r="A178" s="30">
        <v>787</v>
      </c>
      <c r="B178" s="31">
        <v>40579</v>
      </c>
      <c r="C178" s="30">
        <v>5</v>
      </c>
      <c r="D178" s="30" t="str">
        <f t="shared" si="3"/>
        <v>Night</v>
      </c>
      <c r="E178" s="30" t="b">
        <v>0</v>
      </c>
      <c r="F178" s="30" t="s">
        <v>25</v>
      </c>
      <c r="G178" s="30" t="s">
        <v>10</v>
      </c>
      <c r="H178" s="30">
        <v>0.2</v>
      </c>
      <c r="I178" s="30">
        <v>0.23</v>
      </c>
      <c r="J178" s="30">
        <v>1</v>
      </c>
      <c r="K178" s="30">
        <v>0.09</v>
      </c>
      <c r="L178" s="30">
        <v>0</v>
      </c>
      <c r="M178" s="30">
        <v>9</v>
      </c>
      <c r="N178" s="30">
        <v>9</v>
      </c>
    </row>
    <row r="179" spans="1:14">
      <c r="A179" s="30">
        <v>788</v>
      </c>
      <c r="B179" s="31">
        <v>40579</v>
      </c>
      <c r="C179" s="30">
        <v>6</v>
      </c>
      <c r="D179" s="30" t="str">
        <f t="shared" si="3"/>
        <v>Morning</v>
      </c>
      <c r="E179" s="30" t="b">
        <v>0</v>
      </c>
      <c r="F179" s="30" t="s">
        <v>25</v>
      </c>
      <c r="G179" s="30" t="s">
        <v>10</v>
      </c>
      <c r="H179" s="30">
        <v>0.2</v>
      </c>
      <c r="I179" s="30">
        <v>0.26</v>
      </c>
      <c r="J179" s="30">
        <v>1</v>
      </c>
      <c r="K179" s="30">
        <v>0</v>
      </c>
      <c r="L179" s="30">
        <v>0</v>
      </c>
      <c r="M179" s="30">
        <v>4</v>
      </c>
      <c r="N179" s="30">
        <v>4</v>
      </c>
    </row>
    <row r="180" spans="1:14">
      <c r="A180" s="30">
        <v>789</v>
      </c>
      <c r="B180" s="31">
        <v>40579</v>
      </c>
      <c r="C180" s="30">
        <v>7</v>
      </c>
      <c r="D180" s="30" t="str">
        <f t="shared" si="3"/>
        <v>Morning</v>
      </c>
      <c r="E180" s="30" t="b">
        <v>0</v>
      </c>
      <c r="F180" s="30" t="s">
        <v>25</v>
      </c>
      <c r="G180" s="30" t="s">
        <v>10</v>
      </c>
      <c r="H180" s="30">
        <v>0.22</v>
      </c>
      <c r="I180" s="30">
        <v>0.26</v>
      </c>
      <c r="J180" s="30">
        <v>0.93</v>
      </c>
      <c r="K180" s="30">
        <v>0.09</v>
      </c>
      <c r="L180" s="30">
        <v>0</v>
      </c>
      <c r="M180" s="30">
        <v>4</v>
      </c>
      <c r="N180" s="30">
        <v>4</v>
      </c>
    </row>
    <row r="181" spans="1:14">
      <c r="A181" s="30">
        <v>790</v>
      </c>
      <c r="B181" s="31">
        <v>40579</v>
      </c>
      <c r="C181" s="30">
        <v>8</v>
      </c>
      <c r="D181" s="30" t="str">
        <f t="shared" si="3"/>
        <v>Morning</v>
      </c>
      <c r="E181" s="30" t="b">
        <v>0</v>
      </c>
      <c r="F181" s="30" t="s">
        <v>25</v>
      </c>
      <c r="G181" s="30" t="s">
        <v>10</v>
      </c>
      <c r="H181" s="30">
        <v>0.2</v>
      </c>
      <c r="I181" s="30">
        <v>0.23</v>
      </c>
      <c r="J181" s="30">
        <v>1</v>
      </c>
      <c r="K181" s="30">
        <v>0.09</v>
      </c>
      <c r="L181" s="30">
        <v>0</v>
      </c>
      <c r="M181" s="30">
        <v>10</v>
      </c>
      <c r="N181" s="30">
        <v>10</v>
      </c>
    </row>
    <row r="182" spans="1:14">
      <c r="A182" s="30">
        <v>791</v>
      </c>
      <c r="B182" s="31">
        <v>40579</v>
      </c>
      <c r="C182" s="30">
        <v>9</v>
      </c>
      <c r="D182" s="30" t="str">
        <f t="shared" si="3"/>
        <v>Morning</v>
      </c>
      <c r="E182" s="30" t="b">
        <v>0</v>
      </c>
      <c r="F182" s="30" t="s">
        <v>25</v>
      </c>
      <c r="G182" s="30" t="s">
        <v>10</v>
      </c>
      <c r="H182" s="30">
        <v>0.2</v>
      </c>
      <c r="I182" s="30">
        <v>0.23</v>
      </c>
      <c r="J182" s="30">
        <v>1</v>
      </c>
      <c r="K182" s="30">
        <v>0.09</v>
      </c>
      <c r="L182" s="30">
        <v>3</v>
      </c>
      <c r="M182" s="30">
        <v>17</v>
      </c>
      <c r="N182" s="30">
        <v>20</v>
      </c>
    </row>
    <row r="183" spans="1:14">
      <c r="A183" s="30">
        <v>792</v>
      </c>
      <c r="B183" s="31">
        <v>40579</v>
      </c>
      <c r="C183" s="30">
        <v>10</v>
      </c>
      <c r="D183" s="30" t="str">
        <f t="shared" si="3"/>
        <v>Morning</v>
      </c>
      <c r="E183" s="30" t="b">
        <v>0</v>
      </c>
      <c r="F183" s="30" t="s">
        <v>25</v>
      </c>
      <c r="G183" s="30" t="s">
        <v>10</v>
      </c>
      <c r="H183" s="30">
        <v>0.2</v>
      </c>
      <c r="I183" s="30">
        <v>0.21</v>
      </c>
      <c r="J183" s="30">
        <v>1</v>
      </c>
      <c r="K183" s="30">
        <v>0.13</v>
      </c>
      <c r="L183" s="30">
        <v>3</v>
      </c>
      <c r="M183" s="30">
        <v>31</v>
      </c>
      <c r="N183" s="30">
        <v>34</v>
      </c>
    </row>
    <row r="184" spans="1:14">
      <c r="A184" s="30">
        <v>793</v>
      </c>
      <c r="B184" s="31">
        <v>40579</v>
      </c>
      <c r="C184" s="30">
        <v>11</v>
      </c>
      <c r="D184" s="30" t="str">
        <f t="shared" si="3"/>
        <v>Morning</v>
      </c>
      <c r="E184" s="30" t="b">
        <v>0</v>
      </c>
      <c r="F184" s="30" t="s">
        <v>25</v>
      </c>
      <c r="G184" s="30" t="s">
        <v>10</v>
      </c>
      <c r="H184" s="30">
        <v>0.22</v>
      </c>
      <c r="I184" s="30">
        <v>0.23</v>
      </c>
      <c r="J184" s="30">
        <v>1</v>
      </c>
      <c r="K184" s="30">
        <v>0.13</v>
      </c>
      <c r="L184" s="30">
        <v>1</v>
      </c>
      <c r="M184" s="30">
        <v>46</v>
      </c>
      <c r="N184" s="30">
        <v>47</v>
      </c>
    </row>
    <row r="185" spans="1:14">
      <c r="A185" s="30">
        <v>794</v>
      </c>
      <c r="B185" s="31">
        <v>40579</v>
      </c>
      <c r="C185" s="30">
        <v>12</v>
      </c>
      <c r="D185" s="30" t="str">
        <f t="shared" si="3"/>
        <v>Afternoon</v>
      </c>
      <c r="E185" s="30" t="b">
        <v>0</v>
      </c>
      <c r="F185" s="30" t="s">
        <v>25</v>
      </c>
      <c r="G185" s="30" t="s">
        <v>10</v>
      </c>
      <c r="H185" s="30">
        <v>0.22</v>
      </c>
      <c r="I185" s="30">
        <v>0.23</v>
      </c>
      <c r="J185" s="30">
        <v>1</v>
      </c>
      <c r="K185" s="30">
        <v>0.16</v>
      </c>
      <c r="L185" s="30">
        <v>10</v>
      </c>
      <c r="M185" s="30">
        <v>42</v>
      </c>
      <c r="N185" s="30">
        <v>52</v>
      </c>
    </row>
    <row r="186" spans="1:14">
      <c r="A186" s="30">
        <v>795</v>
      </c>
      <c r="B186" s="31">
        <v>40579</v>
      </c>
      <c r="C186" s="30">
        <v>13</v>
      </c>
      <c r="D186" s="30" t="str">
        <f t="shared" si="3"/>
        <v>Afternoon</v>
      </c>
      <c r="E186" s="30" t="b">
        <v>0</v>
      </c>
      <c r="F186" s="30" t="s">
        <v>25</v>
      </c>
      <c r="G186" s="30" t="s">
        <v>10</v>
      </c>
      <c r="H186" s="30">
        <v>0.22</v>
      </c>
      <c r="I186" s="30">
        <v>0.23</v>
      </c>
      <c r="J186" s="30">
        <v>1</v>
      </c>
      <c r="K186" s="30">
        <v>0.16</v>
      </c>
      <c r="L186" s="30">
        <v>10</v>
      </c>
      <c r="M186" s="30">
        <v>62</v>
      </c>
      <c r="N186" s="30">
        <v>72</v>
      </c>
    </row>
    <row r="187" spans="1:14">
      <c r="A187" s="30">
        <v>796</v>
      </c>
      <c r="B187" s="31">
        <v>40579</v>
      </c>
      <c r="C187" s="30">
        <v>14</v>
      </c>
      <c r="D187" s="30" t="str">
        <f t="shared" si="3"/>
        <v>Afternoon</v>
      </c>
      <c r="E187" s="30" t="b">
        <v>0</v>
      </c>
      <c r="F187" s="30" t="s">
        <v>25</v>
      </c>
      <c r="G187" s="30" t="s">
        <v>10</v>
      </c>
      <c r="H187" s="30">
        <v>0.22</v>
      </c>
      <c r="I187" s="30">
        <v>0.27</v>
      </c>
      <c r="J187" s="30">
        <v>1</v>
      </c>
      <c r="K187" s="30">
        <v>0</v>
      </c>
      <c r="L187" s="30">
        <v>5</v>
      </c>
      <c r="M187" s="30">
        <v>50</v>
      </c>
      <c r="N187" s="30">
        <v>55</v>
      </c>
    </row>
    <row r="188" spans="1:14">
      <c r="A188" s="30">
        <v>797</v>
      </c>
      <c r="B188" s="31">
        <v>40579</v>
      </c>
      <c r="C188" s="30">
        <v>15</v>
      </c>
      <c r="D188" s="30" t="str">
        <f t="shared" si="3"/>
        <v>Afternoon</v>
      </c>
      <c r="E188" s="30" t="b">
        <v>0</v>
      </c>
      <c r="F188" s="30" t="s">
        <v>25</v>
      </c>
      <c r="G188" s="30" t="s">
        <v>10</v>
      </c>
      <c r="H188" s="30">
        <v>0.22</v>
      </c>
      <c r="I188" s="30">
        <v>0.27</v>
      </c>
      <c r="J188" s="30">
        <v>1</v>
      </c>
      <c r="K188" s="30">
        <v>0</v>
      </c>
      <c r="L188" s="30">
        <v>11</v>
      </c>
      <c r="M188" s="30">
        <v>49</v>
      </c>
      <c r="N188" s="30">
        <v>60</v>
      </c>
    </row>
    <row r="189" spans="1:14">
      <c r="A189" s="30">
        <v>798</v>
      </c>
      <c r="B189" s="31">
        <v>40579</v>
      </c>
      <c r="C189" s="30">
        <v>16</v>
      </c>
      <c r="D189" s="30" t="str">
        <f t="shared" si="3"/>
        <v>Afternoon</v>
      </c>
      <c r="E189" s="30" t="b">
        <v>0</v>
      </c>
      <c r="F189" s="30" t="s">
        <v>25</v>
      </c>
      <c r="G189" s="30" t="s">
        <v>10</v>
      </c>
      <c r="H189" s="30">
        <v>0.22</v>
      </c>
      <c r="I189" s="30">
        <v>0.23</v>
      </c>
      <c r="J189" s="30">
        <v>1</v>
      </c>
      <c r="K189" s="30">
        <v>0.13</v>
      </c>
      <c r="L189" s="30">
        <v>8</v>
      </c>
      <c r="M189" s="30">
        <v>63</v>
      </c>
      <c r="N189" s="30">
        <v>71</v>
      </c>
    </row>
    <row r="190" spans="1:14">
      <c r="A190" s="30">
        <v>799</v>
      </c>
      <c r="B190" s="31">
        <v>40579</v>
      </c>
      <c r="C190" s="30">
        <v>17</v>
      </c>
      <c r="D190" s="30" t="str">
        <f t="shared" si="3"/>
        <v>Afternoon</v>
      </c>
      <c r="E190" s="30" t="b">
        <v>0</v>
      </c>
      <c r="F190" s="30" t="s">
        <v>25</v>
      </c>
      <c r="G190" s="30" t="s">
        <v>9</v>
      </c>
      <c r="H190" s="30">
        <v>0.24</v>
      </c>
      <c r="I190" s="30">
        <v>0.21</v>
      </c>
      <c r="J190" s="30">
        <v>1</v>
      </c>
      <c r="K190" s="30">
        <v>0.28000000000000003</v>
      </c>
      <c r="L190" s="30">
        <v>14</v>
      </c>
      <c r="M190" s="30">
        <v>64</v>
      </c>
      <c r="N190" s="30">
        <v>78</v>
      </c>
    </row>
    <row r="191" spans="1:14">
      <c r="A191" s="30">
        <v>800</v>
      </c>
      <c r="B191" s="31">
        <v>40579</v>
      </c>
      <c r="C191" s="30">
        <v>18</v>
      </c>
      <c r="D191" s="30" t="str">
        <f t="shared" si="3"/>
        <v>Evening</v>
      </c>
      <c r="E191" s="30" t="b">
        <v>0</v>
      </c>
      <c r="F191" s="30" t="s">
        <v>25</v>
      </c>
      <c r="G191" s="30" t="s">
        <v>9</v>
      </c>
      <c r="H191" s="30">
        <v>0.28000000000000003</v>
      </c>
      <c r="I191" s="30">
        <v>0.24</v>
      </c>
      <c r="J191" s="30">
        <v>0.93</v>
      </c>
      <c r="K191" s="30">
        <v>0.45</v>
      </c>
      <c r="L191" s="30">
        <v>2</v>
      </c>
      <c r="M191" s="30">
        <v>81</v>
      </c>
      <c r="N191" s="30">
        <v>83</v>
      </c>
    </row>
    <row r="192" spans="1:14">
      <c r="A192" s="30">
        <v>801</v>
      </c>
      <c r="B192" s="31">
        <v>40579</v>
      </c>
      <c r="C192" s="30">
        <v>19</v>
      </c>
      <c r="D192" s="30" t="str">
        <f t="shared" si="3"/>
        <v>Evening</v>
      </c>
      <c r="E192" s="30" t="b">
        <v>0</v>
      </c>
      <c r="F192" s="30" t="s">
        <v>25</v>
      </c>
      <c r="G192" s="30" t="s">
        <v>9</v>
      </c>
      <c r="H192" s="30">
        <v>0.28000000000000003</v>
      </c>
      <c r="I192" s="30">
        <v>0.24</v>
      </c>
      <c r="J192" s="30">
        <v>0.93</v>
      </c>
      <c r="K192" s="30">
        <v>0.45</v>
      </c>
      <c r="L192" s="30">
        <v>6</v>
      </c>
      <c r="M192" s="30">
        <v>78</v>
      </c>
      <c r="N192" s="30">
        <v>84</v>
      </c>
    </row>
    <row r="193" spans="1:14">
      <c r="A193" s="30">
        <v>802</v>
      </c>
      <c r="B193" s="31">
        <v>40579</v>
      </c>
      <c r="C193" s="30">
        <v>20</v>
      </c>
      <c r="D193" s="30" t="str">
        <f t="shared" si="3"/>
        <v>Evening</v>
      </c>
      <c r="E193" s="30" t="b">
        <v>0</v>
      </c>
      <c r="F193" s="30" t="s">
        <v>25</v>
      </c>
      <c r="G193" s="30" t="s">
        <v>8</v>
      </c>
      <c r="H193" s="30">
        <v>0.3</v>
      </c>
      <c r="I193" s="30">
        <v>0.28999999999999998</v>
      </c>
      <c r="J193" s="30">
        <v>0.87</v>
      </c>
      <c r="K193" s="30">
        <v>0.25</v>
      </c>
      <c r="L193" s="30">
        <v>5</v>
      </c>
      <c r="M193" s="30">
        <v>64</v>
      </c>
      <c r="N193" s="30">
        <v>69</v>
      </c>
    </row>
    <row r="194" spans="1:14">
      <c r="A194" s="30">
        <v>803</v>
      </c>
      <c r="B194" s="31">
        <v>40579</v>
      </c>
      <c r="C194" s="30">
        <v>21</v>
      </c>
      <c r="D194" s="30" t="str">
        <f t="shared" ref="D194:D257" si="4">IF($C194&lt;6,"Night",IF($C194&lt;12,"Morning",IF($C194&lt;18,"Afternoon","Evening")))</f>
        <v>Evening</v>
      </c>
      <c r="E194" s="30" t="b">
        <v>0</v>
      </c>
      <c r="F194" s="30" t="s">
        <v>25</v>
      </c>
      <c r="G194" s="30" t="s">
        <v>8</v>
      </c>
      <c r="H194" s="30">
        <v>0.26</v>
      </c>
      <c r="I194" s="30">
        <v>0.26</v>
      </c>
      <c r="J194" s="30">
        <v>1</v>
      </c>
      <c r="K194" s="30">
        <v>0.19</v>
      </c>
      <c r="L194" s="30">
        <v>3</v>
      </c>
      <c r="M194" s="30">
        <v>53</v>
      </c>
      <c r="N194" s="30">
        <v>56</v>
      </c>
    </row>
    <row r="195" spans="1:14">
      <c r="A195" s="30">
        <v>804</v>
      </c>
      <c r="B195" s="31">
        <v>40579</v>
      </c>
      <c r="C195" s="30">
        <v>22</v>
      </c>
      <c r="D195" s="30" t="str">
        <f t="shared" si="4"/>
        <v>Evening</v>
      </c>
      <c r="E195" s="30" t="b">
        <v>0</v>
      </c>
      <c r="F195" s="30" t="s">
        <v>25</v>
      </c>
      <c r="G195" s="30" t="s">
        <v>8</v>
      </c>
      <c r="H195" s="30">
        <v>0.26</v>
      </c>
      <c r="I195" s="30">
        <v>0.27</v>
      </c>
      <c r="J195" s="30">
        <v>0.93</v>
      </c>
      <c r="K195" s="30">
        <v>0.13</v>
      </c>
      <c r="L195" s="30">
        <v>2</v>
      </c>
      <c r="M195" s="30">
        <v>43</v>
      </c>
      <c r="N195" s="30">
        <v>45</v>
      </c>
    </row>
    <row r="196" spans="1:14">
      <c r="A196" s="30">
        <v>805</v>
      </c>
      <c r="B196" s="31">
        <v>40579</v>
      </c>
      <c r="C196" s="30">
        <v>23</v>
      </c>
      <c r="D196" s="30" t="str">
        <f t="shared" si="4"/>
        <v>Evening</v>
      </c>
      <c r="E196" s="30" t="b">
        <v>0</v>
      </c>
      <c r="F196" s="30" t="s">
        <v>25</v>
      </c>
      <c r="G196" s="30" t="s">
        <v>8</v>
      </c>
      <c r="H196" s="30">
        <v>0.26</v>
      </c>
      <c r="I196" s="30">
        <v>0.26</v>
      </c>
      <c r="J196" s="30">
        <v>0.93</v>
      </c>
      <c r="K196" s="30">
        <v>0.22</v>
      </c>
      <c r="L196" s="30">
        <v>7</v>
      </c>
      <c r="M196" s="30">
        <v>52</v>
      </c>
      <c r="N196" s="30">
        <v>59</v>
      </c>
    </row>
    <row r="197" spans="1:14">
      <c r="A197" s="30">
        <v>806</v>
      </c>
      <c r="B197" s="31">
        <v>40580</v>
      </c>
      <c r="C197" s="30">
        <v>0</v>
      </c>
      <c r="D197" s="30" t="str">
        <f t="shared" si="4"/>
        <v>Night</v>
      </c>
      <c r="E197" s="30" t="b">
        <v>0</v>
      </c>
      <c r="F197" s="30" t="s">
        <v>19</v>
      </c>
      <c r="G197" s="30" t="s">
        <v>8</v>
      </c>
      <c r="H197" s="30">
        <v>0.26</v>
      </c>
      <c r="I197" s="30">
        <v>0.26</v>
      </c>
      <c r="J197" s="30">
        <v>0.7</v>
      </c>
      <c r="K197" s="30">
        <v>0.19</v>
      </c>
      <c r="L197" s="30">
        <v>2</v>
      </c>
      <c r="M197" s="30">
        <v>37</v>
      </c>
      <c r="N197" s="30">
        <v>39</v>
      </c>
    </row>
    <row r="198" spans="1:14">
      <c r="A198" s="30">
        <v>807</v>
      </c>
      <c r="B198" s="31">
        <v>40580</v>
      </c>
      <c r="C198" s="30">
        <v>1</v>
      </c>
      <c r="D198" s="30" t="str">
        <f t="shared" si="4"/>
        <v>Night</v>
      </c>
      <c r="E198" s="30" t="b">
        <v>0</v>
      </c>
      <c r="F198" s="30" t="s">
        <v>19</v>
      </c>
      <c r="G198" s="30" t="s">
        <v>8</v>
      </c>
      <c r="H198" s="30">
        <v>0.26</v>
      </c>
      <c r="I198" s="30">
        <v>0.23</v>
      </c>
      <c r="J198" s="30">
        <v>0.65</v>
      </c>
      <c r="K198" s="30">
        <v>0.42</v>
      </c>
      <c r="L198" s="30">
        <v>4</v>
      </c>
      <c r="M198" s="30">
        <v>40</v>
      </c>
      <c r="N198" s="30">
        <v>44</v>
      </c>
    </row>
    <row r="199" spans="1:14">
      <c r="A199" s="30">
        <v>808</v>
      </c>
      <c r="B199" s="31">
        <v>40580</v>
      </c>
      <c r="C199" s="30">
        <v>2</v>
      </c>
      <c r="D199" s="30" t="str">
        <f t="shared" si="4"/>
        <v>Night</v>
      </c>
      <c r="E199" s="30" t="b">
        <v>0</v>
      </c>
      <c r="F199" s="30" t="s">
        <v>19</v>
      </c>
      <c r="G199" s="30" t="s">
        <v>8</v>
      </c>
      <c r="H199" s="30">
        <v>0.26</v>
      </c>
      <c r="I199" s="30">
        <v>0.23</v>
      </c>
      <c r="J199" s="30">
        <v>0.6</v>
      </c>
      <c r="K199" s="30">
        <v>0.33</v>
      </c>
      <c r="L199" s="30">
        <v>0</v>
      </c>
      <c r="M199" s="30">
        <v>20</v>
      </c>
      <c r="N199" s="30">
        <v>20</v>
      </c>
    </row>
    <row r="200" spans="1:14">
      <c r="A200" s="30">
        <v>809</v>
      </c>
      <c r="B200" s="31">
        <v>40580</v>
      </c>
      <c r="C200" s="30">
        <v>3</v>
      </c>
      <c r="D200" s="30" t="str">
        <f t="shared" si="4"/>
        <v>Night</v>
      </c>
      <c r="E200" s="30" t="b">
        <v>0</v>
      </c>
      <c r="F200" s="30" t="s">
        <v>19</v>
      </c>
      <c r="G200" s="30" t="s">
        <v>8</v>
      </c>
      <c r="H200" s="30">
        <v>0.26</v>
      </c>
      <c r="I200" s="30">
        <v>0.28999999999999998</v>
      </c>
      <c r="J200" s="30">
        <v>0.6</v>
      </c>
      <c r="K200" s="30">
        <v>0.09</v>
      </c>
      <c r="L200" s="30">
        <v>3</v>
      </c>
      <c r="M200" s="30">
        <v>10</v>
      </c>
      <c r="N200" s="30">
        <v>13</v>
      </c>
    </row>
    <row r="201" spans="1:14">
      <c r="A201" s="30">
        <v>810</v>
      </c>
      <c r="B201" s="31">
        <v>40580</v>
      </c>
      <c r="C201" s="30">
        <v>4</v>
      </c>
      <c r="D201" s="30" t="str">
        <f t="shared" si="4"/>
        <v>Night</v>
      </c>
      <c r="E201" s="30" t="b">
        <v>0</v>
      </c>
      <c r="F201" s="30" t="s">
        <v>19</v>
      </c>
      <c r="G201" s="30" t="s">
        <v>8</v>
      </c>
      <c r="H201" s="30">
        <v>0.26</v>
      </c>
      <c r="I201" s="30">
        <v>0.23</v>
      </c>
      <c r="J201" s="30">
        <v>0.6</v>
      </c>
      <c r="K201" s="30">
        <v>0.36</v>
      </c>
      <c r="L201" s="30">
        <v>0</v>
      </c>
      <c r="M201" s="30">
        <v>2</v>
      </c>
      <c r="N201" s="30">
        <v>2</v>
      </c>
    </row>
    <row r="202" spans="1:14">
      <c r="A202" s="30">
        <v>811</v>
      </c>
      <c r="B202" s="31">
        <v>40580</v>
      </c>
      <c r="C202" s="30">
        <v>5</v>
      </c>
      <c r="D202" s="30" t="str">
        <f t="shared" si="4"/>
        <v>Night</v>
      </c>
      <c r="E202" s="30" t="b">
        <v>0</v>
      </c>
      <c r="F202" s="30" t="s">
        <v>19</v>
      </c>
      <c r="G202" s="30" t="s">
        <v>8</v>
      </c>
      <c r="H202" s="30">
        <v>0.26</v>
      </c>
      <c r="I202" s="30">
        <v>0.26</v>
      </c>
      <c r="J202" s="30">
        <v>0.6</v>
      </c>
      <c r="K202" s="30">
        <v>0.22</v>
      </c>
      <c r="L202" s="30">
        <v>0</v>
      </c>
      <c r="M202" s="30">
        <v>1</v>
      </c>
      <c r="N202" s="30">
        <v>1</v>
      </c>
    </row>
    <row r="203" spans="1:14">
      <c r="A203" s="30">
        <v>812</v>
      </c>
      <c r="B203" s="31">
        <v>40580</v>
      </c>
      <c r="C203" s="30">
        <v>6</v>
      </c>
      <c r="D203" s="30" t="str">
        <f t="shared" si="4"/>
        <v>Morning</v>
      </c>
      <c r="E203" s="30" t="b">
        <v>0</v>
      </c>
      <c r="F203" s="30" t="s">
        <v>19</v>
      </c>
      <c r="G203" s="30" t="s">
        <v>8</v>
      </c>
      <c r="H203" s="30">
        <v>0.26</v>
      </c>
      <c r="I203" s="30">
        <v>0.26</v>
      </c>
      <c r="J203" s="30">
        <v>0.6</v>
      </c>
      <c r="K203" s="30">
        <v>0.22</v>
      </c>
      <c r="L203" s="30">
        <v>0</v>
      </c>
      <c r="M203" s="30">
        <v>1</v>
      </c>
      <c r="N203" s="30">
        <v>1</v>
      </c>
    </row>
    <row r="204" spans="1:14">
      <c r="A204" s="30">
        <v>813</v>
      </c>
      <c r="B204" s="31">
        <v>40580</v>
      </c>
      <c r="C204" s="30">
        <v>7</v>
      </c>
      <c r="D204" s="30" t="str">
        <f t="shared" si="4"/>
        <v>Morning</v>
      </c>
      <c r="E204" s="30" t="b">
        <v>0</v>
      </c>
      <c r="F204" s="30" t="s">
        <v>19</v>
      </c>
      <c r="G204" s="30" t="s">
        <v>8</v>
      </c>
      <c r="H204" s="30">
        <v>0.24</v>
      </c>
      <c r="I204" s="30">
        <v>0.24</v>
      </c>
      <c r="J204" s="30">
        <v>0.65</v>
      </c>
      <c r="K204" s="30">
        <v>0.16</v>
      </c>
      <c r="L204" s="30">
        <v>0</v>
      </c>
      <c r="M204" s="30">
        <v>8</v>
      </c>
      <c r="N204" s="30">
        <v>8</v>
      </c>
    </row>
    <row r="205" spans="1:14">
      <c r="A205" s="30">
        <v>814</v>
      </c>
      <c r="B205" s="31">
        <v>40580</v>
      </c>
      <c r="C205" s="30">
        <v>8</v>
      </c>
      <c r="D205" s="30" t="str">
        <f t="shared" si="4"/>
        <v>Morning</v>
      </c>
      <c r="E205" s="30" t="b">
        <v>0</v>
      </c>
      <c r="F205" s="30" t="s">
        <v>19</v>
      </c>
      <c r="G205" s="30" t="s">
        <v>8</v>
      </c>
      <c r="H205" s="30">
        <v>0.24</v>
      </c>
      <c r="I205" s="30">
        <v>0.26</v>
      </c>
      <c r="J205" s="30">
        <v>0.65</v>
      </c>
      <c r="K205" s="30">
        <v>0.1</v>
      </c>
      <c r="L205" s="30">
        <v>2</v>
      </c>
      <c r="M205" s="30">
        <v>21</v>
      </c>
      <c r="N205" s="30">
        <v>23</v>
      </c>
    </row>
    <row r="206" spans="1:14">
      <c r="A206" s="30">
        <v>815</v>
      </c>
      <c r="B206" s="31">
        <v>40580</v>
      </c>
      <c r="C206" s="30">
        <v>9</v>
      </c>
      <c r="D206" s="30" t="str">
        <f t="shared" si="4"/>
        <v>Morning</v>
      </c>
      <c r="E206" s="30" t="b">
        <v>0</v>
      </c>
      <c r="F206" s="30" t="s">
        <v>19</v>
      </c>
      <c r="G206" s="30" t="s">
        <v>8</v>
      </c>
      <c r="H206" s="30">
        <v>0.28000000000000003</v>
      </c>
      <c r="I206" s="30">
        <v>0.28999999999999998</v>
      </c>
      <c r="J206" s="30">
        <v>0.56000000000000005</v>
      </c>
      <c r="K206" s="30">
        <v>0.1</v>
      </c>
      <c r="L206" s="30">
        <v>7</v>
      </c>
      <c r="M206" s="30">
        <v>38</v>
      </c>
      <c r="N206" s="30">
        <v>45</v>
      </c>
    </row>
    <row r="207" spans="1:14">
      <c r="A207" s="30">
        <v>816</v>
      </c>
      <c r="B207" s="31">
        <v>40580</v>
      </c>
      <c r="C207" s="30">
        <v>10</v>
      </c>
      <c r="D207" s="30" t="str">
        <f t="shared" si="4"/>
        <v>Morning</v>
      </c>
      <c r="E207" s="30" t="b">
        <v>0</v>
      </c>
      <c r="F207" s="30" t="s">
        <v>19</v>
      </c>
      <c r="G207" s="30" t="s">
        <v>8</v>
      </c>
      <c r="H207" s="30">
        <v>0.3</v>
      </c>
      <c r="I207" s="30">
        <v>0.28999999999999998</v>
      </c>
      <c r="J207" s="30">
        <v>0.52</v>
      </c>
      <c r="K207" s="30">
        <v>0.25</v>
      </c>
      <c r="L207" s="30">
        <v>15</v>
      </c>
      <c r="M207" s="30">
        <v>74</v>
      </c>
      <c r="N207" s="30">
        <v>89</v>
      </c>
    </row>
    <row r="208" spans="1:14">
      <c r="A208" s="30">
        <v>817</v>
      </c>
      <c r="B208" s="31">
        <v>40580</v>
      </c>
      <c r="C208" s="30">
        <v>11</v>
      </c>
      <c r="D208" s="30" t="str">
        <f t="shared" si="4"/>
        <v>Morning</v>
      </c>
      <c r="E208" s="30" t="b">
        <v>0</v>
      </c>
      <c r="F208" s="30" t="s">
        <v>19</v>
      </c>
      <c r="G208" s="30" t="s">
        <v>8</v>
      </c>
      <c r="H208" s="30">
        <v>0.32</v>
      </c>
      <c r="I208" s="30">
        <v>0.3</v>
      </c>
      <c r="J208" s="30">
        <v>0.49</v>
      </c>
      <c r="K208" s="30">
        <v>0.25</v>
      </c>
      <c r="L208" s="30">
        <v>28</v>
      </c>
      <c r="M208" s="30">
        <v>89</v>
      </c>
      <c r="N208" s="30">
        <v>117</v>
      </c>
    </row>
    <row r="209" spans="1:14">
      <c r="A209" s="30">
        <v>818</v>
      </c>
      <c r="B209" s="31">
        <v>40580</v>
      </c>
      <c r="C209" s="30">
        <v>12</v>
      </c>
      <c r="D209" s="30" t="str">
        <f t="shared" si="4"/>
        <v>Afternoon</v>
      </c>
      <c r="E209" s="30" t="b">
        <v>0</v>
      </c>
      <c r="F209" s="30" t="s">
        <v>19</v>
      </c>
      <c r="G209" s="30" t="s">
        <v>8</v>
      </c>
      <c r="H209" s="30">
        <v>0.34</v>
      </c>
      <c r="I209" s="30">
        <v>0.33</v>
      </c>
      <c r="J209" s="30">
        <v>0.46</v>
      </c>
      <c r="K209" s="30">
        <v>0</v>
      </c>
      <c r="L209" s="30">
        <v>48</v>
      </c>
      <c r="M209" s="30">
        <v>126</v>
      </c>
      <c r="N209" s="30">
        <v>174</v>
      </c>
    </row>
    <row r="210" spans="1:14">
      <c r="A210" s="30">
        <v>819</v>
      </c>
      <c r="B210" s="31">
        <v>40580</v>
      </c>
      <c r="C210" s="30">
        <v>13</v>
      </c>
      <c r="D210" s="30" t="str">
        <f t="shared" si="4"/>
        <v>Afternoon</v>
      </c>
      <c r="E210" s="30" t="b">
        <v>0</v>
      </c>
      <c r="F210" s="30" t="s">
        <v>19</v>
      </c>
      <c r="G210" s="30" t="s">
        <v>8</v>
      </c>
      <c r="H210" s="30">
        <v>0.34</v>
      </c>
      <c r="I210" s="30">
        <v>0.36</v>
      </c>
      <c r="J210" s="30">
        <v>0.46</v>
      </c>
      <c r="K210" s="30">
        <v>0</v>
      </c>
      <c r="L210" s="30">
        <v>47</v>
      </c>
      <c r="M210" s="30">
        <v>135</v>
      </c>
      <c r="N210" s="30">
        <v>182</v>
      </c>
    </row>
    <row r="211" spans="1:14">
      <c r="A211" s="30">
        <v>820</v>
      </c>
      <c r="B211" s="31">
        <v>40580</v>
      </c>
      <c r="C211" s="30">
        <v>14</v>
      </c>
      <c r="D211" s="30" t="str">
        <f t="shared" si="4"/>
        <v>Afternoon</v>
      </c>
      <c r="E211" s="30" t="b">
        <v>0</v>
      </c>
      <c r="F211" s="30" t="s">
        <v>19</v>
      </c>
      <c r="G211" s="30" t="s">
        <v>8</v>
      </c>
      <c r="H211" s="30">
        <v>0.34</v>
      </c>
      <c r="I211" s="30">
        <v>0.35</v>
      </c>
      <c r="J211" s="30">
        <v>0.46</v>
      </c>
      <c r="K211" s="30">
        <v>0.09</v>
      </c>
      <c r="L211" s="30">
        <v>47</v>
      </c>
      <c r="M211" s="30">
        <v>114</v>
      </c>
      <c r="N211" s="30">
        <v>161</v>
      </c>
    </row>
    <row r="212" spans="1:14">
      <c r="A212" s="30">
        <v>821</v>
      </c>
      <c r="B212" s="31">
        <v>40580</v>
      </c>
      <c r="C212" s="30">
        <v>15</v>
      </c>
      <c r="D212" s="30" t="str">
        <f t="shared" si="4"/>
        <v>Afternoon</v>
      </c>
      <c r="E212" s="30" t="b">
        <v>0</v>
      </c>
      <c r="F212" s="30" t="s">
        <v>19</v>
      </c>
      <c r="G212" s="30" t="s">
        <v>8</v>
      </c>
      <c r="H212" s="30">
        <v>0.34</v>
      </c>
      <c r="I212" s="30">
        <v>0.35</v>
      </c>
      <c r="J212" s="30">
        <v>0.46</v>
      </c>
      <c r="K212" s="30">
        <v>0.09</v>
      </c>
      <c r="L212" s="30">
        <v>52</v>
      </c>
      <c r="M212" s="30">
        <v>130</v>
      </c>
      <c r="N212" s="30">
        <v>182</v>
      </c>
    </row>
    <row r="213" spans="1:14">
      <c r="A213" s="30">
        <v>822</v>
      </c>
      <c r="B213" s="31">
        <v>40580</v>
      </c>
      <c r="C213" s="30">
        <v>16</v>
      </c>
      <c r="D213" s="30" t="str">
        <f t="shared" si="4"/>
        <v>Afternoon</v>
      </c>
      <c r="E213" s="30" t="b">
        <v>0</v>
      </c>
      <c r="F213" s="30" t="s">
        <v>19</v>
      </c>
      <c r="G213" s="30" t="s">
        <v>8</v>
      </c>
      <c r="H213" s="30">
        <v>0.34</v>
      </c>
      <c r="I213" s="30">
        <v>0.35</v>
      </c>
      <c r="J213" s="30">
        <v>0.49</v>
      </c>
      <c r="K213" s="30">
        <v>0.1</v>
      </c>
      <c r="L213" s="30">
        <v>42</v>
      </c>
      <c r="M213" s="30">
        <v>115</v>
      </c>
      <c r="N213" s="30">
        <v>157</v>
      </c>
    </row>
    <row r="214" spans="1:14">
      <c r="A214" s="30">
        <v>823</v>
      </c>
      <c r="B214" s="31">
        <v>40580</v>
      </c>
      <c r="C214" s="30">
        <v>17</v>
      </c>
      <c r="D214" s="30" t="str">
        <f t="shared" si="4"/>
        <v>Afternoon</v>
      </c>
      <c r="E214" s="30" t="b">
        <v>0</v>
      </c>
      <c r="F214" s="30" t="s">
        <v>19</v>
      </c>
      <c r="G214" s="30" t="s">
        <v>8</v>
      </c>
      <c r="H214" s="30">
        <v>0.34</v>
      </c>
      <c r="I214" s="30">
        <v>0.36</v>
      </c>
      <c r="J214" s="30">
        <v>0.46</v>
      </c>
      <c r="K214" s="30">
        <v>0</v>
      </c>
      <c r="L214" s="30">
        <v>24</v>
      </c>
      <c r="M214" s="30">
        <v>97</v>
      </c>
      <c r="N214" s="30">
        <v>121</v>
      </c>
    </row>
    <row r="215" spans="1:14">
      <c r="A215" s="30">
        <v>824</v>
      </c>
      <c r="B215" s="31">
        <v>40580</v>
      </c>
      <c r="C215" s="30">
        <v>18</v>
      </c>
      <c r="D215" s="30" t="str">
        <f t="shared" si="4"/>
        <v>Evening</v>
      </c>
      <c r="E215" s="30" t="b">
        <v>0</v>
      </c>
      <c r="F215" s="30" t="s">
        <v>19</v>
      </c>
      <c r="G215" s="30" t="s">
        <v>8</v>
      </c>
      <c r="H215" s="30">
        <v>0.3</v>
      </c>
      <c r="I215" s="30">
        <v>0.3</v>
      </c>
      <c r="J215" s="30">
        <v>0.56000000000000005</v>
      </c>
      <c r="K215" s="30">
        <v>0.16</v>
      </c>
      <c r="L215" s="30">
        <v>13</v>
      </c>
      <c r="M215" s="30">
        <v>65</v>
      </c>
      <c r="N215" s="30">
        <v>78</v>
      </c>
    </row>
    <row r="216" spans="1:14">
      <c r="A216" s="30">
        <v>825</v>
      </c>
      <c r="B216" s="31">
        <v>40580</v>
      </c>
      <c r="C216" s="30">
        <v>19</v>
      </c>
      <c r="D216" s="30" t="str">
        <f t="shared" si="4"/>
        <v>Evening</v>
      </c>
      <c r="E216" s="30" t="b">
        <v>0</v>
      </c>
      <c r="F216" s="30" t="s">
        <v>19</v>
      </c>
      <c r="G216" s="30" t="s">
        <v>8</v>
      </c>
      <c r="H216" s="30">
        <v>0.28000000000000003</v>
      </c>
      <c r="I216" s="30">
        <v>0.28999999999999998</v>
      </c>
      <c r="J216" s="30">
        <v>0.61</v>
      </c>
      <c r="K216" s="30">
        <v>0.13</v>
      </c>
      <c r="L216" s="30">
        <v>1</v>
      </c>
      <c r="M216" s="30">
        <v>20</v>
      </c>
      <c r="N216" s="30">
        <v>21</v>
      </c>
    </row>
    <row r="217" spans="1:14">
      <c r="A217" s="30">
        <v>826</v>
      </c>
      <c r="B217" s="31">
        <v>40580</v>
      </c>
      <c r="C217" s="30">
        <v>20</v>
      </c>
      <c r="D217" s="30" t="str">
        <f t="shared" si="4"/>
        <v>Evening</v>
      </c>
      <c r="E217" s="30" t="b">
        <v>0</v>
      </c>
      <c r="F217" s="30" t="s">
        <v>19</v>
      </c>
      <c r="G217" s="30" t="s">
        <v>8</v>
      </c>
      <c r="H217" s="30">
        <v>0.28000000000000003</v>
      </c>
      <c r="I217" s="30">
        <v>0.28999999999999998</v>
      </c>
      <c r="J217" s="30">
        <v>0.61</v>
      </c>
      <c r="K217" s="30">
        <v>0.1</v>
      </c>
      <c r="L217" s="30">
        <v>5</v>
      </c>
      <c r="M217" s="30">
        <v>21</v>
      </c>
      <c r="N217" s="30">
        <v>26</v>
      </c>
    </row>
    <row r="218" spans="1:14">
      <c r="A218" s="30">
        <v>827</v>
      </c>
      <c r="B218" s="31">
        <v>40580</v>
      </c>
      <c r="C218" s="30">
        <v>21</v>
      </c>
      <c r="D218" s="30" t="str">
        <f t="shared" si="4"/>
        <v>Evening</v>
      </c>
      <c r="E218" s="30" t="b">
        <v>0</v>
      </c>
      <c r="F218" s="30" t="s">
        <v>19</v>
      </c>
      <c r="G218" s="30" t="s">
        <v>8</v>
      </c>
      <c r="H218" s="30">
        <v>0.26</v>
      </c>
      <c r="I218" s="30">
        <v>0.3</v>
      </c>
      <c r="J218" s="30">
        <v>0.6</v>
      </c>
      <c r="K218" s="30">
        <v>0</v>
      </c>
      <c r="L218" s="30">
        <v>5</v>
      </c>
      <c r="M218" s="30">
        <v>22</v>
      </c>
      <c r="N218" s="30">
        <v>27</v>
      </c>
    </row>
    <row r="219" spans="1:14">
      <c r="A219" s="30">
        <v>828</v>
      </c>
      <c r="B219" s="31">
        <v>40580</v>
      </c>
      <c r="C219" s="30">
        <v>22</v>
      </c>
      <c r="D219" s="30" t="str">
        <f t="shared" si="4"/>
        <v>Evening</v>
      </c>
      <c r="E219" s="30" t="b">
        <v>0</v>
      </c>
      <c r="F219" s="30" t="s">
        <v>19</v>
      </c>
      <c r="G219" s="30" t="s">
        <v>8</v>
      </c>
      <c r="H219" s="30">
        <v>0.26</v>
      </c>
      <c r="I219" s="30">
        <v>0.3</v>
      </c>
      <c r="J219" s="30">
        <v>0.6</v>
      </c>
      <c r="K219" s="30">
        <v>0</v>
      </c>
      <c r="L219" s="30">
        <v>5</v>
      </c>
      <c r="M219" s="30">
        <v>57</v>
      </c>
      <c r="N219" s="30">
        <v>62</v>
      </c>
    </row>
    <row r="220" spans="1:14">
      <c r="A220" s="30">
        <v>829</v>
      </c>
      <c r="B220" s="31">
        <v>40580</v>
      </c>
      <c r="C220" s="30">
        <v>23</v>
      </c>
      <c r="D220" s="30" t="str">
        <f t="shared" si="4"/>
        <v>Evening</v>
      </c>
      <c r="E220" s="30" t="b">
        <v>0</v>
      </c>
      <c r="F220" s="30" t="s">
        <v>19</v>
      </c>
      <c r="G220" s="30" t="s">
        <v>8</v>
      </c>
      <c r="H220" s="30">
        <v>0.24</v>
      </c>
      <c r="I220" s="30">
        <v>0.28999999999999998</v>
      </c>
      <c r="J220" s="30">
        <v>0.65</v>
      </c>
      <c r="K220" s="30">
        <v>0</v>
      </c>
      <c r="L220" s="30">
        <v>4</v>
      </c>
      <c r="M220" s="30">
        <v>26</v>
      </c>
      <c r="N220" s="30">
        <v>30</v>
      </c>
    </row>
    <row r="221" spans="1:14">
      <c r="A221" s="30">
        <v>830</v>
      </c>
      <c r="B221" s="31">
        <v>40581</v>
      </c>
      <c r="C221" s="30">
        <v>0</v>
      </c>
      <c r="D221" s="30" t="str">
        <f t="shared" si="4"/>
        <v>Night</v>
      </c>
      <c r="E221" s="30" t="b">
        <v>0</v>
      </c>
      <c r="F221" s="30" t="s">
        <v>20</v>
      </c>
      <c r="G221" s="30" t="s">
        <v>8</v>
      </c>
      <c r="H221" s="30">
        <v>0.24</v>
      </c>
      <c r="I221" s="30">
        <v>0.28999999999999998</v>
      </c>
      <c r="J221" s="30">
        <v>0.65</v>
      </c>
      <c r="K221" s="30">
        <v>0</v>
      </c>
      <c r="L221" s="30">
        <v>1</v>
      </c>
      <c r="M221" s="30">
        <v>14</v>
      </c>
      <c r="N221" s="30">
        <v>15</v>
      </c>
    </row>
    <row r="222" spans="1:14">
      <c r="A222" s="30">
        <v>831</v>
      </c>
      <c r="B222" s="31">
        <v>40581</v>
      </c>
      <c r="C222" s="30">
        <v>1</v>
      </c>
      <c r="D222" s="30" t="str">
        <f t="shared" si="4"/>
        <v>Night</v>
      </c>
      <c r="E222" s="30" t="b">
        <v>0</v>
      </c>
      <c r="F222" s="30" t="s">
        <v>20</v>
      </c>
      <c r="G222" s="30" t="s">
        <v>8</v>
      </c>
      <c r="H222" s="30">
        <v>0.22</v>
      </c>
      <c r="I222" s="30">
        <v>0.27</v>
      </c>
      <c r="J222" s="30">
        <v>0.75</v>
      </c>
      <c r="K222" s="30">
        <v>0</v>
      </c>
      <c r="L222" s="30">
        <v>1</v>
      </c>
      <c r="M222" s="30">
        <v>4</v>
      </c>
      <c r="N222" s="30">
        <v>5</v>
      </c>
    </row>
    <row r="223" spans="1:14">
      <c r="A223" s="30">
        <v>832</v>
      </c>
      <c r="B223" s="31">
        <v>40581</v>
      </c>
      <c r="C223" s="30">
        <v>2</v>
      </c>
      <c r="D223" s="30" t="str">
        <f t="shared" si="4"/>
        <v>Night</v>
      </c>
      <c r="E223" s="30" t="b">
        <v>0</v>
      </c>
      <c r="F223" s="30" t="s">
        <v>20</v>
      </c>
      <c r="G223" s="30" t="s">
        <v>8</v>
      </c>
      <c r="H223" s="30">
        <v>0.2</v>
      </c>
      <c r="I223" s="30">
        <v>0.26</v>
      </c>
      <c r="J223" s="30">
        <v>0.8</v>
      </c>
      <c r="K223" s="30">
        <v>0</v>
      </c>
      <c r="L223" s="30">
        <v>0</v>
      </c>
      <c r="M223" s="30">
        <v>3</v>
      </c>
      <c r="N223" s="30">
        <v>3</v>
      </c>
    </row>
    <row r="224" spans="1:14">
      <c r="A224" s="30">
        <v>833</v>
      </c>
      <c r="B224" s="31">
        <v>40581</v>
      </c>
      <c r="C224" s="30">
        <v>3</v>
      </c>
      <c r="D224" s="30" t="str">
        <f t="shared" si="4"/>
        <v>Night</v>
      </c>
      <c r="E224" s="30" t="b">
        <v>0</v>
      </c>
      <c r="F224" s="30" t="s">
        <v>20</v>
      </c>
      <c r="G224" s="30" t="s">
        <v>8</v>
      </c>
      <c r="H224" s="30">
        <v>0.2</v>
      </c>
      <c r="I224" s="30">
        <v>0.26</v>
      </c>
      <c r="J224" s="30">
        <v>0.86</v>
      </c>
      <c r="K224" s="30">
        <v>0</v>
      </c>
      <c r="L224" s="30">
        <v>0</v>
      </c>
      <c r="M224" s="30">
        <v>1</v>
      </c>
      <c r="N224" s="30">
        <v>1</v>
      </c>
    </row>
    <row r="225" spans="1:14">
      <c r="A225" s="30">
        <v>834</v>
      </c>
      <c r="B225" s="31">
        <v>40581</v>
      </c>
      <c r="C225" s="30">
        <v>4</v>
      </c>
      <c r="D225" s="30" t="str">
        <f t="shared" si="4"/>
        <v>Night</v>
      </c>
      <c r="E225" s="30" t="b">
        <v>0</v>
      </c>
      <c r="F225" s="30" t="s">
        <v>20</v>
      </c>
      <c r="G225" s="30" t="s">
        <v>8</v>
      </c>
      <c r="H225" s="30">
        <v>0.2</v>
      </c>
      <c r="I225" s="30">
        <v>0.26</v>
      </c>
      <c r="J225" s="30">
        <v>0.86</v>
      </c>
      <c r="K225" s="30">
        <v>0</v>
      </c>
      <c r="L225" s="30">
        <v>1</v>
      </c>
      <c r="M225" s="30">
        <v>1</v>
      </c>
      <c r="N225" s="30">
        <v>2</v>
      </c>
    </row>
    <row r="226" spans="1:14">
      <c r="A226" s="30">
        <v>835</v>
      </c>
      <c r="B226" s="31">
        <v>40581</v>
      </c>
      <c r="C226" s="30">
        <v>5</v>
      </c>
      <c r="D226" s="30" t="str">
        <f t="shared" si="4"/>
        <v>Night</v>
      </c>
      <c r="E226" s="30" t="b">
        <v>0</v>
      </c>
      <c r="F226" s="30" t="s">
        <v>20</v>
      </c>
      <c r="G226" s="30" t="s">
        <v>8</v>
      </c>
      <c r="H226" s="30">
        <v>0.2</v>
      </c>
      <c r="I226" s="30">
        <v>0.26</v>
      </c>
      <c r="J226" s="30">
        <v>0.86</v>
      </c>
      <c r="K226" s="30">
        <v>0</v>
      </c>
      <c r="L226" s="30">
        <v>1</v>
      </c>
      <c r="M226" s="30">
        <v>9</v>
      </c>
      <c r="N226" s="30">
        <v>10</v>
      </c>
    </row>
    <row r="227" spans="1:14">
      <c r="A227" s="30">
        <v>836</v>
      </c>
      <c r="B227" s="31">
        <v>40581</v>
      </c>
      <c r="C227" s="30">
        <v>6</v>
      </c>
      <c r="D227" s="30" t="str">
        <f t="shared" si="4"/>
        <v>Morning</v>
      </c>
      <c r="E227" s="30" t="b">
        <v>0</v>
      </c>
      <c r="F227" s="30" t="s">
        <v>20</v>
      </c>
      <c r="G227" s="30" t="s">
        <v>8</v>
      </c>
      <c r="H227" s="30">
        <v>0.18</v>
      </c>
      <c r="I227" s="30">
        <v>0.24</v>
      </c>
      <c r="J227" s="30">
        <v>0.93</v>
      </c>
      <c r="K227" s="30">
        <v>0</v>
      </c>
      <c r="L227" s="30">
        <v>1</v>
      </c>
      <c r="M227" s="30">
        <v>29</v>
      </c>
      <c r="N227" s="30">
        <v>30</v>
      </c>
    </row>
    <row r="228" spans="1:14">
      <c r="A228" s="30">
        <v>837</v>
      </c>
      <c r="B228" s="31">
        <v>40581</v>
      </c>
      <c r="C228" s="30">
        <v>7</v>
      </c>
      <c r="D228" s="30" t="str">
        <f t="shared" si="4"/>
        <v>Morning</v>
      </c>
      <c r="E228" s="30" t="b">
        <v>0</v>
      </c>
      <c r="F228" s="30" t="s">
        <v>20</v>
      </c>
      <c r="G228" s="30" t="s">
        <v>8</v>
      </c>
      <c r="H228" s="30">
        <v>0.18</v>
      </c>
      <c r="I228" s="30">
        <v>0.24</v>
      </c>
      <c r="J228" s="30">
        <v>0.86</v>
      </c>
      <c r="K228" s="30">
        <v>0</v>
      </c>
      <c r="L228" s="30">
        <v>6</v>
      </c>
      <c r="M228" s="30">
        <v>89</v>
      </c>
      <c r="N228" s="30">
        <v>95</v>
      </c>
    </row>
    <row r="229" spans="1:14">
      <c r="A229" s="30">
        <v>838</v>
      </c>
      <c r="B229" s="31">
        <v>40581</v>
      </c>
      <c r="C229" s="30">
        <v>8</v>
      </c>
      <c r="D229" s="30" t="str">
        <f t="shared" si="4"/>
        <v>Morning</v>
      </c>
      <c r="E229" s="30" t="b">
        <v>0</v>
      </c>
      <c r="F229" s="30" t="s">
        <v>20</v>
      </c>
      <c r="G229" s="30" t="s">
        <v>9</v>
      </c>
      <c r="H229" s="30">
        <v>0.16</v>
      </c>
      <c r="I229" s="30">
        <v>0.23</v>
      </c>
      <c r="J229" s="30">
        <v>1</v>
      </c>
      <c r="K229" s="30">
        <v>0</v>
      </c>
      <c r="L229" s="30">
        <v>7</v>
      </c>
      <c r="M229" s="30">
        <v>223</v>
      </c>
      <c r="N229" s="30">
        <v>230</v>
      </c>
    </row>
    <row r="230" spans="1:14">
      <c r="A230" s="30">
        <v>839</v>
      </c>
      <c r="B230" s="31">
        <v>40581</v>
      </c>
      <c r="C230" s="30">
        <v>9</v>
      </c>
      <c r="D230" s="30" t="str">
        <f t="shared" si="4"/>
        <v>Morning</v>
      </c>
      <c r="E230" s="30" t="b">
        <v>0</v>
      </c>
      <c r="F230" s="30" t="s">
        <v>20</v>
      </c>
      <c r="G230" s="30" t="s">
        <v>8</v>
      </c>
      <c r="H230" s="30">
        <v>0.22</v>
      </c>
      <c r="I230" s="30">
        <v>0.27</v>
      </c>
      <c r="J230" s="30">
        <v>0.8</v>
      </c>
      <c r="K230" s="30">
        <v>0</v>
      </c>
      <c r="L230" s="30">
        <v>3</v>
      </c>
      <c r="M230" s="30">
        <v>115</v>
      </c>
      <c r="N230" s="30">
        <v>118</v>
      </c>
    </row>
    <row r="231" spans="1:14">
      <c r="A231" s="30">
        <v>840</v>
      </c>
      <c r="B231" s="31">
        <v>40581</v>
      </c>
      <c r="C231" s="30">
        <v>10</v>
      </c>
      <c r="D231" s="30" t="str">
        <f t="shared" si="4"/>
        <v>Morning</v>
      </c>
      <c r="E231" s="30" t="b">
        <v>0</v>
      </c>
      <c r="F231" s="30" t="s">
        <v>20</v>
      </c>
      <c r="G231" s="30" t="s">
        <v>8</v>
      </c>
      <c r="H231" s="30">
        <v>0.24</v>
      </c>
      <c r="I231" s="30">
        <v>0.26</v>
      </c>
      <c r="J231" s="30">
        <v>0.75</v>
      </c>
      <c r="K231" s="30">
        <v>0.1</v>
      </c>
      <c r="L231" s="30">
        <v>6</v>
      </c>
      <c r="M231" s="30">
        <v>49</v>
      </c>
      <c r="N231" s="30">
        <v>55</v>
      </c>
    </row>
    <row r="232" spans="1:14">
      <c r="A232" s="30">
        <v>841</v>
      </c>
      <c r="B232" s="31">
        <v>40581</v>
      </c>
      <c r="C232" s="30">
        <v>11</v>
      </c>
      <c r="D232" s="30" t="str">
        <f t="shared" si="4"/>
        <v>Morning</v>
      </c>
      <c r="E232" s="30" t="b">
        <v>0</v>
      </c>
      <c r="F232" s="30" t="s">
        <v>20</v>
      </c>
      <c r="G232" s="30" t="s">
        <v>8</v>
      </c>
      <c r="H232" s="30">
        <v>0.3</v>
      </c>
      <c r="I232" s="30">
        <v>0.32</v>
      </c>
      <c r="J232" s="30">
        <v>0.65</v>
      </c>
      <c r="K232" s="30">
        <v>0.09</v>
      </c>
      <c r="L232" s="30">
        <v>11</v>
      </c>
      <c r="M232" s="30">
        <v>36</v>
      </c>
      <c r="N232" s="30">
        <v>47</v>
      </c>
    </row>
    <row r="233" spans="1:14">
      <c r="A233" s="30">
        <v>842</v>
      </c>
      <c r="B233" s="31">
        <v>40581</v>
      </c>
      <c r="C233" s="30">
        <v>12</v>
      </c>
      <c r="D233" s="30" t="str">
        <f t="shared" si="4"/>
        <v>Afternoon</v>
      </c>
      <c r="E233" s="30" t="b">
        <v>0</v>
      </c>
      <c r="F233" s="30" t="s">
        <v>20</v>
      </c>
      <c r="G233" s="30" t="s">
        <v>9</v>
      </c>
      <c r="H233" s="30">
        <v>0.32</v>
      </c>
      <c r="I233" s="30">
        <v>0.35</v>
      </c>
      <c r="J233" s="30">
        <v>0.62</v>
      </c>
      <c r="K233" s="30">
        <v>0</v>
      </c>
      <c r="L233" s="30">
        <v>7</v>
      </c>
      <c r="M233" s="30">
        <v>59</v>
      </c>
      <c r="N233" s="30">
        <v>66</v>
      </c>
    </row>
    <row r="234" spans="1:14">
      <c r="A234" s="30">
        <v>843</v>
      </c>
      <c r="B234" s="31">
        <v>40581</v>
      </c>
      <c r="C234" s="30">
        <v>13</v>
      </c>
      <c r="D234" s="30" t="str">
        <f t="shared" si="4"/>
        <v>Afternoon</v>
      </c>
      <c r="E234" s="30" t="b">
        <v>0</v>
      </c>
      <c r="F234" s="30" t="s">
        <v>20</v>
      </c>
      <c r="G234" s="30" t="s">
        <v>9</v>
      </c>
      <c r="H234" s="30">
        <v>0.36</v>
      </c>
      <c r="I234" s="30">
        <v>0.36</v>
      </c>
      <c r="J234" s="30">
        <v>0.56999999999999995</v>
      </c>
      <c r="K234" s="30">
        <v>0.09</v>
      </c>
      <c r="L234" s="30">
        <v>10</v>
      </c>
      <c r="M234" s="30">
        <v>54</v>
      </c>
      <c r="N234" s="30">
        <v>64</v>
      </c>
    </row>
    <row r="235" spans="1:14">
      <c r="A235" s="30">
        <v>844</v>
      </c>
      <c r="B235" s="31">
        <v>40581</v>
      </c>
      <c r="C235" s="30">
        <v>14</v>
      </c>
      <c r="D235" s="30" t="str">
        <f t="shared" si="4"/>
        <v>Afternoon</v>
      </c>
      <c r="E235" s="30" t="b">
        <v>0</v>
      </c>
      <c r="F235" s="30" t="s">
        <v>20</v>
      </c>
      <c r="G235" s="30" t="s">
        <v>9</v>
      </c>
      <c r="H235" s="30">
        <v>0.36</v>
      </c>
      <c r="I235" s="30">
        <v>0.36</v>
      </c>
      <c r="J235" s="30">
        <v>0.56999999999999995</v>
      </c>
      <c r="K235" s="30">
        <v>0.09</v>
      </c>
      <c r="L235" s="30">
        <v>8</v>
      </c>
      <c r="M235" s="30">
        <v>52</v>
      </c>
      <c r="N235" s="30">
        <v>60</v>
      </c>
    </row>
    <row r="236" spans="1:14">
      <c r="A236" s="30">
        <v>845</v>
      </c>
      <c r="B236" s="31">
        <v>40581</v>
      </c>
      <c r="C236" s="30">
        <v>15</v>
      </c>
      <c r="D236" s="30" t="str">
        <f t="shared" si="4"/>
        <v>Afternoon</v>
      </c>
      <c r="E236" s="30" t="b">
        <v>0</v>
      </c>
      <c r="F236" s="30" t="s">
        <v>20</v>
      </c>
      <c r="G236" s="30" t="s">
        <v>9</v>
      </c>
      <c r="H236" s="30">
        <v>0.38</v>
      </c>
      <c r="I236" s="30">
        <v>0.39</v>
      </c>
      <c r="J236" s="30">
        <v>0.54</v>
      </c>
      <c r="K236" s="30">
        <v>0.09</v>
      </c>
      <c r="L236" s="30">
        <v>4</v>
      </c>
      <c r="M236" s="30">
        <v>46</v>
      </c>
      <c r="N236" s="30">
        <v>50</v>
      </c>
    </row>
    <row r="237" spans="1:14">
      <c r="A237" s="30">
        <v>846</v>
      </c>
      <c r="B237" s="31">
        <v>40581</v>
      </c>
      <c r="C237" s="30">
        <v>16</v>
      </c>
      <c r="D237" s="30" t="str">
        <f t="shared" si="4"/>
        <v>Afternoon</v>
      </c>
      <c r="E237" s="30" t="b">
        <v>0</v>
      </c>
      <c r="F237" s="30" t="s">
        <v>20</v>
      </c>
      <c r="G237" s="30" t="s">
        <v>9</v>
      </c>
      <c r="H237" s="30">
        <v>0.36</v>
      </c>
      <c r="I237" s="30">
        <v>0.35</v>
      </c>
      <c r="J237" s="30">
        <v>0.56999999999999995</v>
      </c>
      <c r="K237" s="30">
        <v>0.13</v>
      </c>
      <c r="L237" s="30">
        <v>16</v>
      </c>
      <c r="M237" s="30">
        <v>98</v>
      </c>
      <c r="N237" s="30">
        <v>114</v>
      </c>
    </row>
    <row r="238" spans="1:14">
      <c r="A238" s="30">
        <v>847</v>
      </c>
      <c r="B238" s="31">
        <v>40581</v>
      </c>
      <c r="C238" s="30">
        <v>17</v>
      </c>
      <c r="D238" s="30" t="str">
        <f t="shared" si="4"/>
        <v>Afternoon</v>
      </c>
      <c r="E238" s="30" t="b">
        <v>0</v>
      </c>
      <c r="F238" s="30" t="s">
        <v>20</v>
      </c>
      <c r="G238" s="30" t="s">
        <v>9</v>
      </c>
      <c r="H238" s="30">
        <v>0.32</v>
      </c>
      <c r="I238" s="30">
        <v>0.32</v>
      </c>
      <c r="J238" s="30">
        <v>0.7</v>
      </c>
      <c r="K238" s="30">
        <v>0.16</v>
      </c>
      <c r="L238" s="30">
        <v>9</v>
      </c>
      <c r="M238" s="30">
        <v>207</v>
      </c>
      <c r="N238" s="30">
        <v>216</v>
      </c>
    </row>
    <row r="239" spans="1:14">
      <c r="A239" s="30">
        <v>848</v>
      </c>
      <c r="B239" s="31">
        <v>40581</v>
      </c>
      <c r="C239" s="30">
        <v>18</v>
      </c>
      <c r="D239" s="30" t="str">
        <f t="shared" si="4"/>
        <v>Evening</v>
      </c>
      <c r="E239" s="30" t="b">
        <v>0</v>
      </c>
      <c r="F239" s="30" t="s">
        <v>20</v>
      </c>
      <c r="G239" s="30" t="s">
        <v>9</v>
      </c>
      <c r="H239" s="30">
        <v>0.34</v>
      </c>
      <c r="I239" s="30">
        <v>0.33</v>
      </c>
      <c r="J239" s="30">
        <v>0.66</v>
      </c>
      <c r="K239" s="30">
        <v>0.13</v>
      </c>
      <c r="L239" s="30">
        <v>5</v>
      </c>
      <c r="M239" s="30">
        <v>170</v>
      </c>
      <c r="N239" s="30">
        <v>175</v>
      </c>
    </row>
    <row r="240" spans="1:14">
      <c r="A240" s="30">
        <v>849</v>
      </c>
      <c r="B240" s="31">
        <v>40581</v>
      </c>
      <c r="C240" s="30">
        <v>19</v>
      </c>
      <c r="D240" s="30" t="str">
        <f t="shared" si="4"/>
        <v>Evening</v>
      </c>
      <c r="E240" s="30" t="b">
        <v>0</v>
      </c>
      <c r="F240" s="30" t="s">
        <v>20</v>
      </c>
      <c r="G240" s="30" t="s">
        <v>9</v>
      </c>
      <c r="H240" s="30">
        <v>0.32</v>
      </c>
      <c r="I240" s="30">
        <v>0.35</v>
      </c>
      <c r="J240" s="30">
        <v>0.7</v>
      </c>
      <c r="K240" s="30">
        <v>0</v>
      </c>
      <c r="L240" s="30">
        <v>5</v>
      </c>
      <c r="M240" s="30">
        <v>123</v>
      </c>
      <c r="N240" s="30">
        <v>128</v>
      </c>
    </row>
    <row r="241" spans="1:14">
      <c r="A241" s="30">
        <v>850</v>
      </c>
      <c r="B241" s="31">
        <v>40581</v>
      </c>
      <c r="C241" s="30">
        <v>20</v>
      </c>
      <c r="D241" s="30" t="str">
        <f t="shared" si="4"/>
        <v>Evening</v>
      </c>
      <c r="E241" s="30" t="b">
        <v>0</v>
      </c>
      <c r="F241" s="30" t="s">
        <v>20</v>
      </c>
      <c r="G241" s="30" t="s">
        <v>9</v>
      </c>
      <c r="H241" s="30">
        <v>0.32</v>
      </c>
      <c r="I241" s="30">
        <v>0.33</v>
      </c>
      <c r="J241" s="30">
        <v>0.7</v>
      </c>
      <c r="K241" s="30">
        <v>0.1</v>
      </c>
      <c r="L241" s="30">
        <v>6</v>
      </c>
      <c r="M241" s="30">
        <v>82</v>
      </c>
      <c r="N241" s="30">
        <v>88</v>
      </c>
    </row>
    <row r="242" spans="1:14">
      <c r="A242" s="30">
        <v>851</v>
      </c>
      <c r="B242" s="31">
        <v>40581</v>
      </c>
      <c r="C242" s="30">
        <v>21</v>
      </c>
      <c r="D242" s="30" t="str">
        <f t="shared" si="4"/>
        <v>Evening</v>
      </c>
      <c r="E242" s="30" t="b">
        <v>0</v>
      </c>
      <c r="F242" s="30" t="s">
        <v>20</v>
      </c>
      <c r="G242" s="30" t="s">
        <v>8</v>
      </c>
      <c r="H242" s="30">
        <v>0.32</v>
      </c>
      <c r="I242" s="30">
        <v>0.35</v>
      </c>
      <c r="J242" s="30">
        <v>0.7</v>
      </c>
      <c r="K242" s="30">
        <v>0</v>
      </c>
      <c r="L242" s="30">
        <v>3</v>
      </c>
      <c r="M242" s="30">
        <v>75</v>
      </c>
      <c r="N242" s="30">
        <v>78</v>
      </c>
    </row>
    <row r="243" spans="1:14">
      <c r="A243" s="30">
        <v>852</v>
      </c>
      <c r="B243" s="31">
        <v>40581</v>
      </c>
      <c r="C243" s="30">
        <v>22</v>
      </c>
      <c r="D243" s="30" t="str">
        <f t="shared" si="4"/>
        <v>Evening</v>
      </c>
      <c r="E243" s="30" t="b">
        <v>0</v>
      </c>
      <c r="F243" s="30" t="s">
        <v>20</v>
      </c>
      <c r="G243" s="30" t="s">
        <v>8</v>
      </c>
      <c r="H243" s="30">
        <v>0.28000000000000003</v>
      </c>
      <c r="I243" s="30">
        <v>0.3</v>
      </c>
      <c r="J243" s="30">
        <v>0.81</v>
      </c>
      <c r="K243" s="30">
        <v>0.09</v>
      </c>
      <c r="L243" s="30">
        <v>3</v>
      </c>
      <c r="M243" s="30">
        <v>34</v>
      </c>
      <c r="N243" s="30">
        <v>37</v>
      </c>
    </row>
    <row r="244" spans="1:14">
      <c r="A244" s="30">
        <v>853</v>
      </c>
      <c r="B244" s="31">
        <v>40581</v>
      </c>
      <c r="C244" s="30">
        <v>23</v>
      </c>
      <c r="D244" s="30" t="str">
        <f t="shared" si="4"/>
        <v>Evening</v>
      </c>
      <c r="E244" s="30" t="b">
        <v>0</v>
      </c>
      <c r="F244" s="30" t="s">
        <v>20</v>
      </c>
      <c r="G244" s="30" t="s">
        <v>9</v>
      </c>
      <c r="H244" s="30">
        <v>0.3</v>
      </c>
      <c r="I244" s="30">
        <v>0.33</v>
      </c>
      <c r="J244" s="30">
        <v>0.81</v>
      </c>
      <c r="K244" s="30">
        <v>0</v>
      </c>
      <c r="L244" s="30">
        <v>6</v>
      </c>
      <c r="M244" s="30">
        <v>19</v>
      </c>
      <c r="N244" s="30">
        <v>25</v>
      </c>
    </row>
    <row r="245" spans="1:14">
      <c r="A245" s="30">
        <v>854</v>
      </c>
      <c r="B245" s="31">
        <v>40582</v>
      </c>
      <c r="C245" s="30">
        <v>0</v>
      </c>
      <c r="D245" s="30" t="str">
        <f t="shared" si="4"/>
        <v>Night</v>
      </c>
      <c r="E245" s="30" t="b">
        <v>0</v>
      </c>
      <c r="F245" s="30" t="s">
        <v>21</v>
      </c>
      <c r="G245" s="30" t="s">
        <v>9</v>
      </c>
      <c r="H245" s="30">
        <v>0.28000000000000003</v>
      </c>
      <c r="I245" s="30">
        <v>0.32</v>
      </c>
      <c r="J245" s="30">
        <v>0.87</v>
      </c>
      <c r="K245" s="30">
        <v>0</v>
      </c>
      <c r="L245" s="30">
        <v>4</v>
      </c>
      <c r="M245" s="30">
        <v>6</v>
      </c>
      <c r="N245" s="30">
        <v>10</v>
      </c>
    </row>
    <row r="246" spans="1:14">
      <c r="A246" s="30">
        <v>855</v>
      </c>
      <c r="B246" s="31">
        <v>40582</v>
      </c>
      <c r="C246" s="30">
        <v>1</v>
      </c>
      <c r="D246" s="30" t="str">
        <f t="shared" si="4"/>
        <v>Night</v>
      </c>
      <c r="E246" s="30" t="b">
        <v>0</v>
      </c>
      <c r="F246" s="30" t="s">
        <v>21</v>
      </c>
      <c r="G246" s="30" t="s">
        <v>9</v>
      </c>
      <c r="H246" s="30">
        <v>0.28000000000000003</v>
      </c>
      <c r="I246" s="30">
        <v>0.32</v>
      </c>
      <c r="J246" s="30">
        <v>0.87</v>
      </c>
      <c r="K246" s="30">
        <v>0</v>
      </c>
      <c r="L246" s="30">
        <v>0</v>
      </c>
      <c r="M246" s="30">
        <v>4</v>
      </c>
      <c r="N246" s="30">
        <v>4</v>
      </c>
    </row>
    <row r="247" spans="1:14">
      <c r="A247" s="30">
        <v>856</v>
      </c>
      <c r="B247" s="31">
        <v>40582</v>
      </c>
      <c r="C247" s="30">
        <v>2</v>
      </c>
      <c r="D247" s="30" t="str">
        <f t="shared" si="4"/>
        <v>Night</v>
      </c>
      <c r="E247" s="30" t="b">
        <v>0</v>
      </c>
      <c r="F247" s="30" t="s">
        <v>21</v>
      </c>
      <c r="G247" s="30" t="s">
        <v>9</v>
      </c>
      <c r="H247" s="30">
        <v>0.26</v>
      </c>
      <c r="I247" s="30">
        <v>0.27</v>
      </c>
      <c r="J247" s="30">
        <v>0.93</v>
      </c>
      <c r="K247" s="30">
        <v>0.1</v>
      </c>
      <c r="L247" s="30">
        <v>1</v>
      </c>
      <c r="M247" s="30">
        <v>1</v>
      </c>
      <c r="N247" s="30">
        <v>2</v>
      </c>
    </row>
    <row r="248" spans="1:14">
      <c r="A248" s="30">
        <v>857</v>
      </c>
      <c r="B248" s="31">
        <v>40582</v>
      </c>
      <c r="C248" s="30">
        <v>3</v>
      </c>
      <c r="D248" s="30" t="str">
        <f t="shared" si="4"/>
        <v>Night</v>
      </c>
      <c r="E248" s="30" t="b">
        <v>0</v>
      </c>
      <c r="F248" s="30" t="s">
        <v>21</v>
      </c>
      <c r="G248" s="30" t="s">
        <v>10</v>
      </c>
      <c r="H248" s="30">
        <v>0.28000000000000003</v>
      </c>
      <c r="I248" s="30">
        <v>0.27</v>
      </c>
      <c r="J248" s="30">
        <v>0.93</v>
      </c>
      <c r="K248" s="30">
        <v>0.16</v>
      </c>
      <c r="L248" s="30">
        <v>0</v>
      </c>
      <c r="M248" s="30">
        <v>1</v>
      </c>
      <c r="N248" s="30">
        <v>1</v>
      </c>
    </row>
    <row r="249" spans="1:14">
      <c r="A249" s="30">
        <v>858</v>
      </c>
      <c r="B249" s="31">
        <v>40582</v>
      </c>
      <c r="C249" s="30">
        <v>4</v>
      </c>
      <c r="D249" s="30" t="str">
        <f t="shared" si="4"/>
        <v>Night</v>
      </c>
      <c r="E249" s="30" t="b">
        <v>0</v>
      </c>
      <c r="F249" s="30" t="s">
        <v>21</v>
      </c>
      <c r="G249" s="30" t="s">
        <v>8</v>
      </c>
      <c r="H249" s="30">
        <v>0.26</v>
      </c>
      <c r="I249" s="30">
        <v>0.26</v>
      </c>
      <c r="J249" s="30">
        <v>0.93</v>
      </c>
      <c r="K249" s="30">
        <v>0.16</v>
      </c>
      <c r="L249" s="30">
        <v>0</v>
      </c>
      <c r="M249" s="30">
        <v>3</v>
      </c>
      <c r="N249" s="30">
        <v>3</v>
      </c>
    </row>
    <row r="250" spans="1:14">
      <c r="A250" s="30">
        <v>859</v>
      </c>
      <c r="B250" s="31">
        <v>40582</v>
      </c>
      <c r="C250" s="30">
        <v>5</v>
      </c>
      <c r="D250" s="30" t="str">
        <f t="shared" si="4"/>
        <v>Night</v>
      </c>
      <c r="E250" s="30" t="b">
        <v>0</v>
      </c>
      <c r="F250" s="30" t="s">
        <v>21</v>
      </c>
      <c r="G250" s="30" t="s">
        <v>8</v>
      </c>
      <c r="H250" s="30">
        <v>0.26</v>
      </c>
      <c r="I250" s="30">
        <v>0.23</v>
      </c>
      <c r="J250" s="30">
        <v>0.81</v>
      </c>
      <c r="K250" s="30">
        <v>0.33</v>
      </c>
      <c r="L250" s="30">
        <v>0</v>
      </c>
      <c r="M250" s="30">
        <v>2</v>
      </c>
      <c r="N250" s="30">
        <v>2</v>
      </c>
    </row>
    <row r="251" spans="1:14">
      <c r="A251" s="30">
        <v>860</v>
      </c>
      <c r="B251" s="31">
        <v>40582</v>
      </c>
      <c r="C251" s="30">
        <v>6</v>
      </c>
      <c r="D251" s="30" t="str">
        <f t="shared" si="4"/>
        <v>Morning</v>
      </c>
      <c r="E251" s="30" t="b">
        <v>0</v>
      </c>
      <c r="F251" s="30" t="s">
        <v>21</v>
      </c>
      <c r="G251" s="30" t="s">
        <v>8</v>
      </c>
      <c r="H251" s="30">
        <v>0.26</v>
      </c>
      <c r="I251" s="30">
        <v>0.23</v>
      </c>
      <c r="J251" s="30">
        <v>0.7</v>
      </c>
      <c r="K251" s="30">
        <v>0.33</v>
      </c>
      <c r="L251" s="30">
        <v>0</v>
      </c>
      <c r="M251" s="30">
        <v>39</v>
      </c>
      <c r="N251" s="30">
        <v>39</v>
      </c>
    </row>
    <row r="252" spans="1:14">
      <c r="A252" s="30">
        <v>861</v>
      </c>
      <c r="B252" s="31">
        <v>40582</v>
      </c>
      <c r="C252" s="30">
        <v>7</v>
      </c>
      <c r="D252" s="30" t="str">
        <f t="shared" si="4"/>
        <v>Morning</v>
      </c>
      <c r="E252" s="30" t="b">
        <v>0</v>
      </c>
      <c r="F252" s="30" t="s">
        <v>21</v>
      </c>
      <c r="G252" s="30" t="s">
        <v>8</v>
      </c>
      <c r="H252" s="30">
        <v>0.24</v>
      </c>
      <c r="I252" s="30">
        <v>0.2</v>
      </c>
      <c r="J252" s="30">
        <v>0.65</v>
      </c>
      <c r="K252" s="30">
        <v>0.42</v>
      </c>
      <c r="L252" s="30">
        <v>3</v>
      </c>
      <c r="M252" s="30">
        <v>97</v>
      </c>
      <c r="N252" s="30">
        <v>100</v>
      </c>
    </row>
    <row r="253" spans="1:14">
      <c r="A253" s="30">
        <v>862</v>
      </c>
      <c r="B253" s="31">
        <v>40582</v>
      </c>
      <c r="C253" s="30">
        <v>8</v>
      </c>
      <c r="D253" s="30" t="str">
        <f t="shared" si="4"/>
        <v>Morning</v>
      </c>
      <c r="E253" s="30" t="b">
        <v>0</v>
      </c>
      <c r="F253" s="30" t="s">
        <v>21</v>
      </c>
      <c r="G253" s="30" t="s">
        <v>8</v>
      </c>
      <c r="H253" s="30">
        <v>0.24</v>
      </c>
      <c r="I253" s="30">
        <v>0.2</v>
      </c>
      <c r="J253" s="30">
        <v>0.56000000000000005</v>
      </c>
      <c r="K253" s="30">
        <v>0.49</v>
      </c>
      <c r="L253" s="30">
        <v>7</v>
      </c>
      <c r="M253" s="30">
        <v>236</v>
      </c>
      <c r="N253" s="30">
        <v>243</v>
      </c>
    </row>
    <row r="254" spans="1:14">
      <c r="A254" s="30">
        <v>863</v>
      </c>
      <c r="B254" s="31">
        <v>40582</v>
      </c>
      <c r="C254" s="30">
        <v>9</v>
      </c>
      <c r="D254" s="30" t="str">
        <f t="shared" si="4"/>
        <v>Morning</v>
      </c>
      <c r="E254" s="30" t="b">
        <v>0</v>
      </c>
      <c r="F254" s="30" t="s">
        <v>21</v>
      </c>
      <c r="G254" s="30" t="s">
        <v>8</v>
      </c>
      <c r="H254" s="30">
        <v>0.24</v>
      </c>
      <c r="I254" s="30">
        <v>0.2</v>
      </c>
      <c r="J254" s="30">
        <v>0.52</v>
      </c>
      <c r="K254" s="30">
        <v>0.49</v>
      </c>
      <c r="L254" s="30">
        <v>7</v>
      </c>
      <c r="M254" s="30">
        <v>128</v>
      </c>
      <c r="N254" s="30">
        <v>135</v>
      </c>
    </row>
    <row r="255" spans="1:14">
      <c r="A255" s="30">
        <v>864</v>
      </c>
      <c r="B255" s="31">
        <v>40582</v>
      </c>
      <c r="C255" s="30">
        <v>10</v>
      </c>
      <c r="D255" s="30" t="str">
        <f t="shared" si="4"/>
        <v>Morning</v>
      </c>
      <c r="E255" s="30" t="b">
        <v>0</v>
      </c>
      <c r="F255" s="30" t="s">
        <v>21</v>
      </c>
      <c r="G255" s="30" t="s">
        <v>8</v>
      </c>
      <c r="H255" s="30">
        <v>0.22</v>
      </c>
      <c r="I255" s="30">
        <v>0.18</v>
      </c>
      <c r="J255" s="30">
        <v>0.47</v>
      </c>
      <c r="K255" s="30">
        <v>0.55000000000000004</v>
      </c>
      <c r="L255" s="30">
        <v>4</v>
      </c>
      <c r="M255" s="30">
        <v>44</v>
      </c>
      <c r="N255" s="30">
        <v>48</v>
      </c>
    </row>
    <row r="256" spans="1:14">
      <c r="A256" s="30">
        <v>865</v>
      </c>
      <c r="B256" s="31">
        <v>40582</v>
      </c>
      <c r="C256" s="30">
        <v>11</v>
      </c>
      <c r="D256" s="30" t="str">
        <f t="shared" si="4"/>
        <v>Morning</v>
      </c>
      <c r="E256" s="30" t="b">
        <v>0</v>
      </c>
      <c r="F256" s="30" t="s">
        <v>21</v>
      </c>
      <c r="G256" s="30" t="s">
        <v>8</v>
      </c>
      <c r="H256" s="30">
        <v>0.22</v>
      </c>
      <c r="I256" s="30">
        <v>0.18</v>
      </c>
      <c r="J256" s="30">
        <v>0.47</v>
      </c>
      <c r="K256" s="30">
        <v>0.46</v>
      </c>
      <c r="L256" s="30">
        <v>1</v>
      </c>
      <c r="M256" s="30">
        <v>49</v>
      </c>
      <c r="N256" s="30">
        <v>50</v>
      </c>
    </row>
    <row r="257" spans="1:14">
      <c r="A257" s="30">
        <v>866</v>
      </c>
      <c r="B257" s="31">
        <v>40582</v>
      </c>
      <c r="C257" s="30">
        <v>12</v>
      </c>
      <c r="D257" s="30" t="str">
        <f t="shared" si="4"/>
        <v>Afternoon</v>
      </c>
      <c r="E257" s="30" t="b">
        <v>0</v>
      </c>
      <c r="F257" s="30" t="s">
        <v>21</v>
      </c>
      <c r="G257" s="30" t="s">
        <v>8</v>
      </c>
      <c r="H257" s="30">
        <v>0.24</v>
      </c>
      <c r="I257" s="30">
        <v>0.2</v>
      </c>
      <c r="J257" s="30">
        <v>0.38</v>
      </c>
      <c r="K257" s="30">
        <v>0.49</v>
      </c>
      <c r="L257" s="30">
        <v>2</v>
      </c>
      <c r="M257" s="30">
        <v>63</v>
      </c>
      <c r="N257" s="30">
        <v>65</v>
      </c>
    </row>
    <row r="258" spans="1:14">
      <c r="A258" s="30">
        <v>867</v>
      </c>
      <c r="B258" s="31">
        <v>40582</v>
      </c>
      <c r="C258" s="30">
        <v>13</v>
      </c>
      <c r="D258" s="30" t="str">
        <f t="shared" ref="D258:D321" si="5">IF($C258&lt;6,"Night",IF($C258&lt;12,"Morning",IF($C258&lt;18,"Afternoon","Evening")))</f>
        <v>Afternoon</v>
      </c>
      <c r="E258" s="30" t="b">
        <v>0</v>
      </c>
      <c r="F258" s="30" t="s">
        <v>21</v>
      </c>
      <c r="G258" s="30" t="s">
        <v>9</v>
      </c>
      <c r="H258" s="30">
        <v>0.24</v>
      </c>
      <c r="I258" s="30">
        <v>0.2</v>
      </c>
      <c r="J258" s="30">
        <v>0.32</v>
      </c>
      <c r="K258" s="30">
        <v>0.45</v>
      </c>
      <c r="L258" s="30">
        <v>2</v>
      </c>
      <c r="M258" s="30">
        <v>48</v>
      </c>
      <c r="N258" s="30">
        <v>50</v>
      </c>
    </row>
    <row r="259" spans="1:14">
      <c r="A259" s="30">
        <v>868</v>
      </c>
      <c r="B259" s="31">
        <v>40582</v>
      </c>
      <c r="C259" s="30">
        <v>14</v>
      </c>
      <c r="D259" s="30" t="str">
        <f t="shared" si="5"/>
        <v>Afternoon</v>
      </c>
      <c r="E259" s="30" t="b">
        <v>0</v>
      </c>
      <c r="F259" s="30" t="s">
        <v>21</v>
      </c>
      <c r="G259" s="30" t="s">
        <v>8</v>
      </c>
      <c r="H259" s="30">
        <v>0.22</v>
      </c>
      <c r="I259" s="30">
        <v>0.2</v>
      </c>
      <c r="J259" s="30">
        <v>0.37</v>
      </c>
      <c r="K259" s="30">
        <v>0.42</v>
      </c>
      <c r="L259" s="30">
        <v>3</v>
      </c>
      <c r="M259" s="30">
        <v>61</v>
      </c>
      <c r="N259" s="30">
        <v>64</v>
      </c>
    </row>
    <row r="260" spans="1:14">
      <c r="A260" s="30">
        <v>869</v>
      </c>
      <c r="B260" s="31">
        <v>40582</v>
      </c>
      <c r="C260" s="30">
        <v>15</v>
      </c>
      <c r="D260" s="30" t="str">
        <f t="shared" si="5"/>
        <v>Afternoon</v>
      </c>
      <c r="E260" s="30" t="b">
        <v>0</v>
      </c>
      <c r="F260" s="30" t="s">
        <v>21</v>
      </c>
      <c r="G260" s="30" t="s">
        <v>8</v>
      </c>
      <c r="H260" s="30">
        <v>0.22</v>
      </c>
      <c r="I260" s="30">
        <v>0.2</v>
      </c>
      <c r="J260" s="30">
        <v>0.35</v>
      </c>
      <c r="K260" s="30">
        <v>0.39</v>
      </c>
      <c r="L260" s="30">
        <v>6</v>
      </c>
      <c r="M260" s="30">
        <v>45</v>
      </c>
      <c r="N260" s="30">
        <v>51</v>
      </c>
    </row>
    <row r="261" spans="1:14">
      <c r="A261" s="30">
        <v>870</v>
      </c>
      <c r="B261" s="31">
        <v>40582</v>
      </c>
      <c r="C261" s="30">
        <v>16</v>
      </c>
      <c r="D261" s="30" t="str">
        <f t="shared" si="5"/>
        <v>Afternoon</v>
      </c>
      <c r="E261" s="30" t="b">
        <v>0</v>
      </c>
      <c r="F261" s="30" t="s">
        <v>21</v>
      </c>
      <c r="G261" s="30" t="s">
        <v>8</v>
      </c>
      <c r="H261" s="30">
        <v>0.22</v>
      </c>
      <c r="I261" s="30">
        <v>0.18</v>
      </c>
      <c r="J261" s="30">
        <v>0.35</v>
      </c>
      <c r="K261" s="30">
        <v>0.52</v>
      </c>
      <c r="L261" s="30">
        <v>4</v>
      </c>
      <c r="M261" s="30">
        <v>79</v>
      </c>
      <c r="N261" s="30">
        <v>83</v>
      </c>
    </row>
    <row r="262" spans="1:14">
      <c r="A262" s="30">
        <v>871</v>
      </c>
      <c r="B262" s="31">
        <v>40582</v>
      </c>
      <c r="C262" s="30">
        <v>17</v>
      </c>
      <c r="D262" s="30" t="str">
        <f t="shared" si="5"/>
        <v>Afternoon</v>
      </c>
      <c r="E262" s="30" t="b">
        <v>0</v>
      </c>
      <c r="F262" s="30" t="s">
        <v>21</v>
      </c>
      <c r="G262" s="30" t="s">
        <v>8</v>
      </c>
      <c r="H262" s="30">
        <v>0.22</v>
      </c>
      <c r="I262" s="30">
        <v>0.18</v>
      </c>
      <c r="J262" s="30">
        <v>0.32</v>
      </c>
      <c r="K262" s="30">
        <v>0.57999999999999996</v>
      </c>
      <c r="L262" s="30">
        <v>4</v>
      </c>
      <c r="M262" s="30">
        <v>172</v>
      </c>
      <c r="N262" s="30">
        <v>176</v>
      </c>
    </row>
    <row r="263" spans="1:14">
      <c r="A263" s="30">
        <v>872</v>
      </c>
      <c r="B263" s="31">
        <v>40582</v>
      </c>
      <c r="C263" s="30">
        <v>18</v>
      </c>
      <c r="D263" s="30" t="str">
        <f t="shared" si="5"/>
        <v>Evening</v>
      </c>
      <c r="E263" s="30" t="b">
        <v>0</v>
      </c>
      <c r="F263" s="30" t="s">
        <v>21</v>
      </c>
      <c r="G263" s="30" t="s">
        <v>8</v>
      </c>
      <c r="H263" s="30">
        <v>0.2</v>
      </c>
      <c r="I263" s="30">
        <v>0.18</v>
      </c>
      <c r="J263" s="30">
        <v>0.32</v>
      </c>
      <c r="K263" s="30">
        <v>0.39</v>
      </c>
      <c r="L263" s="30">
        <v>1</v>
      </c>
      <c r="M263" s="30">
        <v>151</v>
      </c>
      <c r="N263" s="30">
        <v>152</v>
      </c>
    </row>
    <row r="264" spans="1:14">
      <c r="A264" s="30">
        <v>873</v>
      </c>
      <c r="B264" s="31">
        <v>40582</v>
      </c>
      <c r="C264" s="30">
        <v>19</v>
      </c>
      <c r="D264" s="30" t="str">
        <f t="shared" si="5"/>
        <v>Evening</v>
      </c>
      <c r="E264" s="30" t="b">
        <v>0</v>
      </c>
      <c r="F264" s="30" t="s">
        <v>21</v>
      </c>
      <c r="G264" s="30" t="s">
        <v>8</v>
      </c>
      <c r="H264" s="30">
        <v>0.16</v>
      </c>
      <c r="I264" s="30">
        <v>0.12</v>
      </c>
      <c r="J264" s="30">
        <v>0.4</v>
      </c>
      <c r="K264" s="30">
        <v>0.46</v>
      </c>
      <c r="L264" s="30">
        <v>1</v>
      </c>
      <c r="M264" s="30">
        <v>100</v>
      </c>
      <c r="N264" s="30">
        <v>101</v>
      </c>
    </row>
    <row r="265" spans="1:14">
      <c r="A265" s="30">
        <v>874</v>
      </c>
      <c r="B265" s="31">
        <v>40582</v>
      </c>
      <c r="C265" s="30">
        <v>20</v>
      </c>
      <c r="D265" s="30" t="str">
        <f t="shared" si="5"/>
        <v>Evening</v>
      </c>
      <c r="E265" s="30" t="b">
        <v>0</v>
      </c>
      <c r="F265" s="30" t="s">
        <v>21</v>
      </c>
      <c r="G265" s="30" t="s">
        <v>8</v>
      </c>
      <c r="H265" s="30">
        <v>0.16</v>
      </c>
      <c r="I265" s="30">
        <v>0.14000000000000001</v>
      </c>
      <c r="J265" s="30">
        <v>0.4</v>
      </c>
      <c r="K265" s="30">
        <v>0.33</v>
      </c>
      <c r="L265" s="30">
        <v>3</v>
      </c>
      <c r="M265" s="30">
        <v>53</v>
      </c>
      <c r="N265" s="30">
        <v>56</v>
      </c>
    </row>
    <row r="266" spans="1:14">
      <c r="A266" s="30">
        <v>875</v>
      </c>
      <c r="B266" s="31">
        <v>40582</v>
      </c>
      <c r="C266" s="30">
        <v>21</v>
      </c>
      <c r="D266" s="30" t="str">
        <f t="shared" si="5"/>
        <v>Evening</v>
      </c>
      <c r="E266" s="30" t="b">
        <v>0</v>
      </c>
      <c r="F266" s="30" t="s">
        <v>21</v>
      </c>
      <c r="G266" s="30" t="s">
        <v>8</v>
      </c>
      <c r="H266" s="30">
        <v>0.14000000000000001</v>
      </c>
      <c r="I266" s="30">
        <v>0.11</v>
      </c>
      <c r="J266" s="30">
        <v>0.33</v>
      </c>
      <c r="K266" s="30">
        <v>0.46</v>
      </c>
      <c r="L266" s="30">
        <v>8</v>
      </c>
      <c r="M266" s="30">
        <v>46</v>
      </c>
      <c r="N266" s="30">
        <v>54</v>
      </c>
    </row>
    <row r="267" spans="1:14">
      <c r="A267" s="30">
        <v>876</v>
      </c>
      <c r="B267" s="31">
        <v>40582</v>
      </c>
      <c r="C267" s="30">
        <v>22</v>
      </c>
      <c r="D267" s="30" t="str">
        <f t="shared" si="5"/>
        <v>Evening</v>
      </c>
      <c r="E267" s="30" t="b">
        <v>0</v>
      </c>
      <c r="F267" s="30" t="s">
        <v>21</v>
      </c>
      <c r="G267" s="30" t="s">
        <v>8</v>
      </c>
      <c r="H267" s="30">
        <v>0.12</v>
      </c>
      <c r="I267" s="30">
        <v>0.11</v>
      </c>
      <c r="J267" s="30">
        <v>0.33</v>
      </c>
      <c r="K267" s="30">
        <v>0.36</v>
      </c>
      <c r="L267" s="30">
        <v>0</v>
      </c>
      <c r="M267" s="30">
        <v>29</v>
      </c>
      <c r="N267" s="30">
        <v>29</v>
      </c>
    </row>
    <row r="268" spans="1:14">
      <c r="A268" s="30">
        <v>877</v>
      </c>
      <c r="B268" s="31">
        <v>40582</v>
      </c>
      <c r="C268" s="30">
        <v>23</v>
      </c>
      <c r="D268" s="30" t="str">
        <f t="shared" si="5"/>
        <v>Evening</v>
      </c>
      <c r="E268" s="30" t="b">
        <v>0</v>
      </c>
      <c r="F268" s="30" t="s">
        <v>21</v>
      </c>
      <c r="G268" s="30" t="s">
        <v>8</v>
      </c>
      <c r="H268" s="30">
        <v>0.12</v>
      </c>
      <c r="I268" s="30">
        <v>0.11</v>
      </c>
      <c r="J268" s="30">
        <v>0.33</v>
      </c>
      <c r="K268" s="30">
        <v>0.33</v>
      </c>
      <c r="L268" s="30">
        <v>3</v>
      </c>
      <c r="M268" s="30">
        <v>9</v>
      </c>
      <c r="N268" s="30">
        <v>12</v>
      </c>
    </row>
    <row r="269" spans="1:14">
      <c r="A269" s="30">
        <v>878</v>
      </c>
      <c r="B269" s="31">
        <v>40583</v>
      </c>
      <c r="C269" s="30">
        <v>0</v>
      </c>
      <c r="D269" s="30" t="str">
        <f t="shared" si="5"/>
        <v>Night</v>
      </c>
      <c r="E269" s="30" t="b">
        <v>0</v>
      </c>
      <c r="F269" s="30" t="s">
        <v>22</v>
      </c>
      <c r="G269" s="30" t="s">
        <v>8</v>
      </c>
      <c r="H269" s="30">
        <v>0.1</v>
      </c>
      <c r="I269" s="30">
        <v>0.08</v>
      </c>
      <c r="J269" s="30">
        <v>0.36</v>
      </c>
      <c r="K269" s="30">
        <v>0.36</v>
      </c>
      <c r="L269" s="30">
        <v>0</v>
      </c>
      <c r="M269" s="30">
        <v>17</v>
      </c>
      <c r="N269" s="30">
        <v>17</v>
      </c>
    </row>
    <row r="270" spans="1:14">
      <c r="A270" s="30">
        <v>879</v>
      </c>
      <c r="B270" s="31">
        <v>40583</v>
      </c>
      <c r="C270" s="30">
        <v>1</v>
      </c>
      <c r="D270" s="30" t="str">
        <f t="shared" si="5"/>
        <v>Night</v>
      </c>
      <c r="E270" s="30" t="b">
        <v>0</v>
      </c>
      <c r="F270" s="30" t="s">
        <v>22</v>
      </c>
      <c r="G270" s="30" t="s">
        <v>8</v>
      </c>
      <c r="H270" s="30">
        <v>0.1</v>
      </c>
      <c r="I270" s="30">
        <v>0.11</v>
      </c>
      <c r="J270" s="30">
        <v>0.36</v>
      </c>
      <c r="K270" s="30">
        <v>0.22</v>
      </c>
      <c r="L270" s="30">
        <v>0</v>
      </c>
      <c r="M270" s="30">
        <v>7</v>
      </c>
      <c r="N270" s="30">
        <v>7</v>
      </c>
    </row>
    <row r="271" spans="1:14">
      <c r="A271" s="30">
        <v>880</v>
      </c>
      <c r="B271" s="31">
        <v>40583</v>
      </c>
      <c r="C271" s="30">
        <v>2</v>
      </c>
      <c r="D271" s="30" t="str">
        <f t="shared" si="5"/>
        <v>Night</v>
      </c>
      <c r="E271" s="30" t="b">
        <v>0</v>
      </c>
      <c r="F271" s="30" t="s">
        <v>22</v>
      </c>
      <c r="G271" s="30" t="s">
        <v>8</v>
      </c>
      <c r="H271" s="30">
        <v>0.08</v>
      </c>
      <c r="I271" s="30">
        <v>0.08</v>
      </c>
      <c r="J271" s="30">
        <v>0.38</v>
      </c>
      <c r="K271" s="30">
        <v>0.28000000000000003</v>
      </c>
      <c r="L271" s="30">
        <v>1</v>
      </c>
      <c r="M271" s="30">
        <v>2</v>
      </c>
      <c r="N271" s="30">
        <v>3</v>
      </c>
    </row>
    <row r="272" spans="1:14">
      <c r="A272" s="30">
        <v>881</v>
      </c>
      <c r="B272" s="31">
        <v>40583</v>
      </c>
      <c r="C272" s="30">
        <v>3</v>
      </c>
      <c r="D272" s="30" t="str">
        <f t="shared" si="5"/>
        <v>Night</v>
      </c>
      <c r="E272" s="30" t="b">
        <v>0</v>
      </c>
      <c r="F272" s="30" t="s">
        <v>22</v>
      </c>
      <c r="G272" s="30" t="s">
        <v>8</v>
      </c>
      <c r="H272" s="30">
        <v>0.06</v>
      </c>
      <c r="I272" s="30">
        <v>0.08</v>
      </c>
      <c r="J272" s="30">
        <v>0.45</v>
      </c>
      <c r="K272" s="30">
        <v>0.13</v>
      </c>
      <c r="L272" s="30">
        <v>0</v>
      </c>
      <c r="M272" s="30">
        <v>2</v>
      </c>
      <c r="N272" s="30">
        <v>2</v>
      </c>
    </row>
    <row r="273" spans="1:14">
      <c r="A273" s="30">
        <v>882</v>
      </c>
      <c r="B273" s="31">
        <v>40583</v>
      </c>
      <c r="C273" s="30">
        <v>5</v>
      </c>
      <c r="D273" s="30" t="str">
        <f t="shared" si="5"/>
        <v>Night</v>
      </c>
      <c r="E273" s="30" t="b">
        <v>0</v>
      </c>
      <c r="F273" s="30" t="s">
        <v>22</v>
      </c>
      <c r="G273" s="30" t="s">
        <v>8</v>
      </c>
      <c r="H273" s="30">
        <v>0.06</v>
      </c>
      <c r="I273" s="30">
        <v>0.11</v>
      </c>
      <c r="J273" s="30">
        <v>0.45</v>
      </c>
      <c r="K273" s="30">
        <v>0.1</v>
      </c>
      <c r="L273" s="30">
        <v>0</v>
      </c>
      <c r="M273" s="30">
        <v>7</v>
      </c>
      <c r="N273" s="30">
        <v>7</v>
      </c>
    </row>
    <row r="274" spans="1:14">
      <c r="A274" s="30">
        <v>883</v>
      </c>
      <c r="B274" s="31">
        <v>40583</v>
      </c>
      <c r="C274" s="30">
        <v>6</v>
      </c>
      <c r="D274" s="30" t="str">
        <f t="shared" si="5"/>
        <v>Morning</v>
      </c>
      <c r="E274" s="30" t="b">
        <v>0</v>
      </c>
      <c r="F274" s="30" t="s">
        <v>22</v>
      </c>
      <c r="G274" s="30" t="s">
        <v>8</v>
      </c>
      <c r="H274" s="30">
        <v>0.06</v>
      </c>
      <c r="I274" s="30">
        <v>0.15</v>
      </c>
      <c r="J274" s="30">
        <v>0.45</v>
      </c>
      <c r="K274" s="30">
        <v>0</v>
      </c>
      <c r="L274" s="30">
        <v>0</v>
      </c>
      <c r="M274" s="30">
        <v>43</v>
      </c>
      <c r="N274" s="30">
        <v>43</v>
      </c>
    </row>
    <row r="275" spans="1:14">
      <c r="A275" s="30">
        <v>884</v>
      </c>
      <c r="B275" s="31">
        <v>40583</v>
      </c>
      <c r="C275" s="30">
        <v>7</v>
      </c>
      <c r="D275" s="30" t="str">
        <f t="shared" si="5"/>
        <v>Morning</v>
      </c>
      <c r="E275" s="30" t="b">
        <v>0</v>
      </c>
      <c r="F275" s="30" t="s">
        <v>22</v>
      </c>
      <c r="G275" s="30" t="s">
        <v>8</v>
      </c>
      <c r="H275" s="30">
        <v>0.06</v>
      </c>
      <c r="I275" s="30">
        <v>0.11</v>
      </c>
      <c r="J275" s="30">
        <v>0.49</v>
      </c>
      <c r="K275" s="30">
        <v>0.1</v>
      </c>
      <c r="L275" s="30">
        <v>4</v>
      </c>
      <c r="M275" s="30">
        <v>95</v>
      </c>
      <c r="N275" s="30">
        <v>99</v>
      </c>
    </row>
    <row r="276" spans="1:14">
      <c r="A276" s="30">
        <v>885</v>
      </c>
      <c r="B276" s="31">
        <v>40583</v>
      </c>
      <c r="C276" s="30">
        <v>8</v>
      </c>
      <c r="D276" s="30" t="str">
        <f t="shared" si="5"/>
        <v>Morning</v>
      </c>
      <c r="E276" s="30" t="b">
        <v>0</v>
      </c>
      <c r="F276" s="30" t="s">
        <v>22</v>
      </c>
      <c r="G276" s="30" t="s">
        <v>8</v>
      </c>
      <c r="H276" s="30">
        <v>0.1</v>
      </c>
      <c r="I276" s="30">
        <v>0.14000000000000001</v>
      </c>
      <c r="J276" s="30">
        <v>0.42</v>
      </c>
      <c r="K276" s="30">
        <v>0</v>
      </c>
      <c r="L276" s="30">
        <v>1</v>
      </c>
      <c r="M276" s="30">
        <v>198</v>
      </c>
      <c r="N276" s="30">
        <v>199</v>
      </c>
    </row>
    <row r="277" spans="1:14">
      <c r="A277" s="30">
        <v>886</v>
      </c>
      <c r="B277" s="31">
        <v>40583</v>
      </c>
      <c r="C277" s="30">
        <v>9</v>
      </c>
      <c r="D277" s="30" t="str">
        <f t="shared" si="5"/>
        <v>Morning</v>
      </c>
      <c r="E277" s="30" t="b">
        <v>0</v>
      </c>
      <c r="F277" s="30" t="s">
        <v>22</v>
      </c>
      <c r="G277" s="30" t="s">
        <v>8</v>
      </c>
      <c r="H277" s="30">
        <v>0.12</v>
      </c>
      <c r="I277" s="30">
        <v>0.14000000000000001</v>
      </c>
      <c r="J277" s="30">
        <v>0.39</v>
      </c>
      <c r="K277" s="30">
        <v>0.16</v>
      </c>
      <c r="L277" s="30">
        <v>4</v>
      </c>
      <c r="M277" s="30">
        <v>119</v>
      </c>
      <c r="N277" s="30">
        <v>123</v>
      </c>
    </row>
    <row r="278" spans="1:14">
      <c r="A278" s="30">
        <v>887</v>
      </c>
      <c r="B278" s="31">
        <v>40583</v>
      </c>
      <c r="C278" s="30">
        <v>10</v>
      </c>
      <c r="D278" s="30" t="str">
        <f t="shared" si="5"/>
        <v>Morning</v>
      </c>
      <c r="E278" s="30" t="b">
        <v>0</v>
      </c>
      <c r="F278" s="30" t="s">
        <v>22</v>
      </c>
      <c r="G278" s="30" t="s">
        <v>8</v>
      </c>
      <c r="H278" s="30">
        <v>0.14000000000000001</v>
      </c>
      <c r="I278" s="30">
        <v>0.18</v>
      </c>
      <c r="J278" s="30">
        <v>0.36</v>
      </c>
      <c r="K278" s="30">
        <v>0</v>
      </c>
      <c r="L278" s="30">
        <v>8</v>
      </c>
      <c r="M278" s="30">
        <v>51</v>
      </c>
      <c r="N278" s="30">
        <v>59</v>
      </c>
    </row>
    <row r="279" spans="1:14">
      <c r="A279" s="30">
        <v>888</v>
      </c>
      <c r="B279" s="31">
        <v>40583</v>
      </c>
      <c r="C279" s="30">
        <v>11</v>
      </c>
      <c r="D279" s="30" t="str">
        <f t="shared" si="5"/>
        <v>Morning</v>
      </c>
      <c r="E279" s="30" t="b">
        <v>0</v>
      </c>
      <c r="F279" s="30" t="s">
        <v>22</v>
      </c>
      <c r="G279" s="30" t="s">
        <v>9</v>
      </c>
      <c r="H279" s="30">
        <v>0.14000000000000001</v>
      </c>
      <c r="I279" s="30">
        <v>0.15</v>
      </c>
      <c r="J279" s="30">
        <v>0.43</v>
      </c>
      <c r="K279" s="30">
        <v>0.16</v>
      </c>
      <c r="L279" s="30">
        <v>1</v>
      </c>
      <c r="M279" s="30">
        <v>40</v>
      </c>
      <c r="N279" s="30">
        <v>41</v>
      </c>
    </row>
    <row r="280" spans="1:14">
      <c r="A280" s="30">
        <v>889</v>
      </c>
      <c r="B280" s="31">
        <v>40583</v>
      </c>
      <c r="C280" s="30">
        <v>12</v>
      </c>
      <c r="D280" s="30" t="str">
        <f t="shared" si="5"/>
        <v>Afternoon</v>
      </c>
      <c r="E280" s="30" t="b">
        <v>0</v>
      </c>
      <c r="F280" s="30" t="s">
        <v>22</v>
      </c>
      <c r="G280" s="30" t="s">
        <v>9</v>
      </c>
      <c r="H280" s="30">
        <v>0.18</v>
      </c>
      <c r="I280" s="30">
        <v>0.18</v>
      </c>
      <c r="J280" s="30">
        <v>0.4</v>
      </c>
      <c r="K280" s="30">
        <v>0.22</v>
      </c>
      <c r="L280" s="30">
        <v>4</v>
      </c>
      <c r="M280" s="30">
        <v>57</v>
      </c>
      <c r="N280" s="30">
        <v>61</v>
      </c>
    </row>
    <row r="281" spans="1:14">
      <c r="A281" s="30">
        <v>890</v>
      </c>
      <c r="B281" s="31">
        <v>40583</v>
      </c>
      <c r="C281" s="30">
        <v>13</v>
      </c>
      <c r="D281" s="30" t="str">
        <f t="shared" si="5"/>
        <v>Afternoon</v>
      </c>
      <c r="E281" s="30" t="b">
        <v>0</v>
      </c>
      <c r="F281" s="30" t="s">
        <v>22</v>
      </c>
      <c r="G281" s="30" t="s">
        <v>8</v>
      </c>
      <c r="H281" s="30">
        <v>0.18</v>
      </c>
      <c r="I281" s="30">
        <v>0.17</v>
      </c>
      <c r="J281" s="30">
        <v>0.4</v>
      </c>
      <c r="K281" s="30">
        <v>0.25</v>
      </c>
      <c r="L281" s="30">
        <v>2</v>
      </c>
      <c r="M281" s="30">
        <v>67</v>
      </c>
      <c r="N281" s="30">
        <v>69</v>
      </c>
    </row>
    <row r="282" spans="1:14">
      <c r="A282" s="30">
        <v>891</v>
      </c>
      <c r="B282" s="31">
        <v>40583</v>
      </c>
      <c r="C282" s="30">
        <v>14</v>
      </c>
      <c r="D282" s="30" t="str">
        <f t="shared" si="5"/>
        <v>Afternoon</v>
      </c>
      <c r="E282" s="30" t="b">
        <v>0</v>
      </c>
      <c r="F282" s="30" t="s">
        <v>22</v>
      </c>
      <c r="G282" s="30" t="s">
        <v>8</v>
      </c>
      <c r="H282" s="30">
        <v>0.2</v>
      </c>
      <c r="I282" s="30">
        <v>0.18</v>
      </c>
      <c r="J282" s="30">
        <v>0.34</v>
      </c>
      <c r="K282" s="30">
        <v>0.3</v>
      </c>
      <c r="L282" s="30">
        <v>2</v>
      </c>
      <c r="M282" s="30">
        <v>56</v>
      </c>
      <c r="N282" s="30">
        <v>58</v>
      </c>
    </row>
    <row r="283" spans="1:14">
      <c r="A283" s="30">
        <v>892</v>
      </c>
      <c r="B283" s="31">
        <v>40583</v>
      </c>
      <c r="C283" s="30">
        <v>15</v>
      </c>
      <c r="D283" s="30" t="str">
        <f t="shared" si="5"/>
        <v>Afternoon</v>
      </c>
      <c r="E283" s="30" t="b">
        <v>0</v>
      </c>
      <c r="F283" s="30" t="s">
        <v>22</v>
      </c>
      <c r="G283" s="30" t="s">
        <v>9</v>
      </c>
      <c r="H283" s="30">
        <v>0.2</v>
      </c>
      <c r="I283" s="30">
        <v>0.18</v>
      </c>
      <c r="J283" s="30">
        <v>0.34</v>
      </c>
      <c r="K283" s="30">
        <v>0.28000000000000003</v>
      </c>
      <c r="L283" s="30">
        <v>3</v>
      </c>
      <c r="M283" s="30">
        <v>61</v>
      </c>
      <c r="N283" s="30">
        <v>64</v>
      </c>
    </row>
    <row r="284" spans="1:14">
      <c r="A284" s="30">
        <v>893</v>
      </c>
      <c r="B284" s="31">
        <v>40583</v>
      </c>
      <c r="C284" s="30">
        <v>16</v>
      </c>
      <c r="D284" s="30" t="str">
        <f t="shared" si="5"/>
        <v>Afternoon</v>
      </c>
      <c r="E284" s="30" t="b">
        <v>0</v>
      </c>
      <c r="F284" s="30" t="s">
        <v>22</v>
      </c>
      <c r="G284" s="30" t="s">
        <v>9</v>
      </c>
      <c r="H284" s="30">
        <v>0.2</v>
      </c>
      <c r="I284" s="30">
        <v>0.2</v>
      </c>
      <c r="J284" s="30">
        <v>0.37</v>
      </c>
      <c r="K284" s="30">
        <v>0.25</v>
      </c>
      <c r="L284" s="30">
        <v>7</v>
      </c>
      <c r="M284" s="30">
        <v>72</v>
      </c>
      <c r="N284" s="30">
        <v>79</v>
      </c>
    </row>
    <row r="285" spans="1:14">
      <c r="A285" s="30">
        <v>894</v>
      </c>
      <c r="B285" s="31">
        <v>40583</v>
      </c>
      <c r="C285" s="30">
        <v>17</v>
      </c>
      <c r="D285" s="30" t="str">
        <f t="shared" si="5"/>
        <v>Afternoon</v>
      </c>
      <c r="E285" s="30" t="b">
        <v>0</v>
      </c>
      <c r="F285" s="30" t="s">
        <v>22</v>
      </c>
      <c r="G285" s="30" t="s">
        <v>9</v>
      </c>
      <c r="H285" s="30">
        <v>0.2</v>
      </c>
      <c r="I285" s="30">
        <v>0.2</v>
      </c>
      <c r="J285" s="30">
        <v>0.34</v>
      </c>
      <c r="K285" s="30">
        <v>0.25</v>
      </c>
      <c r="L285" s="30">
        <v>9</v>
      </c>
      <c r="M285" s="30">
        <v>157</v>
      </c>
      <c r="N285" s="30">
        <v>166</v>
      </c>
    </row>
    <row r="286" spans="1:14">
      <c r="A286" s="30">
        <v>895</v>
      </c>
      <c r="B286" s="31">
        <v>40583</v>
      </c>
      <c r="C286" s="30">
        <v>18</v>
      </c>
      <c r="D286" s="30" t="str">
        <f t="shared" si="5"/>
        <v>Evening</v>
      </c>
      <c r="E286" s="30" t="b">
        <v>0</v>
      </c>
      <c r="F286" s="30" t="s">
        <v>22</v>
      </c>
      <c r="G286" s="30" t="s">
        <v>9</v>
      </c>
      <c r="H286" s="30">
        <v>0.18</v>
      </c>
      <c r="I286" s="30">
        <v>0.17</v>
      </c>
      <c r="J286" s="30">
        <v>0.47</v>
      </c>
      <c r="K286" s="30">
        <v>0.3</v>
      </c>
      <c r="L286" s="30">
        <v>2</v>
      </c>
      <c r="M286" s="30">
        <v>168</v>
      </c>
      <c r="N286" s="30">
        <v>170</v>
      </c>
    </row>
    <row r="287" spans="1:14">
      <c r="A287" s="30">
        <v>896</v>
      </c>
      <c r="B287" s="31">
        <v>40583</v>
      </c>
      <c r="C287" s="30">
        <v>19</v>
      </c>
      <c r="D287" s="30" t="str">
        <f t="shared" si="5"/>
        <v>Evening</v>
      </c>
      <c r="E287" s="30" t="b">
        <v>0</v>
      </c>
      <c r="F287" s="30" t="s">
        <v>22</v>
      </c>
      <c r="G287" s="30" t="s">
        <v>10</v>
      </c>
      <c r="H287" s="30">
        <v>0.14000000000000001</v>
      </c>
      <c r="I287" s="30">
        <v>0.12</v>
      </c>
      <c r="J287" s="30">
        <v>0.86</v>
      </c>
      <c r="K287" s="30">
        <v>0.25</v>
      </c>
      <c r="L287" s="30">
        <v>1</v>
      </c>
      <c r="M287" s="30">
        <v>87</v>
      </c>
      <c r="N287" s="30">
        <v>88</v>
      </c>
    </row>
    <row r="288" spans="1:14">
      <c r="A288" s="30">
        <v>897</v>
      </c>
      <c r="B288" s="31">
        <v>40583</v>
      </c>
      <c r="C288" s="30">
        <v>20</v>
      </c>
      <c r="D288" s="30" t="str">
        <f t="shared" si="5"/>
        <v>Evening</v>
      </c>
      <c r="E288" s="30" t="b">
        <v>0</v>
      </c>
      <c r="F288" s="30" t="s">
        <v>22</v>
      </c>
      <c r="G288" s="30" t="s">
        <v>10</v>
      </c>
      <c r="H288" s="30">
        <v>0.14000000000000001</v>
      </c>
      <c r="I288" s="30">
        <v>0.15</v>
      </c>
      <c r="J288" s="30">
        <v>0.86</v>
      </c>
      <c r="K288" s="30">
        <v>0.16</v>
      </c>
      <c r="L288" s="30">
        <v>0</v>
      </c>
      <c r="M288" s="30">
        <v>84</v>
      </c>
      <c r="N288" s="30">
        <v>84</v>
      </c>
    </row>
    <row r="289" spans="1:14">
      <c r="A289" s="30">
        <v>898</v>
      </c>
      <c r="B289" s="31">
        <v>40583</v>
      </c>
      <c r="C289" s="30">
        <v>21</v>
      </c>
      <c r="D289" s="30" t="str">
        <f t="shared" si="5"/>
        <v>Evening</v>
      </c>
      <c r="E289" s="30" t="b">
        <v>0</v>
      </c>
      <c r="F289" s="30" t="s">
        <v>22</v>
      </c>
      <c r="G289" s="30" t="s">
        <v>9</v>
      </c>
      <c r="H289" s="30">
        <v>0.14000000000000001</v>
      </c>
      <c r="I289" s="30">
        <v>0.15</v>
      </c>
      <c r="J289" s="30">
        <v>0.86</v>
      </c>
      <c r="K289" s="30">
        <v>0.16</v>
      </c>
      <c r="L289" s="30">
        <v>0</v>
      </c>
      <c r="M289" s="30">
        <v>83</v>
      </c>
      <c r="N289" s="30">
        <v>83</v>
      </c>
    </row>
    <row r="290" spans="1:14">
      <c r="A290" s="30">
        <v>899</v>
      </c>
      <c r="B290" s="31">
        <v>40583</v>
      </c>
      <c r="C290" s="30">
        <v>22</v>
      </c>
      <c r="D290" s="30" t="str">
        <f t="shared" si="5"/>
        <v>Evening</v>
      </c>
      <c r="E290" s="30" t="b">
        <v>0</v>
      </c>
      <c r="F290" s="30" t="s">
        <v>22</v>
      </c>
      <c r="G290" s="30" t="s">
        <v>10</v>
      </c>
      <c r="H290" s="30">
        <v>0.16</v>
      </c>
      <c r="I290" s="30">
        <v>0.17</v>
      </c>
      <c r="J290" s="30">
        <v>0.8</v>
      </c>
      <c r="K290" s="30">
        <v>0.16</v>
      </c>
      <c r="L290" s="30">
        <v>4</v>
      </c>
      <c r="M290" s="30">
        <v>42</v>
      </c>
      <c r="N290" s="30">
        <v>46</v>
      </c>
    </row>
    <row r="291" spans="1:14">
      <c r="A291" s="30">
        <v>900</v>
      </c>
      <c r="B291" s="31">
        <v>40583</v>
      </c>
      <c r="C291" s="30">
        <v>23</v>
      </c>
      <c r="D291" s="30" t="str">
        <f t="shared" si="5"/>
        <v>Evening</v>
      </c>
      <c r="E291" s="30" t="b">
        <v>0</v>
      </c>
      <c r="F291" s="30" t="s">
        <v>22</v>
      </c>
      <c r="G291" s="30" t="s">
        <v>10</v>
      </c>
      <c r="H291" s="30">
        <v>0.16</v>
      </c>
      <c r="I291" s="30">
        <v>0.15</v>
      </c>
      <c r="J291" s="30">
        <v>0.8</v>
      </c>
      <c r="K291" s="30">
        <v>0.19</v>
      </c>
      <c r="L291" s="30">
        <v>0</v>
      </c>
      <c r="M291" s="30">
        <v>37</v>
      </c>
      <c r="N291" s="30">
        <v>37</v>
      </c>
    </row>
    <row r="292" spans="1:14">
      <c r="A292" s="30">
        <v>901</v>
      </c>
      <c r="B292" s="31">
        <v>40584</v>
      </c>
      <c r="C292" s="30">
        <v>0</v>
      </c>
      <c r="D292" s="30" t="str">
        <f t="shared" si="5"/>
        <v>Night</v>
      </c>
      <c r="E292" s="30" t="b">
        <v>0</v>
      </c>
      <c r="F292" s="30" t="s">
        <v>23</v>
      </c>
      <c r="G292" s="30" t="s">
        <v>10</v>
      </c>
      <c r="H292" s="30">
        <v>0.14000000000000001</v>
      </c>
      <c r="I292" s="30">
        <v>0.14000000000000001</v>
      </c>
      <c r="J292" s="30">
        <v>0.86</v>
      </c>
      <c r="K292" s="30">
        <v>0.19</v>
      </c>
      <c r="L292" s="30">
        <v>0</v>
      </c>
      <c r="M292" s="30">
        <v>16</v>
      </c>
      <c r="N292" s="30">
        <v>16</v>
      </c>
    </row>
    <row r="293" spans="1:14">
      <c r="A293" s="30">
        <v>902</v>
      </c>
      <c r="B293" s="31">
        <v>40584</v>
      </c>
      <c r="C293" s="30">
        <v>1</v>
      </c>
      <c r="D293" s="30" t="str">
        <f t="shared" si="5"/>
        <v>Night</v>
      </c>
      <c r="E293" s="30" t="b">
        <v>0</v>
      </c>
      <c r="F293" s="30" t="s">
        <v>23</v>
      </c>
      <c r="G293" s="30" t="s">
        <v>10</v>
      </c>
      <c r="H293" s="30">
        <v>0.14000000000000001</v>
      </c>
      <c r="I293" s="30">
        <v>0.15</v>
      </c>
      <c r="J293" s="30">
        <v>0.8</v>
      </c>
      <c r="K293" s="30">
        <v>0.13</v>
      </c>
      <c r="L293" s="30">
        <v>0</v>
      </c>
      <c r="M293" s="30">
        <v>7</v>
      </c>
      <c r="N293" s="30">
        <v>7</v>
      </c>
    </row>
    <row r="294" spans="1:14">
      <c r="A294" s="30">
        <v>903</v>
      </c>
      <c r="B294" s="31">
        <v>40584</v>
      </c>
      <c r="C294" s="30">
        <v>2</v>
      </c>
      <c r="D294" s="30" t="str">
        <f t="shared" si="5"/>
        <v>Night</v>
      </c>
      <c r="E294" s="30" t="b">
        <v>0</v>
      </c>
      <c r="F294" s="30" t="s">
        <v>23</v>
      </c>
      <c r="G294" s="30" t="s">
        <v>10</v>
      </c>
      <c r="H294" s="30">
        <v>0.14000000000000001</v>
      </c>
      <c r="I294" s="30">
        <v>0.15</v>
      </c>
      <c r="J294" s="30">
        <v>0.8</v>
      </c>
      <c r="K294" s="30">
        <v>0.13</v>
      </c>
      <c r="L294" s="30">
        <v>0</v>
      </c>
      <c r="M294" s="30">
        <v>3</v>
      </c>
      <c r="N294" s="30">
        <v>3</v>
      </c>
    </row>
    <row r="295" spans="1:14">
      <c r="A295" s="30">
        <v>904</v>
      </c>
      <c r="B295" s="31">
        <v>40584</v>
      </c>
      <c r="C295" s="30">
        <v>4</v>
      </c>
      <c r="D295" s="30" t="str">
        <f t="shared" si="5"/>
        <v>Night</v>
      </c>
      <c r="E295" s="30" t="b">
        <v>0</v>
      </c>
      <c r="F295" s="30" t="s">
        <v>23</v>
      </c>
      <c r="G295" s="30" t="s">
        <v>9</v>
      </c>
      <c r="H295" s="30">
        <v>0.14000000000000001</v>
      </c>
      <c r="I295" s="30">
        <v>0.14000000000000001</v>
      </c>
      <c r="J295" s="30">
        <v>0.59</v>
      </c>
      <c r="K295" s="30">
        <v>0.22</v>
      </c>
      <c r="L295" s="30">
        <v>0</v>
      </c>
      <c r="M295" s="30">
        <v>1</v>
      </c>
      <c r="N295" s="30">
        <v>1</v>
      </c>
    </row>
    <row r="296" spans="1:14">
      <c r="A296" s="30">
        <v>905</v>
      </c>
      <c r="B296" s="31">
        <v>40584</v>
      </c>
      <c r="C296" s="30">
        <v>5</v>
      </c>
      <c r="D296" s="30" t="str">
        <f t="shared" si="5"/>
        <v>Night</v>
      </c>
      <c r="E296" s="30" t="b">
        <v>0</v>
      </c>
      <c r="F296" s="30" t="s">
        <v>23</v>
      </c>
      <c r="G296" s="30" t="s">
        <v>9</v>
      </c>
      <c r="H296" s="30">
        <v>0.12</v>
      </c>
      <c r="I296" s="30">
        <v>0.12</v>
      </c>
      <c r="J296" s="30">
        <v>0.5</v>
      </c>
      <c r="K296" s="30">
        <v>0.22</v>
      </c>
      <c r="L296" s="30">
        <v>0</v>
      </c>
      <c r="M296" s="30">
        <v>6</v>
      </c>
      <c r="N296" s="30">
        <v>6</v>
      </c>
    </row>
    <row r="297" spans="1:14">
      <c r="A297" s="30">
        <v>906</v>
      </c>
      <c r="B297" s="31">
        <v>40584</v>
      </c>
      <c r="C297" s="30">
        <v>6</v>
      </c>
      <c r="D297" s="30" t="str">
        <f t="shared" si="5"/>
        <v>Morning</v>
      </c>
      <c r="E297" s="30" t="b">
        <v>0</v>
      </c>
      <c r="F297" s="30" t="s">
        <v>23</v>
      </c>
      <c r="G297" s="30" t="s">
        <v>9</v>
      </c>
      <c r="H297" s="30">
        <v>0.12</v>
      </c>
      <c r="I297" s="30">
        <v>0.12</v>
      </c>
      <c r="J297" s="30">
        <v>0.54</v>
      </c>
      <c r="K297" s="30">
        <v>0.28000000000000003</v>
      </c>
      <c r="L297" s="30">
        <v>0</v>
      </c>
      <c r="M297" s="30">
        <v>26</v>
      </c>
      <c r="N297" s="30">
        <v>26</v>
      </c>
    </row>
    <row r="298" spans="1:14">
      <c r="A298" s="30">
        <v>907</v>
      </c>
      <c r="B298" s="31">
        <v>40584</v>
      </c>
      <c r="C298" s="30">
        <v>7</v>
      </c>
      <c r="D298" s="30" t="str">
        <f t="shared" si="5"/>
        <v>Morning</v>
      </c>
      <c r="E298" s="30" t="b">
        <v>0</v>
      </c>
      <c r="F298" s="30" t="s">
        <v>23</v>
      </c>
      <c r="G298" s="30" t="s">
        <v>8</v>
      </c>
      <c r="H298" s="30">
        <v>0.1</v>
      </c>
      <c r="I298" s="30">
        <v>0.08</v>
      </c>
      <c r="J298" s="30">
        <v>0.5</v>
      </c>
      <c r="K298" s="30">
        <v>0.42</v>
      </c>
      <c r="L298" s="30">
        <v>0</v>
      </c>
      <c r="M298" s="30">
        <v>99</v>
      </c>
      <c r="N298" s="30">
        <v>99</v>
      </c>
    </row>
    <row r="299" spans="1:14">
      <c r="A299" s="30">
        <v>908</v>
      </c>
      <c r="B299" s="31">
        <v>40584</v>
      </c>
      <c r="C299" s="30">
        <v>8</v>
      </c>
      <c r="D299" s="30" t="str">
        <f t="shared" si="5"/>
        <v>Morning</v>
      </c>
      <c r="E299" s="30" t="b">
        <v>0</v>
      </c>
      <c r="F299" s="30" t="s">
        <v>23</v>
      </c>
      <c r="G299" s="30" t="s">
        <v>8</v>
      </c>
      <c r="H299" s="30">
        <v>0.1</v>
      </c>
      <c r="I299" s="30">
        <v>0.08</v>
      </c>
      <c r="J299" s="30">
        <v>0.49</v>
      </c>
      <c r="K299" s="30">
        <v>0.33</v>
      </c>
      <c r="L299" s="30">
        <v>5</v>
      </c>
      <c r="M299" s="30">
        <v>173</v>
      </c>
      <c r="N299" s="30">
        <v>178</v>
      </c>
    </row>
    <row r="300" spans="1:14">
      <c r="A300" s="30">
        <v>909</v>
      </c>
      <c r="B300" s="31">
        <v>40584</v>
      </c>
      <c r="C300" s="30">
        <v>9</v>
      </c>
      <c r="D300" s="30" t="str">
        <f t="shared" si="5"/>
        <v>Morning</v>
      </c>
      <c r="E300" s="30" t="b">
        <v>0</v>
      </c>
      <c r="F300" s="30" t="s">
        <v>23</v>
      </c>
      <c r="G300" s="30" t="s">
        <v>8</v>
      </c>
      <c r="H300" s="30">
        <v>0.12</v>
      </c>
      <c r="I300" s="30">
        <v>0.11</v>
      </c>
      <c r="J300" s="30">
        <v>0.42</v>
      </c>
      <c r="K300" s="30">
        <v>0.36</v>
      </c>
      <c r="L300" s="30">
        <v>1</v>
      </c>
      <c r="M300" s="30">
        <v>121</v>
      </c>
      <c r="N300" s="30">
        <v>122</v>
      </c>
    </row>
    <row r="301" spans="1:14">
      <c r="A301" s="30">
        <v>910</v>
      </c>
      <c r="B301" s="31">
        <v>40584</v>
      </c>
      <c r="C301" s="30">
        <v>10</v>
      </c>
      <c r="D301" s="30" t="str">
        <f t="shared" si="5"/>
        <v>Morning</v>
      </c>
      <c r="E301" s="30" t="b">
        <v>0</v>
      </c>
      <c r="F301" s="30" t="s">
        <v>23</v>
      </c>
      <c r="G301" s="30" t="s">
        <v>8</v>
      </c>
      <c r="H301" s="30">
        <v>0.12</v>
      </c>
      <c r="I301" s="30">
        <v>0.11</v>
      </c>
      <c r="J301" s="30">
        <v>0.42</v>
      </c>
      <c r="K301" s="30">
        <v>0.3</v>
      </c>
      <c r="L301" s="30">
        <v>1</v>
      </c>
      <c r="M301" s="30">
        <v>34</v>
      </c>
      <c r="N301" s="30">
        <v>35</v>
      </c>
    </row>
    <row r="302" spans="1:14">
      <c r="A302" s="30">
        <v>911</v>
      </c>
      <c r="B302" s="31">
        <v>40584</v>
      </c>
      <c r="C302" s="30">
        <v>11</v>
      </c>
      <c r="D302" s="30" t="str">
        <f t="shared" si="5"/>
        <v>Morning</v>
      </c>
      <c r="E302" s="30" t="b">
        <v>0</v>
      </c>
      <c r="F302" s="30" t="s">
        <v>23</v>
      </c>
      <c r="G302" s="30" t="s">
        <v>8</v>
      </c>
      <c r="H302" s="30">
        <v>0.14000000000000001</v>
      </c>
      <c r="I302" s="30">
        <v>0.12</v>
      </c>
      <c r="J302" s="30">
        <v>0.39</v>
      </c>
      <c r="K302" s="30">
        <v>0.36</v>
      </c>
      <c r="L302" s="30">
        <v>1</v>
      </c>
      <c r="M302" s="30">
        <v>44</v>
      </c>
      <c r="N302" s="30">
        <v>45</v>
      </c>
    </row>
    <row r="303" spans="1:14">
      <c r="A303" s="30">
        <v>912</v>
      </c>
      <c r="B303" s="31">
        <v>40584</v>
      </c>
      <c r="C303" s="30">
        <v>12</v>
      </c>
      <c r="D303" s="30" t="str">
        <f t="shared" si="5"/>
        <v>Afternoon</v>
      </c>
      <c r="E303" s="30" t="b">
        <v>0</v>
      </c>
      <c r="F303" s="30" t="s">
        <v>23</v>
      </c>
      <c r="G303" s="30" t="s">
        <v>8</v>
      </c>
      <c r="H303" s="30">
        <v>0.16</v>
      </c>
      <c r="I303" s="30">
        <v>0.14000000000000001</v>
      </c>
      <c r="J303" s="30">
        <v>0.34</v>
      </c>
      <c r="K303" s="30">
        <v>0.39</v>
      </c>
      <c r="L303" s="30">
        <v>4</v>
      </c>
      <c r="M303" s="30">
        <v>65</v>
      </c>
      <c r="N303" s="30">
        <v>69</v>
      </c>
    </row>
    <row r="304" spans="1:14">
      <c r="A304" s="30">
        <v>913</v>
      </c>
      <c r="B304" s="31">
        <v>40584</v>
      </c>
      <c r="C304" s="30">
        <v>13</v>
      </c>
      <c r="D304" s="30" t="str">
        <f t="shared" si="5"/>
        <v>Afternoon</v>
      </c>
      <c r="E304" s="30" t="b">
        <v>0</v>
      </c>
      <c r="F304" s="30" t="s">
        <v>23</v>
      </c>
      <c r="G304" s="30" t="s">
        <v>8</v>
      </c>
      <c r="H304" s="30">
        <v>0.18</v>
      </c>
      <c r="I304" s="30">
        <v>0.17</v>
      </c>
      <c r="J304" s="30">
        <v>0.28999999999999998</v>
      </c>
      <c r="K304" s="30">
        <v>0.3</v>
      </c>
      <c r="L304" s="30">
        <v>3</v>
      </c>
      <c r="M304" s="30">
        <v>59</v>
      </c>
      <c r="N304" s="30">
        <v>62</v>
      </c>
    </row>
    <row r="305" spans="1:14">
      <c r="A305" s="30">
        <v>914</v>
      </c>
      <c r="B305" s="31">
        <v>40584</v>
      </c>
      <c r="C305" s="30">
        <v>14</v>
      </c>
      <c r="D305" s="30" t="str">
        <f t="shared" si="5"/>
        <v>Afternoon</v>
      </c>
      <c r="E305" s="30" t="b">
        <v>0</v>
      </c>
      <c r="F305" s="30" t="s">
        <v>23</v>
      </c>
      <c r="G305" s="30" t="s">
        <v>8</v>
      </c>
      <c r="H305" s="30">
        <v>0.2</v>
      </c>
      <c r="I305" s="30">
        <v>0.18</v>
      </c>
      <c r="J305" s="30">
        <v>0.27</v>
      </c>
      <c r="K305" s="30">
        <v>0.28000000000000003</v>
      </c>
      <c r="L305" s="30">
        <v>6</v>
      </c>
      <c r="M305" s="30">
        <v>42</v>
      </c>
      <c r="N305" s="30">
        <v>48</v>
      </c>
    </row>
    <row r="306" spans="1:14">
      <c r="A306" s="30">
        <v>915</v>
      </c>
      <c r="B306" s="31">
        <v>40584</v>
      </c>
      <c r="C306" s="30">
        <v>15</v>
      </c>
      <c r="D306" s="30" t="str">
        <f t="shared" si="5"/>
        <v>Afternoon</v>
      </c>
      <c r="E306" s="30" t="b">
        <v>0</v>
      </c>
      <c r="F306" s="30" t="s">
        <v>23</v>
      </c>
      <c r="G306" s="30" t="s">
        <v>8</v>
      </c>
      <c r="H306" s="30">
        <v>0.2</v>
      </c>
      <c r="I306" s="30">
        <v>0.2</v>
      </c>
      <c r="J306" s="30">
        <v>0.25</v>
      </c>
      <c r="K306" s="30">
        <v>0.25</v>
      </c>
      <c r="L306" s="30">
        <v>0</v>
      </c>
      <c r="M306" s="30">
        <v>50</v>
      </c>
      <c r="N306" s="30">
        <v>50</v>
      </c>
    </row>
    <row r="307" spans="1:14">
      <c r="A307" s="30">
        <v>916</v>
      </c>
      <c r="B307" s="31">
        <v>40584</v>
      </c>
      <c r="C307" s="30">
        <v>16</v>
      </c>
      <c r="D307" s="30" t="str">
        <f t="shared" si="5"/>
        <v>Afternoon</v>
      </c>
      <c r="E307" s="30" t="b">
        <v>0</v>
      </c>
      <c r="F307" s="30" t="s">
        <v>23</v>
      </c>
      <c r="G307" s="30" t="s">
        <v>8</v>
      </c>
      <c r="H307" s="30">
        <v>0.2</v>
      </c>
      <c r="I307" s="30">
        <v>0.18</v>
      </c>
      <c r="J307" s="30">
        <v>0.27</v>
      </c>
      <c r="K307" s="30">
        <v>0.3</v>
      </c>
      <c r="L307" s="30">
        <v>4</v>
      </c>
      <c r="M307" s="30">
        <v>76</v>
      </c>
      <c r="N307" s="30">
        <v>80</v>
      </c>
    </row>
    <row r="308" spans="1:14">
      <c r="A308" s="30">
        <v>917</v>
      </c>
      <c r="B308" s="31">
        <v>40584</v>
      </c>
      <c r="C308" s="30">
        <v>17</v>
      </c>
      <c r="D308" s="30" t="str">
        <f t="shared" si="5"/>
        <v>Afternoon</v>
      </c>
      <c r="E308" s="30" t="b">
        <v>0</v>
      </c>
      <c r="F308" s="30" t="s">
        <v>23</v>
      </c>
      <c r="G308" s="30" t="s">
        <v>8</v>
      </c>
      <c r="H308" s="30">
        <v>0.18</v>
      </c>
      <c r="I308" s="30">
        <v>0.18</v>
      </c>
      <c r="J308" s="30">
        <v>0.26</v>
      </c>
      <c r="K308" s="30">
        <v>0.19</v>
      </c>
      <c r="L308" s="30">
        <v>6</v>
      </c>
      <c r="M308" s="30">
        <v>159</v>
      </c>
      <c r="N308" s="30">
        <v>165</v>
      </c>
    </row>
    <row r="309" spans="1:14">
      <c r="A309" s="30">
        <v>918</v>
      </c>
      <c r="B309" s="31">
        <v>40584</v>
      </c>
      <c r="C309" s="30">
        <v>18</v>
      </c>
      <c r="D309" s="30" t="str">
        <f t="shared" si="5"/>
        <v>Evening</v>
      </c>
      <c r="E309" s="30" t="b">
        <v>0</v>
      </c>
      <c r="F309" s="30" t="s">
        <v>23</v>
      </c>
      <c r="G309" s="30" t="s">
        <v>8</v>
      </c>
      <c r="H309" s="30">
        <v>0.16</v>
      </c>
      <c r="I309" s="30">
        <v>0.18</v>
      </c>
      <c r="J309" s="30">
        <v>0.28000000000000003</v>
      </c>
      <c r="K309" s="30">
        <v>0.13</v>
      </c>
      <c r="L309" s="30">
        <v>3</v>
      </c>
      <c r="M309" s="30">
        <v>157</v>
      </c>
      <c r="N309" s="30">
        <v>160</v>
      </c>
    </row>
    <row r="310" spans="1:14">
      <c r="A310" s="30">
        <v>919</v>
      </c>
      <c r="B310" s="31">
        <v>40584</v>
      </c>
      <c r="C310" s="30">
        <v>19</v>
      </c>
      <c r="D310" s="30" t="str">
        <f t="shared" si="5"/>
        <v>Evening</v>
      </c>
      <c r="E310" s="30" t="b">
        <v>0</v>
      </c>
      <c r="F310" s="30" t="s">
        <v>23</v>
      </c>
      <c r="G310" s="30" t="s">
        <v>8</v>
      </c>
      <c r="H310" s="30">
        <v>0.14000000000000001</v>
      </c>
      <c r="I310" s="30">
        <v>0.17</v>
      </c>
      <c r="J310" s="30">
        <v>0.28000000000000003</v>
      </c>
      <c r="K310" s="30">
        <v>0.1</v>
      </c>
      <c r="L310" s="30">
        <v>2</v>
      </c>
      <c r="M310" s="30">
        <v>110</v>
      </c>
      <c r="N310" s="30">
        <v>112</v>
      </c>
    </row>
    <row r="311" spans="1:14">
      <c r="A311" s="30">
        <v>920</v>
      </c>
      <c r="B311" s="31">
        <v>40584</v>
      </c>
      <c r="C311" s="30">
        <v>20</v>
      </c>
      <c r="D311" s="30" t="str">
        <f t="shared" si="5"/>
        <v>Evening</v>
      </c>
      <c r="E311" s="30" t="b">
        <v>0</v>
      </c>
      <c r="F311" s="30" t="s">
        <v>23</v>
      </c>
      <c r="G311" s="30" t="s">
        <v>8</v>
      </c>
      <c r="H311" s="30">
        <v>0.14000000000000001</v>
      </c>
      <c r="I311" s="30">
        <v>0.18</v>
      </c>
      <c r="J311" s="30">
        <v>0.31</v>
      </c>
      <c r="K311" s="30">
        <v>0.09</v>
      </c>
      <c r="L311" s="30">
        <v>4</v>
      </c>
      <c r="M311" s="30">
        <v>93</v>
      </c>
      <c r="N311" s="30">
        <v>97</v>
      </c>
    </row>
    <row r="312" spans="1:14">
      <c r="A312" s="30">
        <v>921</v>
      </c>
      <c r="B312" s="31">
        <v>40584</v>
      </c>
      <c r="C312" s="30">
        <v>21</v>
      </c>
      <c r="D312" s="30" t="str">
        <f t="shared" si="5"/>
        <v>Evening</v>
      </c>
      <c r="E312" s="30" t="b">
        <v>0</v>
      </c>
      <c r="F312" s="30" t="s">
        <v>23</v>
      </c>
      <c r="G312" s="30" t="s">
        <v>8</v>
      </c>
      <c r="H312" s="30">
        <v>0.14000000000000001</v>
      </c>
      <c r="I312" s="30">
        <v>0.21</v>
      </c>
      <c r="J312" s="30">
        <v>0.39</v>
      </c>
      <c r="K312" s="30">
        <v>0</v>
      </c>
      <c r="L312" s="30">
        <v>2</v>
      </c>
      <c r="M312" s="30">
        <v>70</v>
      </c>
      <c r="N312" s="30">
        <v>72</v>
      </c>
    </row>
    <row r="313" spans="1:14">
      <c r="A313" s="30">
        <v>922</v>
      </c>
      <c r="B313" s="31">
        <v>40584</v>
      </c>
      <c r="C313" s="30">
        <v>22</v>
      </c>
      <c r="D313" s="30" t="str">
        <f t="shared" si="5"/>
        <v>Evening</v>
      </c>
      <c r="E313" s="30" t="b">
        <v>0</v>
      </c>
      <c r="F313" s="30" t="s">
        <v>23</v>
      </c>
      <c r="G313" s="30" t="s">
        <v>8</v>
      </c>
      <c r="H313" s="30">
        <v>0.12</v>
      </c>
      <c r="I313" s="30">
        <v>0.2</v>
      </c>
      <c r="J313" s="30">
        <v>0.39</v>
      </c>
      <c r="K313" s="30">
        <v>0</v>
      </c>
      <c r="L313" s="30">
        <v>4</v>
      </c>
      <c r="M313" s="30">
        <v>47</v>
      </c>
      <c r="N313" s="30">
        <v>51</v>
      </c>
    </row>
    <row r="314" spans="1:14">
      <c r="A314" s="30">
        <v>923</v>
      </c>
      <c r="B314" s="31">
        <v>40584</v>
      </c>
      <c r="C314" s="30">
        <v>23</v>
      </c>
      <c r="D314" s="30" t="str">
        <f t="shared" si="5"/>
        <v>Evening</v>
      </c>
      <c r="E314" s="30" t="b">
        <v>0</v>
      </c>
      <c r="F314" s="30" t="s">
        <v>23</v>
      </c>
      <c r="G314" s="30" t="s">
        <v>8</v>
      </c>
      <c r="H314" s="30">
        <v>0.12</v>
      </c>
      <c r="I314" s="30">
        <v>0.15</v>
      </c>
      <c r="J314" s="30">
        <v>0.42</v>
      </c>
      <c r="K314" s="30">
        <v>0.1</v>
      </c>
      <c r="L314" s="30">
        <v>1</v>
      </c>
      <c r="M314" s="30">
        <v>33</v>
      </c>
      <c r="N314" s="30">
        <v>34</v>
      </c>
    </row>
    <row r="315" spans="1:14">
      <c r="A315" s="30">
        <v>924</v>
      </c>
      <c r="B315" s="31">
        <v>40585</v>
      </c>
      <c r="C315" s="30">
        <v>0</v>
      </c>
      <c r="D315" s="30" t="str">
        <f t="shared" si="5"/>
        <v>Night</v>
      </c>
      <c r="E315" s="30" t="b">
        <v>0</v>
      </c>
      <c r="F315" s="30" t="s">
        <v>24</v>
      </c>
      <c r="G315" s="30" t="s">
        <v>8</v>
      </c>
      <c r="H315" s="30">
        <v>0.1</v>
      </c>
      <c r="I315" s="30">
        <v>0.14000000000000001</v>
      </c>
      <c r="J315" s="30">
        <v>0.49</v>
      </c>
      <c r="K315" s="30">
        <v>0.1</v>
      </c>
      <c r="L315" s="30">
        <v>2</v>
      </c>
      <c r="M315" s="30">
        <v>12</v>
      </c>
      <c r="N315" s="30">
        <v>14</v>
      </c>
    </row>
    <row r="316" spans="1:14">
      <c r="A316" s="30">
        <v>925</v>
      </c>
      <c r="B316" s="31">
        <v>40585</v>
      </c>
      <c r="C316" s="30">
        <v>1</v>
      </c>
      <c r="D316" s="30" t="str">
        <f t="shared" si="5"/>
        <v>Night</v>
      </c>
      <c r="E316" s="30" t="b">
        <v>0</v>
      </c>
      <c r="F316" s="30" t="s">
        <v>24</v>
      </c>
      <c r="G316" s="30" t="s">
        <v>8</v>
      </c>
      <c r="H316" s="30">
        <v>0.1</v>
      </c>
      <c r="I316" s="30">
        <v>0.14000000000000001</v>
      </c>
      <c r="J316" s="30">
        <v>0.54</v>
      </c>
      <c r="K316" s="30">
        <v>0.09</v>
      </c>
      <c r="L316" s="30">
        <v>1</v>
      </c>
      <c r="M316" s="30">
        <v>6</v>
      </c>
      <c r="N316" s="30">
        <v>7</v>
      </c>
    </row>
    <row r="317" spans="1:14">
      <c r="A317" s="30">
        <v>926</v>
      </c>
      <c r="B317" s="31">
        <v>40585</v>
      </c>
      <c r="C317" s="30">
        <v>2</v>
      </c>
      <c r="D317" s="30" t="str">
        <f t="shared" si="5"/>
        <v>Night</v>
      </c>
      <c r="E317" s="30" t="b">
        <v>0</v>
      </c>
      <c r="F317" s="30" t="s">
        <v>24</v>
      </c>
      <c r="G317" s="30" t="s">
        <v>8</v>
      </c>
      <c r="H317" s="30">
        <v>0.1</v>
      </c>
      <c r="I317" s="30">
        <v>0.14000000000000001</v>
      </c>
      <c r="J317" s="30">
        <v>0.54</v>
      </c>
      <c r="K317" s="30">
        <v>0.09</v>
      </c>
      <c r="L317" s="30">
        <v>0</v>
      </c>
      <c r="M317" s="30">
        <v>3</v>
      </c>
      <c r="N317" s="30">
        <v>3</v>
      </c>
    </row>
    <row r="318" spans="1:14">
      <c r="A318" s="30">
        <v>927</v>
      </c>
      <c r="B318" s="31">
        <v>40585</v>
      </c>
      <c r="C318" s="30">
        <v>5</v>
      </c>
      <c r="D318" s="30" t="str">
        <f t="shared" si="5"/>
        <v>Night</v>
      </c>
      <c r="E318" s="30" t="b">
        <v>0</v>
      </c>
      <c r="F318" s="30" t="s">
        <v>24</v>
      </c>
      <c r="G318" s="30" t="s">
        <v>8</v>
      </c>
      <c r="H318" s="30">
        <v>0.08</v>
      </c>
      <c r="I318" s="30">
        <v>0.12</v>
      </c>
      <c r="J318" s="30">
        <v>0.63</v>
      </c>
      <c r="K318" s="30">
        <v>0.09</v>
      </c>
      <c r="L318" s="30">
        <v>0</v>
      </c>
      <c r="M318" s="30">
        <v>4</v>
      </c>
      <c r="N318" s="30">
        <v>4</v>
      </c>
    </row>
    <row r="319" spans="1:14">
      <c r="A319" s="30">
        <v>928</v>
      </c>
      <c r="B319" s="31">
        <v>40585</v>
      </c>
      <c r="C319" s="30">
        <v>6</v>
      </c>
      <c r="D319" s="30" t="str">
        <f t="shared" si="5"/>
        <v>Morning</v>
      </c>
      <c r="E319" s="30" t="b">
        <v>0</v>
      </c>
      <c r="F319" s="30" t="s">
        <v>24</v>
      </c>
      <c r="G319" s="30" t="s">
        <v>8</v>
      </c>
      <c r="H319" s="30">
        <v>0.1</v>
      </c>
      <c r="I319" s="30">
        <v>0.18</v>
      </c>
      <c r="J319" s="30">
        <v>0.68</v>
      </c>
      <c r="K319" s="30">
        <v>0</v>
      </c>
      <c r="L319" s="30">
        <v>1</v>
      </c>
      <c r="M319" s="30">
        <v>23</v>
      </c>
      <c r="N319" s="30">
        <v>24</v>
      </c>
    </row>
    <row r="320" spans="1:14">
      <c r="A320" s="30">
        <v>929</v>
      </c>
      <c r="B320" s="31">
        <v>40585</v>
      </c>
      <c r="C320" s="30">
        <v>7</v>
      </c>
      <c r="D320" s="30" t="str">
        <f t="shared" si="5"/>
        <v>Morning</v>
      </c>
      <c r="E320" s="30" t="b">
        <v>0</v>
      </c>
      <c r="F320" s="30" t="s">
        <v>24</v>
      </c>
      <c r="G320" s="30" t="s">
        <v>8</v>
      </c>
      <c r="H320" s="30">
        <v>0.08</v>
      </c>
      <c r="I320" s="30">
        <v>0.17</v>
      </c>
      <c r="J320" s="30">
        <v>0.73</v>
      </c>
      <c r="K320" s="30">
        <v>0</v>
      </c>
      <c r="L320" s="30">
        <v>1</v>
      </c>
      <c r="M320" s="30">
        <v>73</v>
      </c>
      <c r="N320" s="30">
        <v>74</v>
      </c>
    </row>
    <row r="321" spans="1:14">
      <c r="A321" s="30">
        <v>930</v>
      </c>
      <c r="B321" s="31">
        <v>40585</v>
      </c>
      <c r="C321" s="30">
        <v>8</v>
      </c>
      <c r="D321" s="30" t="str">
        <f t="shared" si="5"/>
        <v>Morning</v>
      </c>
      <c r="E321" s="30" t="b">
        <v>0</v>
      </c>
      <c r="F321" s="30" t="s">
        <v>24</v>
      </c>
      <c r="G321" s="30" t="s">
        <v>8</v>
      </c>
      <c r="H321" s="30">
        <v>0.1</v>
      </c>
      <c r="I321" s="30">
        <v>0.12</v>
      </c>
      <c r="J321" s="30">
        <v>0.74</v>
      </c>
      <c r="K321" s="30">
        <v>0.16</v>
      </c>
      <c r="L321" s="30">
        <v>4</v>
      </c>
      <c r="M321" s="30">
        <v>212</v>
      </c>
      <c r="N321" s="30">
        <v>216</v>
      </c>
    </row>
    <row r="322" spans="1:14">
      <c r="A322" s="30">
        <v>931</v>
      </c>
      <c r="B322" s="31">
        <v>40585</v>
      </c>
      <c r="C322" s="30">
        <v>9</v>
      </c>
      <c r="D322" s="30" t="str">
        <f t="shared" ref="D322:D385" si="6">IF($C322&lt;6,"Night",IF($C322&lt;12,"Morning",IF($C322&lt;18,"Afternoon","Evening")))</f>
        <v>Morning</v>
      </c>
      <c r="E322" s="30" t="b">
        <v>0</v>
      </c>
      <c r="F322" s="30" t="s">
        <v>24</v>
      </c>
      <c r="G322" s="30" t="s">
        <v>8</v>
      </c>
      <c r="H322" s="30">
        <v>0.12</v>
      </c>
      <c r="I322" s="30">
        <v>0.12</v>
      </c>
      <c r="J322" s="30">
        <v>0.74</v>
      </c>
      <c r="K322" s="30">
        <v>0.22</v>
      </c>
      <c r="L322" s="30">
        <v>8</v>
      </c>
      <c r="M322" s="30">
        <v>132</v>
      </c>
      <c r="N322" s="30">
        <v>140</v>
      </c>
    </row>
    <row r="323" spans="1:14">
      <c r="A323" s="30">
        <v>932</v>
      </c>
      <c r="B323" s="31">
        <v>40585</v>
      </c>
      <c r="C323" s="30">
        <v>10</v>
      </c>
      <c r="D323" s="30" t="str">
        <f t="shared" si="6"/>
        <v>Morning</v>
      </c>
      <c r="E323" s="30" t="b">
        <v>0</v>
      </c>
      <c r="F323" s="30" t="s">
        <v>24</v>
      </c>
      <c r="G323" s="30" t="s">
        <v>8</v>
      </c>
      <c r="H323" s="30">
        <v>0.14000000000000001</v>
      </c>
      <c r="I323" s="30">
        <v>0.14000000000000001</v>
      </c>
      <c r="J323" s="30">
        <v>0.69</v>
      </c>
      <c r="K323" s="30">
        <v>0.19</v>
      </c>
      <c r="L323" s="30">
        <v>5</v>
      </c>
      <c r="M323" s="30">
        <v>39</v>
      </c>
      <c r="N323" s="30">
        <v>44</v>
      </c>
    </row>
    <row r="324" spans="1:14">
      <c r="A324" s="30">
        <v>933</v>
      </c>
      <c r="B324" s="31">
        <v>40585</v>
      </c>
      <c r="C324" s="30">
        <v>11</v>
      </c>
      <c r="D324" s="30" t="str">
        <f t="shared" si="6"/>
        <v>Morning</v>
      </c>
      <c r="E324" s="30" t="b">
        <v>0</v>
      </c>
      <c r="F324" s="30" t="s">
        <v>24</v>
      </c>
      <c r="G324" s="30" t="s">
        <v>8</v>
      </c>
      <c r="H324" s="30">
        <v>0.22</v>
      </c>
      <c r="I324" s="30">
        <v>0.23</v>
      </c>
      <c r="J324" s="30">
        <v>0.47</v>
      </c>
      <c r="K324" s="30">
        <v>0.13</v>
      </c>
      <c r="L324" s="30">
        <v>12</v>
      </c>
      <c r="M324" s="30">
        <v>52</v>
      </c>
      <c r="N324" s="30">
        <v>64</v>
      </c>
    </row>
    <row r="325" spans="1:14">
      <c r="A325" s="30">
        <v>934</v>
      </c>
      <c r="B325" s="31">
        <v>40585</v>
      </c>
      <c r="C325" s="30">
        <v>12</v>
      </c>
      <c r="D325" s="30" t="str">
        <f t="shared" si="6"/>
        <v>Afternoon</v>
      </c>
      <c r="E325" s="30" t="b">
        <v>0</v>
      </c>
      <c r="F325" s="30" t="s">
        <v>24</v>
      </c>
      <c r="G325" s="30" t="s">
        <v>8</v>
      </c>
      <c r="H325" s="30">
        <v>0.22</v>
      </c>
      <c r="I325" s="30">
        <v>0.23</v>
      </c>
      <c r="J325" s="30">
        <v>0.47</v>
      </c>
      <c r="K325" s="30">
        <v>0.13</v>
      </c>
      <c r="L325" s="30">
        <v>7</v>
      </c>
      <c r="M325" s="30">
        <v>64</v>
      </c>
      <c r="N325" s="30">
        <v>71</v>
      </c>
    </row>
    <row r="326" spans="1:14">
      <c r="A326" s="30">
        <v>935</v>
      </c>
      <c r="B326" s="31">
        <v>40585</v>
      </c>
      <c r="C326" s="30">
        <v>13</v>
      </c>
      <c r="D326" s="30" t="str">
        <f t="shared" si="6"/>
        <v>Afternoon</v>
      </c>
      <c r="E326" s="30" t="b">
        <v>0</v>
      </c>
      <c r="F326" s="30" t="s">
        <v>24</v>
      </c>
      <c r="G326" s="30" t="s">
        <v>8</v>
      </c>
      <c r="H326" s="30">
        <v>0.24</v>
      </c>
      <c r="I326" s="30">
        <v>0.23</v>
      </c>
      <c r="J326" s="30">
        <v>0.35</v>
      </c>
      <c r="K326" s="30">
        <v>0.19</v>
      </c>
      <c r="L326" s="30">
        <v>21</v>
      </c>
      <c r="M326" s="30">
        <v>89</v>
      </c>
      <c r="N326" s="30">
        <v>110</v>
      </c>
    </row>
    <row r="327" spans="1:14">
      <c r="A327" s="30">
        <v>936</v>
      </c>
      <c r="B327" s="31">
        <v>40585</v>
      </c>
      <c r="C327" s="30">
        <v>14</v>
      </c>
      <c r="D327" s="30" t="str">
        <f t="shared" si="6"/>
        <v>Afternoon</v>
      </c>
      <c r="E327" s="30" t="b">
        <v>0</v>
      </c>
      <c r="F327" s="30" t="s">
        <v>24</v>
      </c>
      <c r="G327" s="30" t="s">
        <v>8</v>
      </c>
      <c r="H327" s="30">
        <v>0.3</v>
      </c>
      <c r="I327" s="30">
        <v>0.28999999999999998</v>
      </c>
      <c r="J327" s="30">
        <v>0.26</v>
      </c>
      <c r="K327" s="30">
        <v>0.25</v>
      </c>
      <c r="L327" s="30">
        <v>17</v>
      </c>
      <c r="M327" s="30">
        <v>67</v>
      </c>
      <c r="N327" s="30">
        <v>84</v>
      </c>
    </row>
    <row r="328" spans="1:14">
      <c r="A328" s="30">
        <v>937</v>
      </c>
      <c r="B328" s="31">
        <v>40585</v>
      </c>
      <c r="C328" s="30">
        <v>15</v>
      </c>
      <c r="D328" s="30" t="str">
        <f t="shared" si="6"/>
        <v>Afternoon</v>
      </c>
      <c r="E328" s="30" t="b">
        <v>0</v>
      </c>
      <c r="F328" s="30" t="s">
        <v>24</v>
      </c>
      <c r="G328" s="30" t="s">
        <v>8</v>
      </c>
      <c r="H328" s="30">
        <v>0.32</v>
      </c>
      <c r="I328" s="30">
        <v>0.32</v>
      </c>
      <c r="J328" s="30">
        <v>0.21</v>
      </c>
      <c r="K328" s="30">
        <v>0.16</v>
      </c>
      <c r="L328" s="30">
        <v>12</v>
      </c>
      <c r="M328" s="30">
        <v>62</v>
      </c>
      <c r="N328" s="30">
        <v>74</v>
      </c>
    </row>
    <row r="329" spans="1:14">
      <c r="A329" s="30">
        <v>938</v>
      </c>
      <c r="B329" s="31">
        <v>40585</v>
      </c>
      <c r="C329" s="30">
        <v>16</v>
      </c>
      <c r="D329" s="30" t="str">
        <f t="shared" si="6"/>
        <v>Afternoon</v>
      </c>
      <c r="E329" s="30" t="b">
        <v>0</v>
      </c>
      <c r="F329" s="30" t="s">
        <v>24</v>
      </c>
      <c r="G329" s="30" t="s">
        <v>8</v>
      </c>
      <c r="H329" s="30">
        <v>0.3</v>
      </c>
      <c r="I329" s="30">
        <v>0.28999999999999998</v>
      </c>
      <c r="J329" s="30">
        <v>0.28000000000000003</v>
      </c>
      <c r="K329" s="30">
        <v>0.19</v>
      </c>
      <c r="L329" s="30">
        <v>14</v>
      </c>
      <c r="M329" s="30">
        <v>111</v>
      </c>
      <c r="N329" s="30">
        <v>125</v>
      </c>
    </row>
    <row r="330" spans="1:14">
      <c r="A330" s="30">
        <v>939</v>
      </c>
      <c r="B330" s="31">
        <v>40585</v>
      </c>
      <c r="C330" s="30">
        <v>17</v>
      </c>
      <c r="D330" s="30" t="str">
        <f t="shared" si="6"/>
        <v>Afternoon</v>
      </c>
      <c r="E330" s="30" t="b">
        <v>0</v>
      </c>
      <c r="F330" s="30" t="s">
        <v>24</v>
      </c>
      <c r="G330" s="30" t="s">
        <v>8</v>
      </c>
      <c r="H330" s="30">
        <v>0.3</v>
      </c>
      <c r="I330" s="30">
        <v>0.33</v>
      </c>
      <c r="J330" s="30">
        <v>0.24</v>
      </c>
      <c r="K330" s="30">
        <v>0</v>
      </c>
      <c r="L330" s="30">
        <v>18</v>
      </c>
      <c r="M330" s="30">
        <v>193</v>
      </c>
      <c r="N330" s="30">
        <v>211</v>
      </c>
    </row>
    <row r="331" spans="1:14">
      <c r="A331" s="30">
        <v>940</v>
      </c>
      <c r="B331" s="31">
        <v>40585</v>
      </c>
      <c r="C331" s="30">
        <v>18</v>
      </c>
      <c r="D331" s="30" t="str">
        <f t="shared" si="6"/>
        <v>Evening</v>
      </c>
      <c r="E331" s="30" t="b">
        <v>0</v>
      </c>
      <c r="F331" s="30" t="s">
        <v>24</v>
      </c>
      <c r="G331" s="30" t="s">
        <v>8</v>
      </c>
      <c r="H331" s="30">
        <v>0.28000000000000003</v>
      </c>
      <c r="I331" s="30">
        <v>0.32</v>
      </c>
      <c r="J331" s="30">
        <v>0.28000000000000003</v>
      </c>
      <c r="K331" s="30">
        <v>0</v>
      </c>
      <c r="L331" s="30">
        <v>9</v>
      </c>
      <c r="M331" s="30">
        <v>165</v>
      </c>
      <c r="N331" s="30">
        <v>174</v>
      </c>
    </row>
    <row r="332" spans="1:14">
      <c r="A332" s="30">
        <v>941</v>
      </c>
      <c r="B332" s="31">
        <v>40585</v>
      </c>
      <c r="C332" s="30">
        <v>19</v>
      </c>
      <c r="D332" s="30" t="str">
        <f t="shared" si="6"/>
        <v>Evening</v>
      </c>
      <c r="E332" s="30" t="b">
        <v>0</v>
      </c>
      <c r="F332" s="30" t="s">
        <v>24</v>
      </c>
      <c r="G332" s="30" t="s">
        <v>8</v>
      </c>
      <c r="H332" s="30">
        <v>0.26</v>
      </c>
      <c r="I332" s="30">
        <v>0.3</v>
      </c>
      <c r="J332" s="30">
        <v>0.33</v>
      </c>
      <c r="K332" s="30">
        <v>0</v>
      </c>
      <c r="L332" s="30">
        <v>7</v>
      </c>
      <c r="M332" s="30">
        <v>94</v>
      </c>
      <c r="N332" s="30">
        <v>101</v>
      </c>
    </row>
    <row r="333" spans="1:14">
      <c r="A333" s="30">
        <v>942</v>
      </c>
      <c r="B333" s="31">
        <v>40585</v>
      </c>
      <c r="C333" s="30">
        <v>20</v>
      </c>
      <c r="D333" s="30" t="str">
        <f t="shared" si="6"/>
        <v>Evening</v>
      </c>
      <c r="E333" s="30" t="b">
        <v>0</v>
      </c>
      <c r="F333" s="30" t="s">
        <v>24</v>
      </c>
      <c r="G333" s="30" t="s">
        <v>8</v>
      </c>
      <c r="H333" s="30">
        <v>0.22</v>
      </c>
      <c r="I333" s="30">
        <v>0.23</v>
      </c>
      <c r="J333" s="30">
        <v>0.55000000000000004</v>
      </c>
      <c r="K333" s="30">
        <v>0.13</v>
      </c>
      <c r="L333" s="30">
        <v>2</v>
      </c>
      <c r="M333" s="30">
        <v>61</v>
      </c>
      <c r="N333" s="30">
        <v>63</v>
      </c>
    </row>
    <row r="334" spans="1:14">
      <c r="A334" s="30">
        <v>943</v>
      </c>
      <c r="B334" s="31">
        <v>40585</v>
      </c>
      <c r="C334" s="30">
        <v>21</v>
      </c>
      <c r="D334" s="30" t="str">
        <f t="shared" si="6"/>
        <v>Evening</v>
      </c>
      <c r="E334" s="30" t="b">
        <v>0</v>
      </c>
      <c r="F334" s="30" t="s">
        <v>24</v>
      </c>
      <c r="G334" s="30" t="s">
        <v>8</v>
      </c>
      <c r="H334" s="30">
        <v>0.2</v>
      </c>
      <c r="I334" s="30">
        <v>0.21</v>
      </c>
      <c r="J334" s="30">
        <v>0.59</v>
      </c>
      <c r="K334" s="30">
        <v>0.13</v>
      </c>
      <c r="L334" s="30">
        <v>1</v>
      </c>
      <c r="M334" s="30">
        <v>46</v>
      </c>
      <c r="N334" s="30">
        <v>47</v>
      </c>
    </row>
    <row r="335" spans="1:14">
      <c r="A335" s="30">
        <v>944</v>
      </c>
      <c r="B335" s="31">
        <v>40585</v>
      </c>
      <c r="C335" s="30">
        <v>22</v>
      </c>
      <c r="D335" s="30" t="str">
        <f t="shared" si="6"/>
        <v>Evening</v>
      </c>
      <c r="E335" s="30" t="b">
        <v>0</v>
      </c>
      <c r="F335" s="30" t="s">
        <v>24</v>
      </c>
      <c r="G335" s="30" t="s">
        <v>8</v>
      </c>
      <c r="H335" s="30">
        <v>0.2</v>
      </c>
      <c r="I335" s="30">
        <v>0.23</v>
      </c>
      <c r="J335" s="30">
        <v>0.64</v>
      </c>
      <c r="K335" s="30">
        <v>0.09</v>
      </c>
      <c r="L335" s="30">
        <v>2</v>
      </c>
      <c r="M335" s="30">
        <v>41</v>
      </c>
      <c r="N335" s="30">
        <v>43</v>
      </c>
    </row>
    <row r="336" spans="1:14">
      <c r="A336" s="30">
        <v>945</v>
      </c>
      <c r="B336" s="31">
        <v>40585</v>
      </c>
      <c r="C336" s="30">
        <v>23</v>
      </c>
      <c r="D336" s="30" t="str">
        <f t="shared" si="6"/>
        <v>Evening</v>
      </c>
      <c r="E336" s="30" t="b">
        <v>0</v>
      </c>
      <c r="F336" s="30" t="s">
        <v>24</v>
      </c>
      <c r="G336" s="30" t="s">
        <v>8</v>
      </c>
      <c r="H336" s="30">
        <v>0.18</v>
      </c>
      <c r="I336" s="30">
        <v>0.24</v>
      </c>
      <c r="J336" s="30">
        <v>0.69</v>
      </c>
      <c r="K336" s="30">
        <v>0</v>
      </c>
      <c r="L336" s="30">
        <v>5</v>
      </c>
      <c r="M336" s="30">
        <v>48</v>
      </c>
      <c r="N336" s="30">
        <v>53</v>
      </c>
    </row>
    <row r="337" spans="1:14">
      <c r="A337" s="30">
        <v>946</v>
      </c>
      <c r="B337" s="31">
        <v>40586</v>
      </c>
      <c r="C337" s="30">
        <v>0</v>
      </c>
      <c r="D337" s="30" t="str">
        <f t="shared" si="6"/>
        <v>Night</v>
      </c>
      <c r="E337" s="30" t="b">
        <v>0</v>
      </c>
      <c r="F337" s="30" t="s">
        <v>25</v>
      </c>
      <c r="G337" s="30" t="s">
        <v>8</v>
      </c>
      <c r="H337" s="30">
        <v>0.16</v>
      </c>
      <c r="I337" s="30">
        <v>0.2</v>
      </c>
      <c r="J337" s="30">
        <v>0.69</v>
      </c>
      <c r="K337" s="30">
        <v>0.09</v>
      </c>
      <c r="L337" s="30">
        <v>3</v>
      </c>
      <c r="M337" s="30">
        <v>27</v>
      </c>
      <c r="N337" s="30">
        <v>30</v>
      </c>
    </row>
    <row r="338" spans="1:14">
      <c r="A338" s="30">
        <v>947</v>
      </c>
      <c r="B338" s="31">
        <v>40586</v>
      </c>
      <c r="C338" s="30">
        <v>1</v>
      </c>
      <c r="D338" s="30" t="str">
        <f t="shared" si="6"/>
        <v>Night</v>
      </c>
      <c r="E338" s="30" t="b">
        <v>0</v>
      </c>
      <c r="F338" s="30" t="s">
        <v>25</v>
      </c>
      <c r="G338" s="30" t="s">
        <v>8</v>
      </c>
      <c r="H338" s="30">
        <v>0.14000000000000001</v>
      </c>
      <c r="I338" s="30">
        <v>0.21</v>
      </c>
      <c r="J338" s="30">
        <v>0.86</v>
      </c>
      <c r="K338" s="30">
        <v>0</v>
      </c>
      <c r="L338" s="30">
        <v>2</v>
      </c>
      <c r="M338" s="30">
        <v>22</v>
      </c>
      <c r="N338" s="30">
        <v>24</v>
      </c>
    </row>
    <row r="339" spans="1:14">
      <c r="A339" s="30">
        <v>948</v>
      </c>
      <c r="B339" s="31">
        <v>40586</v>
      </c>
      <c r="C339" s="30">
        <v>2</v>
      </c>
      <c r="D339" s="30" t="str">
        <f t="shared" si="6"/>
        <v>Night</v>
      </c>
      <c r="E339" s="30" t="b">
        <v>0</v>
      </c>
      <c r="F339" s="30" t="s">
        <v>25</v>
      </c>
      <c r="G339" s="30" t="s">
        <v>8</v>
      </c>
      <c r="H339" s="30">
        <v>0.14000000000000001</v>
      </c>
      <c r="I339" s="30">
        <v>0.21</v>
      </c>
      <c r="J339" s="30">
        <v>0.8</v>
      </c>
      <c r="K339" s="30">
        <v>0</v>
      </c>
      <c r="L339" s="30">
        <v>2</v>
      </c>
      <c r="M339" s="30">
        <v>13</v>
      </c>
      <c r="N339" s="30">
        <v>15</v>
      </c>
    </row>
    <row r="340" spans="1:14">
      <c r="A340" s="30">
        <v>949</v>
      </c>
      <c r="B340" s="31">
        <v>40586</v>
      </c>
      <c r="C340" s="30">
        <v>3</v>
      </c>
      <c r="D340" s="30" t="str">
        <f t="shared" si="6"/>
        <v>Night</v>
      </c>
      <c r="E340" s="30" t="b">
        <v>0</v>
      </c>
      <c r="F340" s="30" t="s">
        <v>25</v>
      </c>
      <c r="G340" s="30" t="s">
        <v>8</v>
      </c>
      <c r="H340" s="30">
        <v>0.12</v>
      </c>
      <c r="I340" s="30">
        <v>0.2</v>
      </c>
      <c r="J340" s="30">
        <v>0.8</v>
      </c>
      <c r="K340" s="30">
        <v>0</v>
      </c>
      <c r="L340" s="30">
        <v>3</v>
      </c>
      <c r="M340" s="30">
        <v>7</v>
      </c>
      <c r="N340" s="30">
        <v>10</v>
      </c>
    </row>
    <row r="341" spans="1:14">
      <c r="A341" s="30">
        <v>950</v>
      </c>
      <c r="B341" s="31">
        <v>40586</v>
      </c>
      <c r="C341" s="30">
        <v>4</v>
      </c>
      <c r="D341" s="30" t="str">
        <f t="shared" si="6"/>
        <v>Night</v>
      </c>
      <c r="E341" s="30" t="b">
        <v>0</v>
      </c>
      <c r="F341" s="30" t="s">
        <v>25</v>
      </c>
      <c r="G341" s="30" t="s">
        <v>8</v>
      </c>
      <c r="H341" s="30">
        <v>0.12</v>
      </c>
      <c r="I341" s="30">
        <v>0.17</v>
      </c>
      <c r="J341" s="30">
        <v>0.74</v>
      </c>
      <c r="K341" s="30">
        <v>0.09</v>
      </c>
      <c r="L341" s="30">
        <v>0</v>
      </c>
      <c r="M341" s="30">
        <v>4</v>
      </c>
      <c r="N341" s="30">
        <v>4</v>
      </c>
    </row>
    <row r="342" spans="1:14">
      <c r="A342" s="30">
        <v>951</v>
      </c>
      <c r="B342" s="31">
        <v>40586</v>
      </c>
      <c r="C342" s="30">
        <v>5</v>
      </c>
      <c r="D342" s="30" t="str">
        <f t="shared" si="6"/>
        <v>Night</v>
      </c>
      <c r="E342" s="30" t="b">
        <v>0</v>
      </c>
      <c r="F342" s="30" t="s">
        <v>25</v>
      </c>
      <c r="G342" s="30" t="s">
        <v>8</v>
      </c>
      <c r="H342" s="30">
        <v>0.12</v>
      </c>
      <c r="I342" s="30">
        <v>0.17</v>
      </c>
      <c r="J342" s="30">
        <v>0.74</v>
      </c>
      <c r="K342" s="30">
        <v>0.09</v>
      </c>
      <c r="L342" s="30">
        <v>0</v>
      </c>
      <c r="M342" s="30">
        <v>1</v>
      </c>
      <c r="N342" s="30">
        <v>1</v>
      </c>
    </row>
    <row r="343" spans="1:14">
      <c r="A343" s="30">
        <v>952</v>
      </c>
      <c r="B343" s="31">
        <v>40586</v>
      </c>
      <c r="C343" s="30">
        <v>6</v>
      </c>
      <c r="D343" s="30" t="str">
        <f t="shared" si="6"/>
        <v>Morning</v>
      </c>
      <c r="E343" s="30" t="b">
        <v>0</v>
      </c>
      <c r="F343" s="30" t="s">
        <v>25</v>
      </c>
      <c r="G343" s="30" t="s">
        <v>8</v>
      </c>
      <c r="H343" s="30">
        <v>0.12</v>
      </c>
      <c r="I343" s="30">
        <v>0.14000000000000001</v>
      </c>
      <c r="J343" s="30">
        <v>0.93</v>
      </c>
      <c r="K343" s="30">
        <v>0.19</v>
      </c>
      <c r="L343" s="30">
        <v>1</v>
      </c>
      <c r="M343" s="30">
        <v>1</v>
      </c>
      <c r="N343" s="30">
        <v>2</v>
      </c>
    </row>
    <row r="344" spans="1:14">
      <c r="A344" s="30">
        <v>953</v>
      </c>
      <c r="B344" s="31">
        <v>40586</v>
      </c>
      <c r="C344" s="30">
        <v>7</v>
      </c>
      <c r="D344" s="30" t="str">
        <f t="shared" si="6"/>
        <v>Morning</v>
      </c>
      <c r="E344" s="30" t="b">
        <v>0</v>
      </c>
      <c r="F344" s="30" t="s">
        <v>25</v>
      </c>
      <c r="G344" s="30" t="s">
        <v>8</v>
      </c>
      <c r="H344" s="30">
        <v>0.12</v>
      </c>
      <c r="I344" s="30">
        <v>0.15</v>
      </c>
      <c r="J344" s="30">
        <v>0.8</v>
      </c>
      <c r="K344" s="30">
        <v>0.1</v>
      </c>
      <c r="L344" s="30">
        <v>2</v>
      </c>
      <c r="M344" s="30">
        <v>9</v>
      </c>
      <c r="N344" s="30">
        <v>11</v>
      </c>
    </row>
    <row r="345" spans="1:14">
      <c r="A345" s="30">
        <v>954</v>
      </c>
      <c r="B345" s="31">
        <v>40586</v>
      </c>
      <c r="C345" s="30">
        <v>8</v>
      </c>
      <c r="D345" s="30" t="str">
        <f t="shared" si="6"/>
        <v>Morning</v>
      </c>
      <c r="E345" s="30" t="b">
        <v>0</v>
      </c>
      <c r="F345" s="30" t="s">
        <v>25</v>
      </c>
      <c r="G345" s="30" t="s">
        <v>8</v>
      </c>
      <c r="H345" s="30">
        <v>0.14000000000000001</v>
      </c>
      <c r="I345" s="30">
        <v>0.15</v>
      </c>
      <c r="J345" s="30">
        <v>0.86</v>
      </c>
      <c r="K345" s="30">
        <v>0.13</v>
      </c>
      <c r="L345" s="30">
        <v>2</v>
      </c>
      <c r="M345" s="30">
        <v>28</v>
      </c>
      <c r="N345" s="30">
        <v>30</v>
      </c>
    </row>
    <row r="346" spans="1:14">
      <c r="A346" s="30">
        <v>955</v>
      </c>
      <c r="B346" s="31">
        <v>40586</v>
      </c>
      <c r="C346" s="30">
        <v>9</v>
      </c>
      <c r="D346" s="30" t="str">
        <f t="shared" si="6"/>
        <v>Morning</v>
      </c>
      <c r="E346" s="30" t="b">
        <v>0</v>
      </c>
      <c r="F346" s="30" t="s">
        <v>25</v>
      </c>
      <c r="G346" s="30" t="s">
        <v>8</v>
      </c>
      <c r="H346" s="30">
        <v>0.16</v>
      </c>
      <c r="I346" s="30">
        <v>0.18</v>
      </c>
      <c r="J346" s="30">
        <v>0.64</v>
      </c>
      <c r="K346" s="30">
        <v>0.13</v>
      </c>
      <c r="L346" s="30">
        <v>5</v>
      </c>
      <c r="M346" s="30">
        <v>38</v>
      </c>
      <c r="N346" s="30">
        <v>43</v>
      </c>
    </row>
    <row r="347" spans="1:14">
      <c r="A347" s="30">
        <v>956</v>
      </c>
      <c r="B347" s="31">
        <v>40586</v>
      </c>
      <c r="C347" s="30">
        <v>10</v>
      </c>
      <c r="D347" s="30" t="str">
        <f t="shared" si="6"/>
        <v>Morning</v>
      </c>
      <c r="E347" s="30" t="b">
        <v>0</v>
      </c>
      <c r="F347" s="30" t="s">
        <v>25</v>
      </c>
      <c r="G347" s="30" t="s">
        <v>8</v>
      </c>
      <c r="H347" s="30">
        <v>0.22</v>
      </c>
      <c r="I347" s="30">
        <v>0.21</v>
      </c>
      <c r="J347" s="30">
        <v>0.41</v>
      </c>
      <c r="K347" s="30">
        <v>0.25</v>
      </c>
      <c r="L347" s="30">
        <v>13</v>
      </c>
      <c r="M347" s="30">
        <v>71</v>
      </c>
      <c r="N347" s="30">
        <v>84</v>
      </c>
    </row>
    <row r="348" spans="1:14">
      <c r="A348" s="30">
        <v>957</v>
      </c>
      <c r="B348" s="31">
        <v>40586</v>
      </c>
      <c r="C348" s="30">
        <v>11</v>
      </c>
      <c r="D348" s="30" t="str">
        <f t="shared" si="6"/>
        <v>Morning</v>
      </c>
      <c r="E348" s="30" t="b">
        <v>0</v>
      </c>
      <c r="F348" s="30" t="s">
        <v>25</v>
      </c>
      <c r="G348" s="30" t="s">
        <v>8</v>
      </c>
      <c r="H348" s="30">
        <v>0.3</v>
      </c>
      <c r="I348" s="30">
        <v>0.27</v>
      </c>
      <c r="J348" s="30">
        <v>0.28000000000000003</v>
      </c>
      <c r="K348" s="30">
        <v>0.33</v>
      </c>
      <c r="L348" s="30">
        <v>30</v>
      </c>
      <c r="M348" s="30">
        <v>84</v>
      </c>
      <c r="N348" s="30">
        <v>114</v>
      </c>
    </row>
    <row r="349" spans="1:14">
      <c r="A349" s="30">
        <v>958</v>
      </c>
      <c r="B349" s="31">
        <v>40586</v>
      </c>
      <c r="C349" s="30">
        <v>12</v>
      </c>
      <c r="D349" s="30" t="str">
        <f t="shared" si="6"/>
        <v>Afternoon</v>
      </c>
      <c r="E349" s="30" t="b">
        <v>0</v>
      </c>
      <c r="F349" s="30" t="s">
        <v>25</v>
      </c>
      <c r="G349" s="30" t="s">
        <v>8</v>
      </c>
      <c r="H349" s="30">
        <v>0.3</v>
      </c>
      <c r="I349" s="30">
        <v>0.27</v>
      </c>
      <c r="J349" s="30">
        <v>0.39</v>
      </c>
      <c r="K349" s="30">
        <v>0.46</v>
      </c>
      <c r="L349" s="30">
        <v>27</v>
      </c>
      <c r="M349" s="30">
        <v>93</v>
      </c>
      <c r="N349" s="30">
        <v>120</v>
      </c>
    </row>
    <row r="350" spans="1:14">
      <c r="A350" s="30">
        <v>959</v>
      </c>
      <c r="B350" s="31">
        <v>40586</v>
      </c>
      <c r="C350" s="30">
        <v>13</v>
      </c>
      <c r="D350" s="30" t="str">
        <f t="shared" si="6"/>
        <v>Afternoon</v>
      </c>
      <c r="E350" s="30" t="b">
        <v>0</v>
      </c>
      <c r="F350" s="30" t="s">
        <v>25</v>
      </c>
      <c r="G350" s="30" t="s">
        <v>8</v>
      </c>
      <c r="H350" s="30">
        <v>0.3</v>
      </c>
      <c r="I350" s="30">
        <v>0.27</v>
      </c>
      <c r="J350" s="30">
        <v>0.39</v>
      </c>
      <c r="K350" s="30">
        <v>0.42</v>
      </c>
      <c r="L350" s="30">
        <v>32</v>
      </c>
      <c r="M350" s="30">
        <v>103</v>
      </c>
      <c r="N350" s="30">
        <v>135</v>
      </c>
    </row>
    <row r="351" spans="1:14">
      <c r="A351" s="30">
        <v>960</v>
      </c>
      <c r="B351" s="31">
        <v>40586</v>
      </c>
      <c r="C351" s="30">
        <v>14</v>
      </c>
      <c r="D351" s="30" t="str">
        <f t="shared" si="6"/>
        <v>Afternoon</v>
      </c>
      <c r="E351" s="30" t="b">
        <v>0</v>
      </c>
      <c r="F351" s="30" t="s">
        <v>25</v>
      </c>
      <c r="G351" s="30" t="s">
        <v>8</v>
      </c>
      <c r="H351" s="30">
        <v>0.34</v>
      </c>
      <c r="I351" s="30">
        <v>0.32</v>
      </c>
      <c r="J351" s="30">
        <v>0.31</v>
      </c>
      <c r="K351" s="30">
        <v>0.28000000000000003</v>
      </c>
      <c r="L351" s="30">
        <v>30</v>
      </c>
      <c r="M351" s="30">
        <v>90</v>
      </c>
      <c r="N351" s="30">
        <v>120</v>
      </c>
    </row>
    <row r="352" spans="1:14">
      <c r="A352" s="30">
        <v>961</v>
      </c>
      <c r="B352" s="31">
        <v>40586</v>
      </c>
      <c r="C352" s="30">
        <v>15</v>
      </c>
      <c r="D352" s="30" t="str">
        <f t="shared" si="6"/>
        <v>Afternoon</v>
      </c>
      <c r="E352" s="30" t="b">
        <v>0</v>
      </c>
      <c r="F352" s="30" t="s">
        <v>25</v>
      </c>
      <c r="G352" s="30" t="s">
        <v>8</v>
      </c>
      <c r="H352" s="30">
        <v>0.34</v>
      </c>
      <c r="I352" s="30">
        <v>0.3</v>
      </c>
      <c r="J352" s="30">
        <v>0.28999999999999998</v>
      </c>
      <c r="K352" s="30">
        <v>0.42</v>
      </c>
      <c r="L352" s="30">
        <v>47</v>
      </c>
      <c r="M352" s="30">
        <v>127</v>
      </c>
      <c r="N352" s="30">
        <v>174</v>
      </c>
    </row>
    <row r="353" spans="1:14">
      <c r="A353" s="30">
        <v>962</v>
      </c>
      <c r="B353" s="31">
        <v>40586</v>
      </c>
      <c r="C353" s="30">
        <v>16</v>
      </c>
      <c r="D353" s="30" t="str">
        <f t="shared" si="6"/>
        <v>Afternoon</v>
      </c>
      <c r="E353" s="30" t="b">
        <v>0</v>
      </c>
      <c r="F353" s="30" t="s">
        <v>25</v>
      </c>
      <c r="G353" s="30" t="s">
        <v>8</v>
      </c>
      <c r="H353" s="30">
        <v>0.34</v>
      </c>
      <c r="I353" s="30">
        <v>0.3</v>
      </c>
      <c r="J353" s="30">
        <v>0.28999999999999998</v>
      </c>
      <c r="K353" s="30">
        <v>0.42</v>
      </c>
      <c r="L353" s="30">
        <v>42</v>
      </c>
      <c r="M353" s="30">
        <v>103</v>
      </c>
      <c r="N353" s="30">
        <v>145</v>
      </c>
    </row>
    <row r="354" spans="1:14">
      <c r="A354" s="30">
        <v>963</v>
      </c>
      <c r="B354" s="31">
        <v>40586</v>
      </c>
      <c r="C354" s="30">
        <v>17</v>
      </c>
      <c r="D354" s="30" t="str">
        <f t="shared" si="6"/>
        <v>Afternoon</v>
      </c>
      <c r="E354" s="30" t="b">
        <v>0</v>
      </c>
      <c r="F354" s="30" t="s">
        <v>25</v>
      </c>
      <c r="G354" s="30" t="s">
        <v>8</v>
      </c>
      <c r="H354" s="30">
        <v>0.32</v>
      </c>
      <c r="I354" s="30">
        <v>0.28999999999999998</v>
      </c>
      <c r="J354" s="30">
        <v>0.31</v>
      </c>
      <c r="K354" s="30">
        <v>0.52</v>
      </c>
      <c r="L354" s="30">
        <v>24</v>
      </c>
      <c r="M354" s="30">
        <v>113</v>
      </c>
      <c r="N354" s="30">
        <v>137</v>
      </c>
    </row>
    <row r="355" spans="1:14">
      <c r="A355" s="30">
        <v>964</v>
      </c>
      <c r="B355" s="31">
        <v>40586</v>
      </c>
      <c r="C355" s="30">
        <v>18</v>
      </c>
      <c r="D355" s="30" t="str">
        <f t="shared" si="6"/>
        <v>Evening</v>
      </c>
      <c r="E355" s="30" t="b">
        <v>0</v>
      </c>
      <c r="F355" s="30" t="s">
        <v>25</v>
      </c>
      <c r="G355" s="30" t="s">
        <v>8</v>
      </c>
      <c r="H355" s="30">
        <v>0.28000000000000003</v>
      </c>
      <c r="I355" s="30">
        <v>0.26</v>
      </c>
      <c r="J355" s="30">
        <v>0.38</v>
      </c>
      <c r="K355" s="30">
        <v>0.33</v>
      </c>
      <c r="L355" s="30">
        <v>4</v>
      </c>
      <c r="M355" s="30">
        <v>60</v>
      </c>
      <c r="N355" s="30">
        <v>64</v>
      </c>
    </row>
    <row r="356" spans="1:14">
      <c r="A356" s="30">
        <v>965</v>
      </c>
      <c r="B356" s="31">
        <v>40586</v>
      </c>
      <c r="C356" s="30">
        <v>19</v>
      </c>
      <c r="D356" s="30" t="str">
        <f t="shared" si="6"/>
        <v>Evening</v>
      </c>
      <c r="E356" s="30" t="b">
        <v>0</v>
      </c>
      <c r="F356" s="30" t="s">
        <v>25</v>
      </c>
      <c r="G356" s="30" t="s">
        <v>8</v>
      </c>
      <c r="H356" s="30">
        <v>0.28000000000000003</v>
      </c>
      <c r="I356" s="30">
        <v>0.27</v>
      </c>
      <c r="J356" s="30">
        <v>0.38</v>
      </c>
      <c r="K356" s="30">
        <v>0.16</v>
      </c>
      <c r="L356" s="30">
        <v>2</v>
      </c>
      <c r="M356" s="30">
        <v>39</v>
      </c>
      <c r="N356" s="30">
        <v>41</v>
      </c>
    </row>
    <row r="357" spans="1:14">
      <c r="A357" s="30">
        <v>966</v>
      </c>
      <c r="B357" s="31">
        <v>40586</v>
      </c>
      <c r="C357" s="30">
        <v>20</v>
      </c>
      <c r="D357" s="30" t="str">
        <f t="shared" si="6"/>
        <v>Evening</v>
      </c>
      <c r="E357" s="30" t="b">
        <v>0</v>
      </c>
      <c r="F357" s="30" t="s">
        <v>25</v>
      </c>
      <c r="G357" s="30" t="s">
        <v>8</v>
      </c>
      <c r="H357" s="30">
        <v>0.26</v>
      </c>
      <c r="I357" s="30">
        <v>0.26</v>
      </c>
      <c r="J357" s="30">
        <v>0.41</v>
      </c>
      <c r="K357" s="30">
        <v>0.22</v>
      </c>
      <c r="L357" s="30">
        <v>1</v>
      </c>
      <c r="M357" s="30">
        <v>39</v>
      </c>
      <c r="N357" s="30">
        <v>40</v>
      </c>
    </row>
    <row r="358" spans="1:14">
      <c r="A358" s="30">
        <v>967</v>
      </c>
      <c r="B358" s="31">
        <v>40586</v>
      </c>
      <c r="C358" s="30">
        <v>21</v>
      </c>
      <c r="D358" s="30" t="str">
        <f t="shared" si="6"/>
        <v>Evening</v>
      </c>
      <c r="E358" s="30" t="b">
        <v>0</v>
      </c>
      <c r="F358" s="30" t="s">
        <v>25</v>
      </c>
      <c r="G358" s="30" t="s">
        <v>8</v>
      </c>
      <c r="H358" s="30">
        <v>0.26</v>
      </c>
      <c r="I358" s="30">
        <v>0.3</v>
      </c>
      <c r="J358" s="30">
        <v>0.41</v>
      </c>
      <c r="K358" s="30">
        <v>0</v>
      </c>
      <c r="L358" s="30">
        <v>9</v>
      </c>
      <c r="M358" s="30">
        <v>42</v>
      </c>
      <c r="N358" s="30">
        <v>51</v>
      </c>
    </row>
    <row r="359" spans="1:14">
      <c r="A359" s="30">
        <v>968</v>
      </c>
      <c r="B359" s="31">
        <v>40586</v>
      </c>
      <c r="C359" s="30">
        <v>22</v>
      </c>
      <c r="D359" s="30" t="str">
        <f t="shared" si="6"/>
        <v>Evening</v>
      </c>
      <c r="E359" s="30" t="b">
        <v>0</v>
      </c>
      <c r="F359" s="30" t="s">
        <v>25</v>
      </c>
      <c r="G359" s="30" t="s">
        <v>8</v>
      </c>
      <c r="H359" s="30">
        <v>0.24</v>
      </c>
      <c r="I359" s="30">
        <v>0.26</v>
      </c>
      <c r="J359" s="30">
        <v>0.44</v>
      </c>
      <c r="K359" s="30">
        <v>0.09</v>
      </c>
      <c r="L359" s="30">
        <v>6</v>
      </c>
      <c r="M359" s="30">
        <v>39</v>
      </c>
      <c r="N359" s="30">
        <v>45</v>
      </c>
    </row>
    <row r="360" spans="1:14">
      <c r="A360" s="30">
        <v>969</v>
      </c>
      <c r="B360" s="31">
        <v>40586</v>
      </c>
      <c r="C360" s="30">
        <v>23</v>
      </c>
      <c r="D360" s="30" t="str">
        <f t="shared" si="6"/>
        <v>Evening</v>
      </c>
      <c r="E360" s="30" t="b">
        <v>0</v>
      </c>
      <c r="F360" s="30" t="s">
        <v>25</v>
      </c>
      <c r="G360" s="30" t="s">
        <v>8</v>
      </c>
      <c r="H360" s="30">
        <v>0.22</v>
      </c>
      <c r="I360" s="30">
        <v>0.23</v>
      </c>
      <c r="J360" s="30">
        <v>0.51</v>
      </c>
      <c r="K360" s="30">
        <v>0.13</v>
      </c>
      <c r="L360" s="30">
        <v>1</v>
      </c>
      <c r="M360" s="30">
        <v>31</v>
      </c>
      <c r="N360" s="30">
        <v>32</v>
      </c>
    </row>
    <row r="361" spans="1:14">
      <c r="A361" s="30">
        <v>970</v>
      </c>
      <c r="B361" s="31">
        <v>40587</v>
      </c>
      <c r="C361" s="30">
        <v>0</v>
      </c>
      <c r="D361" s="30" t="str">
        <f t="shared" si="6"/>
        <v>Night</v>
      </c>
      <c r="E361" s="30" t="b">
        <v>0</v>
      </c>
      <c r="F361" s="30" t="s">
        <v>19</v>
      </c>
      <c r="G361" s="30" t="s">
        <v>8</v>
      </c>
      <c r="H361" s="30">
        <v>0.2</v>
      </c>
      <c r="I361" s="30">
        <v>0.23</v>
      </c>
      <c r="J361" s="30">
        <v>0.64</v>
      </c>
      <c r="K361" s="30">
        <v>0.1</v>
      </c>
      <c r="L361" s="30">
        <v>5</v>
      </c>
      <c r="M361" s="30">
        <v>34</v>
      </c>
      <c r="N361" s="30">
        <v>39</v>
      </c>
    </row>
    <row r="362" spans="1:14">
      <c r="A362" s="30">
        <v>971</v>
      </c>
      <c r="B362" s="31">
        <v>40587</v>
      </c>
      <c r="C362" s="30">
        <v>1</v>
      </c>
      <c r="D362" s="30" t="str">
        <f t="shared" si="6"/>
        <v>Night</v>
      </c>
      <c r="E362" s="30" t="b">
        <v>0</v>
      </c>
      <c r="F362" s="30" t="s">
        <v>19</v>
      </c>
      <c r="G362" s="30" t="s">
        <v>8</v>
      </c>
      <c r="H362" s="30">
        <v>0.2</v>
      </c>
      <c r="I362" s="30">
        <v>0.23</v>
      </c>
      <c r="J362" s="30">
        <v>0.59</v>
      </c>
      <c r="K362" s="30">
        <v>0.09</v>
      </c>
      <c r="L362" s="30">
        <v>1</v>
      </c>
      <c r="M362" s="30">
        <v>23</v>
      </c>
      <c r="N362" s="30">
        <v>24</v>
      </c>
    </row>
    <row r="363" spans="1:14">
      <c r="A363" s="30">
        <v>972</v>
      </c>
      <c r="B363" s="31">
        <v>40587</v>
      </c>
      <c r="C363" s="30">
        <v>2</v>
      </c>
      <c r="D363" s="30" t="str">
        <f t="shared" si="6"/>
        <v>Night</v>
      </c>
      <c r="E363" s="30" t="b">
        <v>0</v>
      </c>
      <c r="F363" s="30" t="s">
        <v>19</v>
      </c>
      <c r="G363" s="30" t="s">
        <v>9</v>
      </c>
      <c r="H363" s="30">
        <v>0.2</v>
      </c>
      <c r="I363" s="30">
        <v>0.23</v>
      </c>
      <c r="J363" s="30">
        <v>0.75</v>
      </c>
      <c r="K363" s="30">
        <v>0.09</v>
      </c>
      <c r="L363" s="30">
        <v>1</v>
      </c>
      <c r="M363" s="30">
        <v>19</v>
      </c>
      <c r="N363" s="30">
        <v>20</v>
      </c>
    </row>
    <row r="364" spans="1:14">
      <c r="A364" s="30">
        <v>973</v>
      </c>
      <c r="B364" s="31">
        <v>40587</v>
      </c>
      <c r="C364" s="30">
        <v>3</v>
      </c>
      <c r="D364" s="30" t="str">
        <f t="shared" si="6"/>
        <v>Night</v>
      </c>
      <c r="E364" s="30" t="b">
        <v>0</v>
      </c>
      <c r="F364" s="30" t="s">
        <v>19</v>
      </c>
      <c r="G364" s="30" t="s">
        <v>9</v>
      </c>
      <c r="H364" s="30">
        <v>0.2</v>
      </c>
      <c r="I364" s="30">
        <v>0.23</v>
      </c>
      <c r="J364" s="30">
        <v>0.69</v>
      </c>
      <c r="K364" s="30">
        <v>0.1</v>
      </c>
      <c r="L364" s="30">
        <v>4</v>
      </c>
      <c r="M364" s="30">
        <v>8</v>
      </c>
      <c r="N364" s="30">
        <v>12</v>
      </c>
    </row>
    <row r="365" spans="1:14">
      <c r="A365" s="30">
        <v>974</v>
      </c>
      <c r="B365" s="31">
        <v>40587</v>
      </c>
      <c r="C365" s="30">
        <v>4</v>
      </c>
      <c r="D365" s="30" t="str">
        <f t="shared" si="6"/>
        <v>Night</v>
      </c>
      <c r="E365" s="30" t="b">
        <v>0</v>
      </c>
      <c r="F365" s="30" t="s">
        <v>19</v>
      </c>
      <c r="G365" s="30" t="s">
        <v>9</v>
      </c>
      <c r="H365" s="30">
        <v>0.2</v>
      </c>
      <c r="I365" s="30">
        <v>0.21</v>
      </c>
      <c r="J365" s="30">
        <v>0.69</v>
      </c>
      <c r="K365" s="30">
        <v>0.16</v>
      </c>
      <c r="L365" s="30">
        <v>0</v>
      </c>
      <c r="M365" s="30">
        <v>2</v>
      </c>
      <c r="N365" s="30">
        <v>2</v>
      </c>
    </row>
    <row r="366" spans="1:14">
      <c r="A366" s="30">
        <v>975</v>
      </c>
      <c r="B366" s="31">
        <v>40587</v>
      </c>
      <c r="C366" s="30">
        <v>6</v>
      </c>
      <c r="D366" s="30" t="str">
        <f t="shared" si="6"/>
        <v>Morning</v>
      </c>
      <c r="E366" s="30" t="b">
        <v>0</v>
      </c>
      <c r="F366" s="30" t="s">
        <v>19</v>
      </c>
      <c r="G366" s="30" t="s">
        <v>9</v>
      </c>
      <c r="H366" s="30">
        <v>0.2</v>
      </c>
      <c r="I366" s="30">
        <v>0.21</v>
      </c>
      <c r="J366" s="30">
        <v>0.69</v>
      </c>
      <c r="K366" s="30">
        <v>0.13</v>
      </c>
      <c r="L366" s="30">
        <v>2</v>
      </c>
      <c r="M366" s="30">
        <v>3</v>
      </c>
      <c r="N366" s="30">
        <v>5</v>
      </c>
    </row>
    <row r="367" spans="1:14">
      <c r="A367" s="30">
        <v>976</v>
      </c>
      <c r="B367" s="31">
        <v>40587</v>
      </c>
      <c r="C367" s="30">
        <v>7</v>
      </c>
      <c r="D367" s="30" t="str">
        <f t="shared" si="6"/>
        <v>Morning</v>
      </c>
      <c r="E367" s="30" t="b">
        <v>0</v>
      </c>
      <c r="F367" s="30" t="s">
        <v>19</v>
      </c>
      <c r="G367" s="30" t="s">
        <v>9</v>
      </c>
      <c r="H367" s="30">
        <v>0.22</v>
      </c>
      <c r="I367" s="30">
        <v>0.27</v>
      </c>
      <c r="J367" s="30">
        <v>0.55000000000000004</v>
      </c>
      <c r="K367" s="30">
        <v>0</v>
      </c>
      <c r="L367" s="30">
        <v>0</v>
      </c>
      <c r="M367" s="30">
        <v>3</v>
      </c>
      <c r="N367" s="30">
        <v>3</v>
      </c>
    </row>
    <row r="368" spans="1:14">
      <c r="A368" s="30">
        <v>977</v>
      </c>
      <c r="B368" s="31">
        <v>40587</v>
      </c>
      <c r="C368" s="30">
        <v>8</v>
      </c>
      <c r="D368" s="30" t="str">
        <f t="shared" si="6"/>
        <v>Morning</v>
      </c>
      <c r="E368" s="30" t="b">
        <v>0</v>
      </c>
      <c r="F368" s="30" t="s">
        <v>19</v>
      </c>
      <c r="G368" s="30" t="s">
        <v>9</v>
      </c>
      <c r="H368" s="30">
        <v>0.22</v>
      </c>
      <c r="I368" s="30">
        <v>0.23</v>
      </c>
      <c r="J368" s="30">
        <v>0.64</v>
      </c>
      <c r="K368" s="30">
        <v>0.19</v>
      </c>
      <c r="L368" s="30">
        <v>1</v>
      </c>
      <c r="M368" s="30">
        <v>11</v>
      </c>
      <c r="N368" s="30">
        <v>12</v>
      </c>
    </row>
    <row r="369" spans="1:14">
      <c r="A369" s="30">
        <v>978</v>
      </c>
      <c r="B369" s="31">
        <v>40587</v>
      </c>
      <c r="C369" s="30">
        <v>9</v>
      </c>
      <c r="D369" s="30" t="str">
        <f t="shared" si="6"/>
        <v>Morning</v>
      </c>
      <c r="E369" s="30" t="b">
        <v>0</v>
      </c>
      <c r="F369" s="30" t="s">
        <v>19</v>
      </c>
      <c r="G369" s="30" t="s">
        <v>9</v>
      </c>
      <c r="H369" s="30">
        <v>0.24</v>
      </c>
      <c r="I369" s="30">
        <v>0.23</v>
      </c>
      <c r="J369" s="30">
        <v>0.6</v>
      </c>
      <c r="K369" s="30">
        <v>0.22</v>
      </c>
      <c r="L369" s="30">
        <v>12</v>
      </c>
      <c r="M369" s="30">
        <v>35</v>
      </c>
      <c r="N369" s="30">
        <v>47</v>
      </c>
    </row>
    <row r="370" spans="1:14">
      <c r="A370" s="30">
        <v>979</v>
      </c>
      <c r="B370" s="31">
        <v>40587</v>
      </c>
      <c r="C370" s="30">
        <v>10</v>
      </c>
      <c r="D370" s="30" t="str">
        <f t="shared" si="6"/>
        <v>Morning</v>
      </c>
      <c r="E370" s="30" t="b">
        <v>0</v>
      </c>
      <c r="F370" s="30" t="s">
        <v>19</v>
      </c>
      <c r="G370" s="30" t="s">
        <v>8</v>
      </c>
      <c r="H370" s="30">
        <v>0.3</v>
      </c>
      <c r="I370" s="30">
        <v>0.27</v>
      </c>
      <c r="J370" s="30">
        <v>0.45</v>
      </c>
      <c r="K370" s="30">
        <v>0.33</v>
      </c>
      <c r="L370" s="30">
        <v>19</v>
      </c>
      <c r="M370" s="30">
        <v>86</v>
      </c>
      <c r="N370" s="30">
        <v>105</v>
      </c>
    </row>
    <row r="371" spans="1:14">
      <c r="A371" s="30">
        <v>980</v>
      </c>
      <c r="B371" s="31">
        <v>40587</v>
      </c>
      <c r="C371" s="30">
        <v>11</v>
      </c>
      <c r="D371" s="30" t="str">
        <f t="shared" si="6"/>
        <v>Morning</v>
      </c>
      <c r="E371" s="30" t="b">
        <v>0</v>
      </c>
      <c r="F371" s="30" t="s">
        <v>19</v>
      </c>
      <c r="G371" s="30" t="s">
        <v>8</v>
      </c>
      <c r="H371" s="30">
        <v>0.32</v>
      </c>
      <c r="I371" s="30">
        <v>0.28999999999999998</v>
      </c>
      <c r="J371" s="30">
        <v>0.39</v>
      </c>
      <c r="K371" s="30">
        <v>0.45</v>
      </c>
      <c r="L371" s="30">
        <v>26</v>
      </c>
      <c r="M371" s="30">
        <v>86</v>
      </c>
      <c r="N371" s="30">
        <v>112</v>
      </c>
    </row>
    <row r="372" spans="1:14">
      <c r="A372" s="30">
        <v>981</v>
      </c>
      <c r="B372" s="31">
        <v>40587</v>
      </c>
      <c r="C372" s="30">
        <v>12</v>
      </c>
      <c r="D372" s="30" t="str">
        <f t="shared" si="6"/>
        <v>Afternoon</v>
      </c>
      <c r="E372" s="30" t="b">
        <v>0</v>
      </c>
      <c r="F372" s="30" t="s">
        <v>19</v>
      </c>
      <c r="G372" s="30" t="s">
        <v>8</v>
      </c>
      <c r="H372" s="30">
        <v>0.36</v>
      </c>
      <c r="I372" s="30">
        <v>0.32</v>
      </c>
      <c r="J372" s="30">
        <v>0.32</v>
      </c>
      <c r="K372" s="30">
        <v>0.46</v>
      </c>
      <c r="L372" s="30">
        <v>58</v>
      </c>
      <c r="M372" s="30">
        <v>94</v>
      </c>
      <c r="N372" s="30">
        <v>152</v>
      </c>
    </row>
    <row r="373" spans="1:14">
      <c r="A373" s="30">
        <v>982</v>
      </c>
      <c r="B373" s="31">
        <v>40587</v>
      </c>
      <c r="C373" s="30">
        <v>13</v>
      </c>
      <c r="D373" s="30" t="str">
        <f t="shared" si="6"/>
        <v>Afternoon</v>
      </c>
      <c r="E373" s="30" t="b">
        <v>0</v>
      </c>
      <c r="F373" s="30" t="s">
        <v>19</v>
      </c>
      <c r="G373" s="30" t="s">
        <v>8</v>
      </c>
      <c r="H373" s="30">
        <v>0.38</v>
      </c>
      <c r="I373" s="30">
        <v>0.39</v>
      </c>
      <c r="J373" s="30">
        <v>0.28999999999999998</v>
      </c>
      <c r="K373" s="30">
        <v>0.36</v>
      </c>
      <c r="L373" s="30">
        <v>62</v>
      </c>
      <c r="M373" s="30">
        <v>92</v>
      </c>
      <c r="N373" s="30">
        <v>154</v>
      </c>
    </row>
    <row r="374" spans="1:14">
      <c r="A374" s="30">
        <v>983</v>
      </c>
      <c r="B374" s="31">
        <v>40587</v>
      </c>
      <c r="C374" s="30">
        <v>14</v>
      </c>
      <c r="D374" s="30" t="str">
        <f t="shared" si="6"/>
        <v>Afternoon</v>
      </c>
      <c r="E374" s="30" t="b">
        <v>0</v>
      </c>
      <c r="F374" s="30" t="s">
        <v>19</v>
      </c>
      <c r="G374" s="30" t="s">
        <v>9</v>
      </c>
      <c r="H374" s="30">
        <v>0.4</v>
      </c>
      <c r="I374" s="30">
        <v>0.41</v>
      </c>
      <c r="J374" s="30">
        <v>0.3</v>
      </c>
      <c r="K374" s="30">
        <v>0.42</v>
      </c>
      <c r="L374" s="30">
        <v>51</v>
      </c>
      <c r="M374" s="30">
        <v>110</v>
      </c>
      <c r="N374" s="30">
        <v>161</v>
      </c>
    </row>
    <row r="375" spans="1:14">
      <c r="A375" s="30">
        <v>984</v>
      </c>
      <c r="B375" s="31">
        <v>40587</v>
      </c>
      <c r="C375" s="30">
        <v>15</v>
      </c>
      <c r="D375" s="30" t="str">
        <f t="shared" si="6"/>
        <v>Afternoon</v>
      </c>
      <c r="E375" s="30" t="b">
        <v>0</v>
      </c>
      <c r="F375" s="30" t="s">
        <v>19</v>
      </c>
      <c r="G375" s="30" t="s">
        <v>9</v>
      </c>
      <c r="H375" s="30">
        <v>0.4</v>
      </c>
      <c r="I375" s="30">
        <v>0.41</v>
      </c>
      <c r="J375" s="30">
        <v>0.3</v>
      </c>
      <c r="K375" s="30">
        <v>0.3</v>
      </c>
      <c r="L375" s="30">
        <v>40</v>
      </c>
      <c r="M375" s="30">
        <v>122</v>
      </c>
      <c r="N375" s="30">
        <v>162</v>
      </c>
    </row>
    <row r="376" spans="1:14">
      <c r="A376" s="30">
        <v>985</v>
      </c>
      <c r="B376" s="31">
        <v>40587</v>
      </c>
      <c r="C376" s="30">
        <v>16</v>
      </c>
      <c r="D376" s="30" t="str">
        <f t="shared" si="6"/>
        <v>Afternoon</v>
      </c>
      <c r="E376" s="30" t="b">
        <v>0</v>
      </c>
      <c r="F376" s="30" t="s">
        <v>19</v>
      </c>
      <c r="G376" s="30" t="s">
        <v>9</v>
      </c>
      <c r="H376" s="30">
        <v>0.42</v>
      </c>
      <c r="I376" s="30">
        <v>0.42</v>
      </c>
      <c r="J376" s="30">
        <v>0.28000000000000003</v>
      </c>
      <c r="K376" s="30">
        <v>0.33</v>
      </c>
      <c r="L376" s="30">
        <v>28</v>
      </c>
      <c r="M376" s="30">
        <v>106</v>
      </c>
      <c r="N376" s="30">
        <v>134</v>
      </c>
    </row>
    <row r="377" spans="1:14">
      <c r="A377" s="30">
        <v>986</v>
      </c>
      <c r="B377" s="31">
        <v>40587</v>
      </c>
      <c r="C377" s="30">
        <v>17</v>
      </c>
      <c r="D377" s="30" t="str">
        <f t="shared" si="6"/>
        <v>Afternoon</v>
      </c>
      <c r="E377" s="30" t="b">
        <v>0</v>
      </c>
      <c r="F377" s="30" t="s">
        <v>19</v>
      </c>
      <c r="G377" s="30" t="s">
        <v>8</v>
      </c>
      <c r="H377" s="30">
        <v>0.42</v>
      </c>
      <c r="I377" s="30">
        <v>0.42</v>
      </c>
      <c r="J377" s="30">
        <v>0.28000000000000003</v>
      </c>
      <c r="K377" s="30">
        <v>0.33</v>
      </c>
      <c r="L377" s="30">
        <v>30</v>
      </c>
      <c r="M377" s="30">
        <v>95</v>
      </c>
      <c r="N377" s="30">
        <v>125</v>
      </c>
    </row>
    <row r="378" spans="1:14">
      <c r="A378" s="30">
        <v>987</v>
      </c>
      <c r="B378" s="31">
        <v>40587</v>
      </c>
      <c r="C378" s="30">
        <v>18</v>
      </c>
      <c r="D378" s="30" t="str">
        <f t="shared" si="6"/>
        <v>Evening</v>
      </c>
      <c r="E378" s="30" t="b">
        <v>0</v>
      </c>
      <c r="F378" s="30" t="s">
        <v>19</v>
      </c>
      <c r="G378" s="30" t="s">
        <v>8</v>
      </c>
      <c r="H378" s="30">
        <v>0.4</v>
      </c>
      <c r="I378" s="30">
        <v>0.41</v>
      </c>
      <c r="J378" s="30">
        <v>0.32</v>
      </c>
      <c r="K378" s="30">
        <v>0.3</v>
      </c>
      <c r="L378" s="30">
        <v>17</v>
      </c>
      <c r="M378" s="30">
        <v>78</v>
      </c>
      <c r="N378" s="30">
        <v>95</v>
      </c>
    </row>
    <row r="379" spans="1:14">
      <c r="A379" s="30">
        <v>988</v>
      </c>
      <c r="B379" s="31">
        <v>40587</v>
      </c>
      <c r="C379" s="30">
        <v>19</v>
      </c>
      <c r="D379" s="30" t="str">
        <f t="shared" si="6"/>
        <v>Evening</v>
      </c>
      <c r="E379" s="30" t="b">
        <v>0</v>
      </c>
      <c r="F379" s="30" t="s">
        <v>19</v>
      </c>
      <c r="G379" s="30" t="s">
        <v>8</v>
      </c>
      <c r="H379" s="30">
        <v>0.4</v>
      </c>
      <c r="I379" s="30">
        <v>0.41</v>
      </c>
      <c r="J379" s="30">
        <v>0.35</v>
      </c>
      <c r="K379" s="30">
        <v>0.28000000000000003</v>
      </c>
      <c r="L379" s="30">
        <v>11</v>
      </c>
      <c r="M379" s="30">
        <v>50</v>
      </c>
      <c r="N379" s="30">
        <v>61</v>
      </c>
    </row>
    <row r="380" spans="1:14">
      <c r="A380" s="30">
        <v>989</v>
      </c>
      <c r="B380" s="31">
        <v>40587</v>
      </c>
      <c r="C380" s="30">
        <v>20</v>
      </c>
      <c r="D380" s="30" t="str">
        <f t="shared" si="6"/>
        <v>Evening</v>
      </c>
      <c r="E380" s="30" t="b">
        <v>0</v>
      </c>
      <c r="F380" s="30" t="s">
        <v>19</v>
      </c>
      <c r="G380" s="30" t="s">
        <v>8</v>
      </c>
      <c r="H380" s="30">
        <v>0.4</v>
      </c>
      <c r="I380" s="30">
        <v>0.41</v>
      </c>
      <c r="J380" s="30">
        <v>0.35</v>
      </c>
      <c r="K380" s="30">
        <v>0.33</v>
      </c>
      <c r="L380" s="30">
        <v>15</v>
      </c>
      <c r="M380" s="30">
        <v>32</v>
      </c>
      <c r="N380" s="30">
        <v>47</v>
      </c>
    </row>
    <row r="381" spans="1:14">
      <c r="A381" s="30">
        <v>990</v>
      </c>
      <c r="B381" s="31">
        <v>40587</v>
      </c>
      <c r="C381" s="30">
        <v>21</v>
      </c>
      <c r="D381" s="30" t="str">
        <f t="shared" si="6"/>
        <v>Evening</v>
      </c>
      <c r="E381" s="30" t="b">
        <v>0</v>
      </c>
      <c r="F381" s="30" t="s">
        <v>19</v>
      </c>
      <c r="G381" s="30" t="s">
        <v>8</v>
      </c>
      <c r="H381" s="30">
        <v>0.4</v>
      </c>
      <c r="I381" s="30">
        <v>0.41</v>
      </c>
      <c r="J381" s="30">
        <v>0.35</v>
      </c>
      <c r="K381" s="30">
        <v>0.36</v>
      </c>
      <c r="L381" s="30">
        <v>6</v>
      </c>
      <c r="M381" s="30">
        <v>45</v>
      </c>
      <c r="N381" s="30">
        <v>51</v>
      </c>
    </row>
    <row r="382" spans="1:14">
      <c r="A382" s="30">
        <v>991</v>
      </c>
      <c r="B382" s="31">
        <v>40587</v>
      </c>
      <c r="C382" s="30">
        <v>22</v>
      </c>
      <c r="D382" s="30" t="str">
        <f t="shared" si="6"/>
        <v>Evening</v>
      </c>
      <c r="E382" s="30" t="b">
        <v>0</v>
      </c>
      <c r="F382" s="30" t="s">
        <v>19</v>
      </c>
      <c r="G382" s="30" t="s">
        <v>8</v>
      </c>
      <c r="H382" s="30">
        <v>0.4</v>
      </c>
      <c r="I382" s="30">
        <v>0.41</v>
      </c>
      <c r="J382" s="30">
        <v>0.35</v>
      </c>
      <c r="K382" s="30">
        <v>0.3</v>
      </c>
      <c r="L382" s="30">
        <v>5</v>
      </c>
      <c r="M382" s="30">
        <v>31</v>
      </c>
      <c r="N382" s="30">
        <v>36</v>
      </c>
    </row>
    <row r="383" spans="1:14">
      <c r="A383" s="30">
        <v>992</v>
      </c>
      <c r="B383" s="31">
        <v>40587</v>
      </c>
      <c r="C383" s="30">
        <v>23</v>
      </c>
      <c r="D383" s="30" t="str">
        <f t="shared" si="6"/>
        <v>Evening</v>
      </c>
      <c r="E383" s="30" t="b">
        <v>0</v>
      </c>
      <c r="F383" s="30" t="s">
        <v>19</v>
      </c>
      <c r="G383" s="30" t="s">
        <v>8</v>
      </c>
      <c r="H383" s="30">
        <v>0.4</v>
      </c>
      <c r="I383" s="30">
        <v>0.41</v>
      </c>
      <c r="J383" s="30">
        <v>0.35</v>
      </c>
      <c r="K383" s="30">
        <v>0.36</v>
      </c>
      <c r="L383" s="30">
        <v>3</v>
      </c>
      <c r="M383" s="30">
        <v>27</v>
      </c>
      <c r="N383" s="30">
        <v>30</v>
      </c>
    </row>
    <row r="384" spans="1:14">
      <c r="A384" s="30">
        <v>993</v>
      </c>
      <c r="B384" s="31">
        <v>40588</v>
      </c>
      <c r="C384" s="30">
        <v>0</v>
      </c>
      <c r="D384" s="30" t="str">
        <f t="shared" si="6"/>
        <v>Night</v>
      </c>
      <c r="E384" s="30" t="b">
        <v>0</v>
      </c>
      <c r="F384" s="30" t="s">
        <v>20</v>
      </c>
      <c r="G384" s="30" t="s">
        <v>8</v>
      </c>
      <c r="H384" s="30">
        <v>0.38</v>
      </c>
      <c r="I384" s="30">
        <v>0.39</v>
      </c>
      <c r="J384" s="30">
        <v>0.37</v>
      </c>
      <c r="K384" s="30">
        <v>0.36</v>
      </c>
      <c r="L384" s="30">
        <v>3</v>
      </c>
      <c r="M384" s="30">
        <v>8</v>
      </c>
      <c r="N384" s="30">
        <v>11</v>
      </c>
    </row>
    <row r="385" spans="1:14">
      <c r="A385" s="30">
        <v>994</v>
      </c>
      <c r="B385" s="31">
        <v>40588</v>
      </c>
      <c r="C385" s="30">
        <v>1</v>
      </c>
      <c r="D385" s="30" t="str">
        <f t="shared" si="6"/>
        <v>Night</v>
      </c>
      <c r="E385" s="30" t="b">
        <v>0</v>
      </c>
      <c r="F385" s="30" t="s">
        <v>20</v>
      </c>
      <c r="G385" s="30" t="s">
        <v>8</v>
      </c>
      <c r="H385" s="30">
        <v>0.38</v>
      </c>
      <c r="I385" s="30">
        <v>0.39</v>
      </c>
      <c r="J385" s="30">
        <v>0.37</v>
      </c>
      <c r="K385" s="30">
        <v>0.36</v>
      </c>
      <c r="L385" s="30">
        <v>1</v>
      </c>
      <c r="M385" s="30">
        <v>6</v>
      </c>
      <c r="N385" s="30">
        <v>7</v>
      </c>
    </row>
    <row r="386" spans="1:14">
      <c r="A386" s="30">
        <v>995</v>
      </c>
      <c r="B386" s="31">
        <v>40588</v>
      </c>
      <c r="C386" s="30">
        <v>2</v>
      </c>
      <c r="D386" s="30" t="str">
        <f t="shared" ref="D386:D391" si="7">IF($C386&lt;6,"Night",IF($C386&lt;12,"Morning",IF($C386&lt;18,"Afternoon","Evening")))</f>
        <v>Night</v>
      </c>
      <c r="E386" s="30" t="b">
        <v>0</v>
      </c>
      <c r="F386" s="30" t="s">
        <v>20</v>
      </c>
      <c r="G386" s="30" t="s">
        <v>8</v>
      </c>
      <c r="H386" s="30">
        <v>0.36</v>
      </c>
      <c r="I386" s="30">
        <v>0.33</v>
      </c>
      <c r="J386" s="30">
        <v>0.4</v>
      </c>
      <c r="K386" s="30">
        <v>0.3</v>
      </c>
      <c r="L386" s="30">
        <v>0</v>
      </c>
      <c r="M386" s="30">
        <v>2</v>
      </c>
      <c r="N386" s="30">
        <v>2</v>
      </c>
    </row>
    <row r="387" spans="1:14">
      <c r="A387" s="30">
        <v>996</v>
      </c>
      <c r="B387" s="31">
        <v>40588</v>
      </c>
      <c r="C387" s="30">
        <v>3</v>
      </c>
      <c r="D387" s="30" t="str">
        <f t="shared" si="7"/>
        <v>Night</v>
      </c>
      <c r="E387" s="30" t="b">
        <v>0</v>
      </c>
      <c r="F387" s="30" t="s">
        <v>20</v>
      </c>
      <c r="G387" s="30" t="s">
        <v>8</v>
      </c>
      <c r="H387" s="30">
        <v>0.34</v>
      </c>
      <c r="I387" s="30">
        <v>0.32</v>
      </c>
      <c r="J387" s="30">
        <v>0.46</v>
      </c>
      <c r="K387" s="30">
        <v>0.22</v>
      </c>
      <c r="L387" s="30">
        <v>1</v>
      </c>
      <c r="M387" s="30">
        <v>1</v>
      </c>
      <c r="N387" s="30">
        <v>2</v>
      </c>
    </row>
    <row r="388" spans="1:14">
      <c r="A388" s="30">
        <v>997</v>
      </c>
      <c r="B388" s="31">
        <v>40588</v>
      </c>
      <c r="C388" s="30">
        <v>4</v>
      </c>
      <c r="D388" s="30" t="str">
        <f t="shared" si="7"/>
        <v>Night</v>
      </c>
      <c r="E388" s="30" t="b">
        <v>0</v>
      </c>
      <c r="F388" s="30" t="s">
        <v>20</v>
      </c>
      <c r="G388" s="30" t="s">
        <v>8</v>
      </c>
      <c r="H388" s="30">
        <v>0.32</v>
      </c>
      <c r="I388" s="30">
        <v>0.3</v>
      </c>
      <c r="J388" s="30">
        <v>0.53</v>
      </c>
      <c r="K388" s="30">
        <v>0.28000000000000003</v>
      </c>
      <c r="L388" s="30">
        <v>0</v>
      </c>
      <c r="M388" s="30">
        <v>2</v>
      </c>
      <c r="N388" s="30">
        <v>2</v>
      </c>
    </row>
    <row r="389" spans="1:14">
      <c r="A389" s="30">
        <v>998</v>
      </c>
      <c r="B389" s="31">
        <v>40588</v>
      </c>
      <c r="C389" s="30">
        <v>5</v>
      </c>
      <c r="D389" s="30" t="str">
        <f t="shared" si="7"/>
        <v>Night</v>
      </c>
      <c r="E389" s="30" t="b">
        <v>0</v>
      </c>
      <c r="F389" s="30" t="s">
        <v>20</v>
      </c>
      <c r="G389" s="30" t="s">
        <v>8</v>
      </c>
      <c r="H389" s="30">
        <v>0.32</v>
      </c>
      <c r="I389" s="30">
        <v>0.3</v>
      </c>
      <c r="J389" s="30">
        <v>0.53</v>
      </c>
      <c r="K389" s="30">
        <v>0.28000000000000003</v>
      </c>
      <c r="L389" s="30">
        <v>0</v>
      </c>
      <c r="M389" s="30">
        <v>3</v>
      </c>
      <c r="N389" s="30">
        <v>3</v>
      </c>
    </row>
    <row r="390" spans="1:14">
      <c r="A390" s="30">
        <v>999</v>
      </c>
      <c r="B390" s="31">
        <v>40588</v>
      </c>
      <c r="C390" s="30">
        <v>6</v>
      </c>
      <c r="D390" s="30" t="str">
        <f t="shared" si="7"/>
        <v>Morning</v>
      </c>
      <c r="E390" s="30" t="b">
        <v>0</v>
      </c>
      <c r="F390" s="30" t="s">
        <v>20</v>
      </c>
      <c r="G390" s="30" t="s">
        <v>8</v>
      </c>
      <c r="H390" s="30">
        <v>0.34</v>
      </c>
      <c r="I390" s="30">
        <v>0.3</v>
      </c>
      <c r="J390" s="30">
        <v>0.46</v>
      </c>
      <c r="K390" s="30">
        <v>0.3</v>
      </c>
      <c r="L390" s="30">
        <v>1</v>
      </c>
      <c r="M390" s="30">
        <v>25</v>
      </c>
      <c r="N390" s="30">
        <v>26</v>
      </c>
    </row>
    <row r="391" spans="1:14">
      <c r="A391" s="30">
        <v>1000</v>
      </c>
      <c r="B391" s="31">
        <v>40588</v>
      </c>
      <c r="C391" s="30">
        <v>7</v>
      </c>
      <c r="D391" s="30" t="str">
        <f t="shared" si="7"/>
        <v>Morning</v>
      </c>
      <c r="E391" s="30" t="b">
        <v>0</v>
      </c>
      <c r="F391" s="30" t="s">
        <v>20</v>
      </c>
      <c r="G391" s="30" t="s">
        <v>8</v>
      </c>
      <c r="H391" s="30">
        <v>0.34</v>
      </c>
      <c r="I391" s="30">
        <v>0.3</v>
      </c>
      <c r="J391" s="30">
        <v>0.46</v>
      </c>
      <c r="K391" s="30">
        <v>0.3</v>
      </c>
      <c r="L391" s="30">
        <v>2</v>
      </c>
      <c r="M391" s="30">
        <v>96</v>
      </c>
      <c r="N391" s="30">
        <v>98</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9" operator="containsText" id="{D8A8752E-AE18-47CB-BE2C-9A1F571B8F96}">
            <xm:f>NOT(ISERROR(SEARCH($G$76,G2)))</xm:f>
            <xm:f>$G$76</xm:f>
            <x14:dxf>
              <font>
                <color rgb="FF9C0006"/>
              </font>
              <fill>
                <patternFill>
                  <bgColor rgb="FFFFC7CE"/>
                </patternFill>
              </fill>
            </x14:dxf>
          </x14:cfRule>
          <xm:sqref>G2:G391</xm:sqref>
        </x14:conditionalFormatting>
        <x14:conditionalFormatting xmlns:xm="http://schemas.microsoft.com/office/excel/2006/main">
          <x14:cfRule type="containsText" priority="10" operator="containsText" id="{C1945461-510D-4432-80EE-64B159FAA604}">
            <xm:f>NOT(ISERROR(SEARCH($G$2,G2)))</xm:f>
            <xm:f>$G$2</xm:f>
            <x14:dxf>
              <font>
                <color rgb="FF006100"/>
              </font>
              <fill>
                <patternFill>
                  <bgColor rgb="FFC6EFCE"/>
                </patternFill>
              </fill>
            </x14:dxf>
          </x14:cfRule>
          <x14:cfRule type="containsText" priority="11" operator="containsText" id="{FEF75AD2-1D27-4B21-BC61-538502BC280E}">
            <xm:f>NOT(ISERROR(SEARCH($G$5,G2)))</xm:f>
            <xm:f>$G$5</xm:f>
            <x14:dxf>
              <font>
                <color rgb="FF9C5700"/>
              </font>
              <fill>
                <patternFill>
                  <bgColor rgb="FFFFEB9C"/>
                </patternFill>
              </fill>
            </x14:dxf>
          </x14:cfRule>
          <xm:sqref>G2:G1048576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AAF7-B35A-440B-BD8A-9B3675397D70}">
  <sheetPr codeName="Sheet2"/>
  <dimension ref="A1:O611"/>
  <sheetViews>
    <sheetView topLeftCell="B1" workbookViewId="0">
      <selection activeCell="B16" sqref="B16"/>
    </sheetView>
  </sheetViews>
  <sheetFormatPr defaultRowHeight="12.5"/>
  <cols>
    <col min="1" max="1" width="19" customWidth="1"/>
    <col min="2" max="2" width="23.7265625" customWidth="1"/>
    <col min="3" max="3" width="20" customWidth="1"/>
    <col min="4" max="4" width="18.36328125" customWidth="1"/>
    <col min="5" max="5" width="15.36328125" customWidth="1"/>
    <col min="6" max="6" width="17.26953125" customWidth="1"/>
    <col min="7" max="7" width="16.6328125" customWidth="1"/>
    <col min="8" max="8" width="6.08984375" customWidth="1"/>
    <col min="9" max="9" width="37.1796875" customWidth="1"/>
    <col min="10" max="10" width="38.453125" customWidth="1"/>
  </cols>
  <sheetData>
    <row r="1" spans="1:15">
      <c r="A1" s="21" t="s">
        <v>7</v>
      </c>
      <c r="B1" s="35" t="s">
        <v>43</v>
      </c>
      <c r="C1" s="46" t="s">
        <v>38</v>
      </c>
      <c r="D1" s="46" t="s">
        <v>39</v>
      </c>
      <c r="E1" s="46" t="s">
        <v>40</v>
      </c>
      <c r="F1" s="46" t="s">
        <v>41</v>
      </c>
      <c r="G1" s="46" t="s">
        <v>42</v>
      </c>
    </row>
    <row r="2" spans="1:15">
      <c r="A2" s="3">
        <v>1</v>
      </c>
      <c r="B2" s="3">
        <v>0.28999999999999998</v>
      </c>
      <c r="C2" s="3">
        <v>0.81</v>
      </c>
      <c r="D2" s="3">
        <v>0</v>
      </c>
      <c r="E2" s="3">
        <v>3</v>
      </c>
      <c r="F2" s="3">
        <v>13</v>
      </c>
      <c r="G2" s="3">
        <v>16</v>
      </c>
      <c r="I2" s="93" t="s">
        <v>12</v>
      </c>
      <c r="J2" s="94"/>
      <c r="K2" s="94"/>
      <c r="L2" s="26"/>
      <c r="M2" s="26"/>
      <c r="N2" s="26"/>
      <c r="O2" s="26"/>
    </row>
    <row r="3" spans="1:15">
      <c r="A3" s="3">
        <v>2</v>
      </c>
      <c r="B3" s="3">
        <v>0.27</v>
      </c>
      <c r="C3" s="3">
        <v>0.8</v>
      </c>
      <c r="D3" s="3">
        <v>0</v>
      </c>
      <c r="E3" s="3">
        <v>8</v>
      </c>
      <c r="F3" s="3">
        <v>32</v>
      </c>
      <c r="G3" s="3">
        <v>40</v>
      </c>
      <c r="I3" s="94"/>
      <c r="J3" s="94"/>
      <c r="K3" s="94"/>
      <c r="L3" s="26"/>
      <c r="M3" s="26"/>
      <c r="N3" s="26"/>
      <c r="O3" s="26"/>
    </row>
    <row r="4" spans="1:15">
      <c r="A4" s="3">
        <v>3</v>
      </c>
      <c r="B4" s="3">
        <v>0.27</v>
      </c>
      <c r="C4" s="3">
        <v>0.8</v>
      </c>
      <c r="D4" s="3">
        <v>0</v>
      </c>
      <c r="E4" s="3">
        <v>5</v>
      </c>
      <c r="F4" s="3">
        <v>27</v>
      </c>
      <c r="G4" s="3">
        <v>32</v>
      </c>
      <c r="I4" s="94"/>
      <c r="J4" s="94"/>
      <c r="K4" s="94"/>
      <c r="L4" s="26"/>
      <c r="M4" s="26"/>
      <c r="N4" s="26"/>
      <c r="O4" s="26"/>
    </row>
    <row r="5" spans="1:15">
      <c r="A5" s="3">
        <v>4</v>
      </c>
      <c r="B5" s="3">
        <v>0.28999999999999998</v>
      </c>
      <c r="C5" s="3">
        <v>0.75</v>
      </c>
      <c r="D5" s="3">
        <v>0</v>
      </c>
      <c r="E5" s="3">
        <v>3</v>
      </c>
      <c r="F5" s="3">
        <v>10</v>
      </c>
      <c r="G5" s="3">
        <v>13</v>
      </c>
      <c r="I5" s="94"/>
      <c r="J5" s="94"/>
      <c r="K5" s="94"/>
      <c r="L5" s="26"/>
      <c r="M5" s="26"/>
      <c r="N5" s="26"/>
      <c r="O5" s="26"/>
    </row>
    <row r="6" spans="1:15">
      <c r="A6" s="3">
        <v>5</v>
      </c>
      <c r="B6" s="3">
        <v>0.28999999999999998</v>
      </c>
      <c r="C6" s="3">
        <v>0.75</v>
      </c>
      <c r="D6" s="3">
        <v>0</v>
      </c>
      <c r="E6" s="3">
        <v>0</v>
      </c>
      <c r="F6" s="3">
        <v>1</v>
      </c>
      <c r="G6" s="3">
        <v>1</v>
      </c>
      <c r="I6" s="94"/>
      <c r="J6" s="94"/>
      <c r="K6" s="94"/>
      <c r="L6" s="26"/>
      <c r="M6" s="26"/>
      <c r="N6" s="26"/>
      <c r="O6" s="26"/>
    </row>
    <row r="7" spans="1:15">
      <c r="A7" s="3">
        <v>6</v>
      </c>
      <c r="B7" s="3">
        <v>0.26</v>
      </c>
      <c r="C7" s="3">
        <v>0.75</v>
      </c>
      <c r="D7" s="3">
        <v>0.09</v>
      </c>
      <c r="E7" s="3">
        <v>0</v>
      </c>
      <c r="F7" s="3">
        <v>1</v>
      </c>
      <c r="G7" s="3">
        <v>1</v>
      </c>
      <c r="I7" s="26"/>
      <c r="J7" s="26"/>
      <c r="K7" s="26"/>
      <c r="L7" s="26"/>
      <c r="M7" s="26"/>
      <c r="N7" s="26"/>
      <c r="O7" s="26"/>
    </row>
    <row r="8" spans="1:15">
      <c r="A8" s="3">
        <v>7</v>
      </c>
      <c r="B8" s="3">
        <v>0.27</v>
      </c>
      <c r="C8" s="3">
        <v>0.8</v>
      </c>
      <c r="D8" s="3">
        <v>0</v>
      </c>
      <c r="E8" s="3">
        <v>2</v>
      </c>
      <c r="F8" s="3">
        <v>0</v>
      </c>
      <c r="G8" s="3">
        <v>2</v>
      </c>
    </row>
    <row r="9" spans="1:15" ht="13">
      <c r="A9" s="3">
        <v>8</v>
      </c>
      <c r="B9" s="3">
        <v>0.26</v>
      </c>
      <c r="C9" s="3">
        <v>0.86</v>
      </c>
      <c r="D9" s="3">
        <v>0</v>
      </c>
      <c r="E9" s="3">
        <v>1</v>
      </c>
      <c r="F9" s="3">
        <v>2</v>
      </c>
      <c r="G9" s="3">
        <v>3</v>
      </c>
      <c r="I9" s="22" t="s">
        <v>14</v>
      </c>
      <c r="J9" s="22" t="s">
        <v>15</v>
      </c>
    </row>
    <row r="10" spans="1:15">
      <c r="A10" s="3">
        <v>9</v>
      </c>
      <c r="B10" s="3">
        <v>0.2</v>
      </c>
      <c r="C10" s="3">
        <v>0.75</v>
      </c>
      <c r="D10" s="3">
        <v>0</v>
      </c>
      <c r="E10" s="3">
        <v>1</v>
      </c>
      <c r="F10" s="3">
        <v>7</v>
      </c>
      <c r="G10" s="3">
        <v>8</v>
      </c>
      <c r="I10" s="23">
        <f>SUM(dataset_2[Casual_customers])/SUM(dataset_2[Total_count])*100</f>
        <v>8.1007729069561627</v>
      </c>
      <c r="J10" s="23">
        <f>SUM(dataset_2[Registered_customers])/SUM(dataset_2[Total_count])*100</f>
        <v>91.899227093043834</v>
      </c>
    </row>
    <row r="11" spans="1:15" ht="13">
      <c r="A11" s="3">
        <v>10</v>
      </c>
      <c r="B11" s="3">
        <v>0.35</v>
      </c>
      <c r="C11" s="3">
        <v>0.76</v>
      </c>
      <c r="D11" s="3">
        <v>0</v>
      </c>
      <c r="E11" s="3">
        <v>8</v>
      </c>
      <c r="F11" s="3">
        <v>6</v>
      </c>
      <c r="G11" s="3">
        <v>14</v>
      </c>
      <c r="I11" s="22" t="s">
        <v>17</v>
      </c>
      <c r="J11" s="22" t="s">
        <v>18</v>
      </c>
    </row>
    <row r="12" spans="1:15">
      <c r="A12" s="3">
        <v>11</v>
      </c>
      <c r="B12" s="3">
        <v>0.39</v>
      </c>
      <c r="C12" s="3">
        <v>0.76</v>
      </c>
      <c r="D12" s="3">
        <v>0.25</v>
      </c>
      <c r="E12" s="3">
        <v>12</v>
      </c>
      <c r="F12" s="3">
        <v>24</v>
      </c>
      <c r="G12" s="3">
        <v>36</v>
      </c>
      <c r="I12" s="23">
        <f>CORREL(dataset_2[Humidity],dataset_2[Total_count])</f>
        <v>-0.24387606342151705</v>
      </c>
      <c r="J12" s="23">
        <f>CORREL(dataset_2[Assumed_temp],dataset_2[Total_count])</f>
        <v>0.1889706549536195</v>
      </c>
    </row>
    <row r="13" spans="1:15" ht="13">
      <c r="A13" s="3">
        <v>12</v>
      </c>
      <c r="B13" s="3">
        <v>0.33</v>
      </c>
      <c r="C13" s="3">
        <v>0.81</v>
      </c>
      <c r="D13" s="3">
        <v>0.28000000000000003</v>
      </c>
      <c r="E13" s="3">
        <v>26</v>
      </c>
      <c r="F13" s="3">
        <v>30</v>
      </c>
      <c r="G13" s="3">
        <v>56</v>
      </c>
      <c r="I13" s="22" t="s">
        <v>13</v>
      </c>
      <c r="J13" s="22" t="s">
        <v>16</v>
      </c>
    </row>
    <row r="14" spans="1:15">
      <c r="A14" s="3">
        <v>13</v>
      </c>
      <c r="B14" s="3">
        <v>0.42</v>
      </c>
      <c r="C14" s="3">
        <v>0.77</v>
      </c>
      <c r="D14" s="3">
        <v>0.28000000000000003</v>
      </c>
      <c r="E14" s="3">
        <v>29</v>
      </c>
      <c r="F14" s="3">
        <v>55</v>
      </c>
      <c r="G14" s="3">
        <v>84</v>
      </c>
      <c r="I14" s="24">
        <f>MEDIAN(dataset_2[Assumed_temp])</f>
        <v>0.2</v>
      </c>
      <c r="J14" s="24">
        <f>SUM(G2:G611)</f>
        <v>33898</v>
      </c>
    </row>
    <row r="15" spans="1:15">
      <c r="A15" s="3">
        <v>14</v>
      </c>
      <c r="B15" s="3">
        <v>0.45</v>
      </c>
      <c r="C15" s="3">
        <v>0.72</v>
      </c>
      <c r="D15" s="3">
        <v>0.3</v>
      </c>
      <c r="E15" s="3">
        <v>47</v>
      </c>
      <c r="F15" s="3">
        <v>47</v>
      </c>
      <c r="G15" s="3">
        <v>94</v>
      </c>
      <c r="I15" s="25"/>
      <c r="J15" s="25"/>
    </row>
    <row r="16" spans="1:15">
      <c r="A16" s="3">
        <v>15</v>
      </c>
      <c r="B16" s="3">
        <v>0.45</v>
      </c>
      <c r="C16" s="3">
        <v>0.72</v>
      </c>
      <c r="D16" s="3">
        <v>0.28000000000000003</v>
      </c>
      <c r="E16" s="3">
        <v>35</v>
      </c>
      <c r="F16" s="3">
        <v>71</v>
      </c>
      <c r="G16" s="3">
        <v>106</v>
      </c>
    </row>
    <row r="17" spans="1:7">
      <c r="A17" s="3">
        <v>16</v>
      </c>
      <c r="B17" s="3">
        <v>0.44</v>
      </c>
      <c r="C17" s="3">
        <v>0.77</v>
      </c>
      <c r="D17" s="3">
        <v>0.3</v>
      </c>
      <c r="E17" s="3">
        <v>40</v>
      </c>
      <c r="F17" s="3">
        <v>70</v>
      </c>
      <c r="G17" s="3">
        <v>110</v>
      </c>
    </row>
    <row r="18" spans="1:7">
      <c r="A18" s="3">
        <v>17</v>
      </c>
      <c r="B18" s="3">
        <v>0.42</v>
      </c>
      <c r="C18" s="3">
        <v>0.82</v>
      </c>
      <c r="D18" s="3">
        <v>0.3</v>
      </c>
      <c r="E18" s="3">
        <v>41</v>
      </c>
      <c r="F18" s="3">
        <v>52</v>
      </c>
      <c r="G18" s="3">
        <v>93</v>
      </c>
    </row>
    <row r="19" spans="1:7">
      <c r="A19" s="3">
        <v>18</v>
      </c>
      <c r="B19" s="3">
        <v>0.2</v>
      </c>
      <c r="C19" s="3">
        <v>0.82</v>
      </c>
      <c r="D19" s="3">
        <v>0.28000000000000003</v>
      </c>
      <c r="E19" s="3">
        <v>15</v>
      </c>
      <c r="F19" s="3">
        <v>52</v>
      </c>
      <c r="G19" s="3">
        <v>67</v>
      </c>
    </row>
    <row r="20" spans="1:7">
      <c r="A20" s="3">
        <v>19</v>
      </c>
      <c r="B20" s="3">
        <v>0.42</v>
      </c>
      <c r="C20" s="3">
        <v>0.88</v>
      </c>
      <c r="D20" s="3">
        <v>0.25</v>
      </c>
      <c r="E20" s="3">
        <v>9</v>
      </c>
      <c r="F20" s="3">
        <v>26</v>
      </c>
      <c r="G20" s="3">
        <v>35</v>
      </c>
    </row>
    <row r="21" spans="1:7">
      <c r="A21" s="3">
        <v>20</v>
      </c>
      <c r="B21" s="3">
        <v>0.42</v>
      </c>
      <c r="C21" s="3">
        <v>0.88</v>
      </c>
      <c r="D21" s="3">
        <v>0.25</v>
      </c>
      <c r="E21" s="3">
        <v>6</v>
      </c>
      <c r="F21" s="3">
        <v>31</v>
      </c>
      <c r="G21" s="3">
        <v>37</v>
      </c>
    </row>
    <row r="22" spans="1:7">
      <c r="A22" s="3">
        <v>21</v>
      </c>
      <c r="B22" s="3">
        <v>0.41</v>
      </c>
      <c r="C22" s="3">
        <v>0.87</v>
      </c>
      <c r="D22" s="3">
        <v>0.25</v>
      </c>
      <c r="E22" s="3">
        <v>11</v>
      </c>
      <c r="F22" s="3">
        <v>25</v>
      </c>
      <c r="G22" s="3">
        <v>36</v>
      </c>
    </row>
    <row r="23" spans="1:7">
      <c r="A23" s="3">
        <v>22</v>
      </c>
      <c r="B23" s="3">
        <v>0.41</v>
      </c>
      <c r="C23" s="3">
        <v>0.87</v>
      </c>
      <c r="D23" s="3">
        <v>0.19</v>
      </c>
      <c r="E23" s="3">
        <v>3</v>
      </c>
      <c r="F23" s="3">
        <v>31</v>
      </c>
      <c r="G23" s="3">
        <v>34</v>
      </c>
    </row>
    <row r="24" spans="1:7">
      <c r="A24" s="3">
        <v>23</v>
      </c>
      <c r="B24" s="3">
        <v>0.41</v>
      </c>
      <c r="C24" s="3">
        <v>0.94</v>
      </c>
      <c r="D24" s="3">
        <v>0.22</v>
      </c>
      <c r="E24" s="3">
        <v>11</v>
      </c>
      <c r="F24" s="3">
        <v>17</v>
      </c>
      <c r="G24" s="3">
        <v>28</v>
      </c>
    </row>
    <row r="25" spans="1:7">
      <c r="A25" s="3">
        <v>24</v>
      </c>
      <c r="B25" s="3">
        <v>0.2</v>
      </c>
      <c r="C25" s="3">
        <v>0.88</v>
      </c>
      <c r="D25" s="3">
        <v>0.3</v>
      </c>
      <c r="E25" s="3">
        <v>15</v>
      </c>
      <c r="F25" s="3">
        <v>24</v>
      </c>
      <c r="G25" s="3">
        <v>39</v>
      </c>
    </row>
    <row r="26" spans="1:7">
      <c r="A26" s="3">
        <v>25</v>
      </c>
      <c r="B26" s="3">
        <v>0.45</v>
      </c>
      <c r="C26" s="3">
        <v>0.88</v>
      </c>
      <c r="D26" s="3">
        <v>0.3</v>
      </c>
      <c r="E26" s="3">
        <v>4</v>
      </c>
      <c r="F26" s="3">
        <v>13</v>
      </c>
      <c r="G26" s="3">
        <v>17</v>
      </c>
    </row>
    <row r="27" spans="1:7">
      <c r="A27" s="3">
        <v>26</v>
      </c>
      <c r="B27" s="3">
        <v>0.44</v>
      </c>
      <c r="C27" s="3">
        <v>0.94</v>
      </c>
      <c r="D27" s="3">
        <v>0.25</v>
      </c>
      <c r="E27" s="3">
        <v>1</v>
      </c>
      <c r="F27" s="3">
        <v>16</v>
      </c>
      <c r="G27" s="3">
        <v>17</v>
      </c>
    </row>
    <row r="28" spans="1:7">
      <c r="A28" s="3">
        <v>27</v>
      </c>
      <c r="B28" s="3">
        <v>0.42</v>
      </c>
      <c r="C28" s="3">
        <v>1</v>
      </c>
      <c r="D28" s="3">
        <v>0.28000000000000003</v>
      </c>
      <c r="E28" s="3">
        <v>1</v>
      </c>
      <c r="F28" s="3">
        <v>8</v>
      </c>
      <c r="G28" s="3">
        <v>9</v>
      </c>
    </row>
    <row r="29" spans="1:7">
      <c r="A29" s="3">
        <v>28</v>
      </c>
      <c r="B29" s="3">
        <v>0.45</v>
      </c>
      <c r="C29" s="3">
        <v>0.94</v>
      </c>
      <c r="D29" s="3">
        <v>0.19</v>
      </c>
      <c r="E29" s="3">
        <v>2</v>
      </c>
      <c r="F29" s="3">
        <v>4</v>
      </c>
      <c r="G29" s="3">
        <v>6</v>
      </c>
    </row>
    <row r="30" spans="1:7">
      <c r="A30" s="3">
        <v>29</v>
      </c>
      <c r="B30" s="3">
        <v>0.2</v>
      </c>
      <c r="C30" s="3">
        <v>0.94</v>
      </c>
      <c r="D30" s="3">
        <v>0.19</v>
      </c>
      <c r="E30" s="3">
        <v>2</v>
      </c>
      <c r="F30" s="3">
        <v>1</v>
      </c>
      <c r="G30" s="3">
        <v>3</v>
      </c>
    </row>
    <row r="31" spans="1:7">
      <c r="A31" s="3">
        <v>30</v>
      </c>
      <c r="B31" s="3">
        <v>0.42</v>
      </c>
      <c r="C31" s="3">
        <v>0.77</v>
      </c>
      <c r="D31" s="3">
        <v>0.3</v>
      </c>
      <c r="E31" s="3">
        <v>0</v>
      </c>
      <c r="F31" s="3">
        <v>2</v>
      </c>
      <c r="G31" s="3">
        <v>2</v>
      </c>
    </row>
    <row r="32" spans="1:7">
      <c r="A32" s="3">
        <v>31</v>
      </c>
      <c r="B32" s="3">
        <v>0.41</v>
      </c>
      <c r="C32" s="3">
        <v>0.76</v>
      </c>
      <c r="D32" s="3">
        <v>0.19</v>
      </c>
      <c r="E32" s="3">
        <v>0</v>
      </c>
      <c r="F32" s="3">
        <v>1</v>
      </c>
      <c r="G32" s="3">
        <v>1</v>
      </c>
    </row>
    <row r="33" spans="1:7">
      <c r="A33" s="3">
        <v>32</v>
      </c>
      <c r="B33" s="3">
        <v>0.41</v>
      </c>
      <c r="C33" s="3">
        <v>0.71</v>
      </c>
      <c r="D33" s="3">
        <v>0.22</v>
      </c>
      <c r="E33" s="3">
        <v>0</v>
      </c>
      <c r="F33" s="3">
        <v>8</v>
      </c>
      <c r="G33" s="3">
        <v>8</v>
      </c>
    </row>
    <row r="34" spans="1:7">
      <c r="A34" s="3">
        <v>33</v>
      </c>
      <c r="B34" s="3">
        <v>0.2</v>
      </c>
      <c r="C34" s="3">
        <v>0.76</v>
      </c>
      <c r="D34" s="3">
        <v>0.22</v>
      </c>
      <c r="E34" s="3">
        <v>1</v>
      </c>
      <c r="F34" s="3">
        <v>19</v>
      </c>
      <c r="G34" s="3">
        <v>20</v>
      </c>
    </row>
    <row r="35" spans="1:7">
      <c r="A35" s="3">
        <v>34</v>
      </c>
      <c r="B35" s="3">
        <v>0.35</v>
      </c>
      <c r="C35" s="3">
        <v>0.81</v>
      </c>
      <c r="D35" s="3">
        <v>0.22</v>
      </c>
      <c r="E35" s="3">
        <v>7</v>
      </c>
      <c r="F35" s="3">
        <v>46</v>
      </c>
      <c r="G35" s="3">
        <v>53</v>
      </c>
    </row>
    <row r="36" spans="1:7">
      <c r="A36" s="3">
        <v>35</v>
      </c>
      <c r="B36" s="3">
        <v>0.33</v>
      </c>
      <c r="C36" s="3">
        <v>0.71</v>
      </c>
      <c r="D36" s="3">
        <v>0.25</v>
      </c>
      <c r="E36" s="3">
        <v>16</v>
      </c>
      <c r="F36" s="3">
        <v>54</v>
      </c>
      <c r="G36" s="3">
        <v>70</v>
      </c>
    </row>
    <row r="37" spans="1:7">
      <c r="A37" s="3">
        <v>36</v>
      </c>
      <c r="B37" s="3">
        <v>0.33</v>
      </c>
      <c r="C37" s="3">
        <v>0.66</v>
      </c>
      <c r="D37" s="3">
        <v>0.3</v>
      </c>
      <c r="E37" s="3">
        <v>20</v>
      </c>
      <c r="F37" s="3">
        <v>73</v>
      </c>
      <c r="G37" s="3">
        <v>93</v>
      </c>
    </row>
    <row r="38" spans="1:7">
      <c r="A38" s="3">
        <v>37</v>
      </c>
      <c r="B38" s="3">
        <v>0.35</v>
      </c>
      <c r="C38" s="3">
        <v>0.66</v>
      </c>
      <c r="D38" s="3">
        <v>0.13</v>
      </c>
      <c r="E38" s="3">
        <v>11</v>
      </c>
      <c r="F38" s="3">
        <v>64</v>
      </c>
      <c r="G38" s="3">
        <v>75</v>
      </c>
    </row>
    <row r="39" spans="1:7">
      <c r="A39" s="3">
        <v>38</v>
      </c>
      <c r="B39" s="3">
        <v>0.2</v>
      </c>
      <c r="C39" s="3">
        <v>0.76</v>
      </c>
      <c r="D39" s="3">
        <v>0.19</v>
      </c>
      <c r="E39" s="3">
        <v>4</v>
      </c>
      <c r="F39" s="3">
        <v>55</v>
      </c>
      <c r="G39" s="3">
        <v>59</v>
      </c>
    </row>
    <row r="40" spans="1:7">
      <c r="A40" s="3">
        <v>39</v>
      </c>
      <c r="B40" s="3">
        <v>0.33</v>
      </c>
      <c r="C40" s="3">
        <v>0.81</v>
      </c>
      <c r="D40" s="3">
        <v>0.16</v>
      </c>
      <c r="E40" s="3">
        <v>19</v>
      </c>
      <c r="F40" s="3">
        <v>55</v>
      </c>
      <c r="G40" s="3">
        <v>74</v>
      </c>
    </row>
    <row r="41" spans="1:7">
      <c r="A41" s="3">
        <v>40</v>
      </c>
      <c r="B41" s="3">
        <v>0.33</v>
      </c>
      <c r="C41" s="3">
        <v>0.71</v>
      </c>
      <c r="D41" s="3">
        <v>0.16</v>
      </c>
      <c r="E41" s="3">
        <v>9</v>
      </c>
      <c r="F41" s="3">
        <v>67</v>
      </c>
      <c r="G41" s="3">
        <v>76</v>
      </c>
    </row>
    <row r="42" spans="1:7">
      <c r="A42" s="3">
        <v>41</v>
      </c>
      <c r="B42" s="3">
        <v>0.33</v>
      </c>
      <c r="C42" s="3">
        <v>0.56999999999999995</v>
      </c>
      <c r="D42" s="3">
        <v>0.19</v>
      </c>
      <c r="E42" s="3">
        <v>7</v>
      </c>
      <c r="F42" s="3">
        <v>58</v>
      </c>
      <c r="G42" s="3">
        <v>65</v>
      </c>
    </row>
    <row r="43" spans="1:7">
      <c r="A43" s="3">
        <v>42</v>
      </c>
      <c r="B43" s="3">
        <v>0.33</v>
      </c>
      <c r="C43" s="3">
        <v>0.46</v>
      </c>
      <c r="D43" s="3">
        <v>0.33</v>
      </c>
      <c r="E43" s="3">
        <v>10</v>
      </c>
      <c r="F43" s="3">
        <v>43</v>
      </c>
      <c r="G43" s="3">
        <v>53</v>
      </c>
    </row>
    <row r="44" spans="1:7">
      <c r="A44" s="3">
        <v>43</v>
      </c>
      <c r="B44" s="3">
        <v>0.28999999999999998</v>
      </c>
      <c r="C44" s="3">
        <v>0.42</v>
      </c>
      <c r="D44" s="3">
        <v>0.45</v>
      </c>
      <c r="E44" s="3">
        <v>1</v>
      </c>
      <c r="F44" s="3">
        <v>29</v>
      </c>
      <c r="G44" s="3">
        <v>30</v>
      </c>
    </row>
    <row r="45" spans="1:7">
      <c r="A45" s="3">
        <v>44</v>
      </c>
      <c r="B45" s="3">
        <v>0.2</v>
      </c>
      <c r="C45" s="3">
        <v>0.39</v>
      </c>
      <c r="D45" s="3">
        <v>0.36</v>
      </c>
      <c r="E45" s="3">
        <v>5</v>
      </c>
      <c r="F45" s="3">
        <v>17</v>
      </c>
      <c r="G45" s="3">
        <v>22</v>
      </c>
    </row>
    <row r="46" spans="1:7">
      <c r="A46" s="3">
        <v>45</v>
      </c>
      <c r="B46" s="3">
        <v>0.23</v>
      </c>
      <c r="C46" s="3">
        <v>0.44</v>
      </c>
      <c r="D46" s="3">
        <v>0.33</v>
      </c>
      <c r="E46" s="3">
        <v>11</v>
      </c>
      <c r="F46" s="3">
        <v>20</v>
      </c>
      <c r="G46" s="3">
        <v>31</v>
      </c>
    </row>
    <row r="47" spans="1:7">
      <c r="A47" s="3">
        <v>46</v>
      </c>
      <c r="B47" s="3">
        <v>0.21</v>
      </c>
      <c r="C47" s="3">
        <v>0.44</v>
      </c>
      <c r="D47" s="3">
        <v>0.3</v>
      </c>
      <c r="E47" s="3">
        <v>0</v>
      </c>
      <c r="F47" s="3">
        <v>9</v>
      </c>
      <c r="G47" s="3">
        <v>9</v>
      </c>
    </row>
    <row r="48" spans="1:7">
      <c r="A48" s="3">
        <v>47</v>
      </c>
      <c r="B48" s="3">
        <v>0.23</v>
      </c>
      <c r="C48" s="3">
        <v>0.47</v>
      </c>
      <c r="D48" s="3">
        <v>0.16</v>
      </c>
      <c r="E48" s="3">
        <v>0</v>
      </c>
      <c r="F48" s="3">
        <v>8</v>
      </c>
      <c r="G48" s="3">
        <v>8</v>
      </c>
    </row>
    <row r="49" spans="1:7">
      <c r="A49" s="3">
        <v>48</v>
      </c>
      <c r="B49" s="3">
        <v>0.2</v>
      </c>
      <c r="C49" s="3">
        <v>0.44</v>
      </c>
      <c r="D49" s="3">
        <v>0.36</v>
      </c>
      <c r="E49" s="3">
        <v>0</v>
      </c>
      <c r="F49" s="3">
        <v>5</v>
      </c>
      <c r="G49" s="3">
        <v>5</v>
      </c>
    </row>
    <row r="50" spans="1:7">
      <c r="A50" s="3">
        <v>49</v>
      </c>
      <c r="B50" s="3">
        <v>0.2</v>
      </c>
      <c r="C50" s="3">
        <v>0.44</v>
      </c>
      <c r="D50" s="3">
        <v>0.42</v>
      </c>
      <c r="E50" s="3">
        <v>0</v>
      </c>
      <c r="F50" s="3">
        <v>2</v>
      </c>
      <c r="G50" s="3">
        <v>2</v>
      </c>
    </row>
    <row r="51" spans="1:7">
      <c r="A51" s="3">
        <v>50</v>
      </c>
      <c r="B51" s="3">
        <v>0.14000000000000001</v>
      </c>
      <c r="C51" s="3">
        <v>0.47</v>
      </c>
      <c r="D51" s="3">
        <v>0.39</v>
      </c>
      <c r="E51" s="3">
        <v>0</v>
      </c>
      <c r="F51" s="3">
        <v>1</v>
      </c>
      <c r="G51" s="3">
        <v>1</v>
      </c>
    </row>
    <row r="52" spans="1:7">
      <c r="A52" s="3">
        <v>51</v>
      </c>
      <c r="B52" s="3">
        <v>0.14000000000000001</v>
      </c>
      <c r="C52" s="3">
        <v>0.47</v>
      </c>
      <c r="D52" s="3">
        <v>0.28000000000000003</v>
      </c>
      <c r="E52" s="3">
        <v>0</v>
      </c>
      <c r="F52" s="3">
        <v>3</v>
      </c>
      <c r="G52" s="3">
        <v>3</v>
      </c>
    </row>
    <row r="53" spans="1:7">
      <c r="A53" s="3">
        <v>52</v>
      </c>
      <c r="B53" s="3">
        <v>0.11</v>
      </c>
      <c r="C53" s="3">
        <v>0.5</v>
      </c>
      <c r="D53" s="3">
        <v>0.39</v>
      </c>
      <c r="E53" s="3">
        <v>0</v>
      </c>
      <c r="F53" s="3">
        <v>30</v>
      </c>
      <c r="G53" s="3">
        <v>30</v>
      </c>
    </row>
    <row r="54" spans="1:7">
      <c r="A54" s="3">
        <v>53</v>
      </c>
      <c r="B54" s="3">
        <v>0.14000000000000001</v>
      </c>
      <c r="C54" s="3">
        <v>0.5</v>
      </c>
      <c r="D54" s="3">
        <v>0.19</v>
      </c>
      <c r="E54" s="3">
        <v>1</v>
      </c>
      <c r="F54" s="3">
        <v>63</v>
      </c>
      <c r="G54" s="3">
        <v>64</v>
      </c>
    </row>
    <row r="55" spans="1:7">
      <c r="A55" s="3">
        <v>54</v>
      </c>
      <c r="B55" s="3">
        <v>0.12</v>
      </c>
      <c r="C55" s="3">
        <v>0.5</v>
      </c>
      <c r="D55" s="3">
        <v>0.28000000000000003</v>
      </c>
      <c r="E55" s="3">
        <v>1</v>
      </c>
      <c r="F55" s="3">
        <v>153</v>
      </c>
      <c r="G55" s="3">
        <v>154</v>
      </c>
    </row>
    <row r="56" spans="1:7">
      <c r="A56" s="3">
        <v>55</v>
      </c>
      <c r="B56" s="3">
        <v>0.14000000000000001</v>
      </c>
      <c r="C56" s="3">
        <v>0.43</v>
      </c>
      <c r="D56" s="3">
        <v>0.39</v>
      </c>
      <c r="E56" s="3">
        <v>7</v>
      </c>
      <c r="F56" s="3">
        <v>81</v>
      </c>
      <c r="G56" s="3">
        <v>88</v>
      </c>
    </row>
    <row r="57" spans="1:7">
      <c r="A57" s="3">
        <v>56</v>
      </c>
      <c r="B57" s="3">
        <v>0.17</v>
      </c>
      <c r="C57" s="3">
        <v>0.43</v>
      </c>
      <c r="D57" s="3">
        <v>0.25</v>
      </c>
      <c r="E57" s="3">
        <v>11</v>
      </c>
      <c r="F57" s="3">
        <v>33</v>
      </c>
      <c r="G57" s="3">
        <v>44</v>
      </c>
    </row>
    <row r="58" spans="1:7">
      <c r="A58" s="3">
        <v>57</v>
      </c>
      <c r="B58" s="3">
        <v>0.18</v>
      </c>
      <c r="C58" s="3">
        <v>0.4</v>
      </c>
      <c r="D58" s="3">
        <v>0.33</v>
      </c>
      <c r="E58" s="3">
        <v>10</v>
      </c>
      <c r="F58" s="3">
        <v>41</v>
      </c>
      <c r="G58" s="3">
        <v>51</v>
      </c>
    </row>
    <row r="59" spans="1:7">
      <c r="A59" s="3">
        <v>58</v>
      </c>
      <c r="B59" s="3">
        <v>0.21</v>
      </c>
      <c r="C59" s="3">
        <v>0.35</v>
      </c>
      <c r="D59" s="3">
        <v>0.3</v>
      </c>
      <c r="E59" s="3">
        <v>13</v>
      </c>
      <c r="F59" s="3">
        <v>48</v>
      </c>
      <c r="G59" s="3">
        <v>61</v>
      </c>
    </row>
    <row r="60" spans="1:7">
      <c r="A60" s="3">
        <v>59</v>
      </c>
      <c r="B60" s="3">
        <v>0.2</v>
      </c>
      <c r="C60" s="3">
        <v>0.35</v>
      </c>
      <c r="D60" s="3">
        <v>0.28000000000000003</v>
      </c>
      <c r="E60" s="3">
        <v>8</v>
      </c>
      <c r="F60" s="3">
        <v>53</v>
      </c>
      <c r="G60" s="3">
        <v>61</v>
      </c>
    </row>
    <row r="61" spans="1:7">
      <c r="A61" s="3">
        <v>60</v>
      </c>
      <c r="B61" s="3">
        <v>0.24</v>
      </c>
      <c r="C61" s="3">
        <v>0.3</v>
      </c>
      <c r="D61" s="3">
        <v>0.28000000000000003</v>
      </c>
      <c r="E61" s="3">
        <v>11</v>
      </c>
      <c r="F61" s="3">
        <v>66</v>
      </c>
      <c r="G61" s="3">
        <v>77</v>
      </c>
    </row>
    <row r="62" spans="1:7">
      <c r="A62" s="3">
        <v>61</v>
      </c>
      <c r="B62" s="3">
        <v>0.24</v>
      </c>
      <c r="C62" s="3">
        <v>0.3</v>
      </c>
      <c r="D62" s="3">
        <v>0.25</v>
      </c>
      <c r="E62" s="3">
        <v>14</v>
      </c>
      <c r="F62" s="3">
        <v>58</v>
      </c>
      <c r="G62" s="3">
        <v>72</v>
      </c>
    </row>
    <row r="63" spans="1:7">
      <c r="A63" s="3">
        <v>62</v>
      </c>
      <c r="B63" s="3">
        <v>0.24</v>
      </c>
      <c r="C63" s="3">
        <v>0.3</v>
      </c>
      <c r="D63" s="3">
        <v>0.25</v>
      </c>
      <c r="E63" s="3">
        <v>9</v>
      </c>
      <c r="F63" s="3">
        <v>67</v>
      </c>
      <c r="G63" s="3">
        <v>76</v>
      </c>
    </row>
    <row r="64" spans="1:7">
      <c r="A64" s="3">
        <v>63</v>
      </c>
      <c r="B64" s="3">
        <v>0.23</v>
      </c>
      <c r="C64" s="3">
        <v>0.3</v>
      </c>
      <c r="D64" s="3">
        <v>0.22</v>
      </c>
      <c r="E64" s="3">
        <v>11</v>
      </c>
      <c r="F64" s="3">
        <v>146</v>
      </c>
      <c r="G64" s="3">
        <v>157</v>
      </c>
    </row>
    <row r="65" spans="1:7">
      <c r="A65" s="3">
        <v>64</v>
      </c>
      <c r="B65" s="3">
        <v>0.26</v>
      </c>
      <c r="C65" s="3">
        <v>0.32</v>
      </c>
      <c r="D65" s="3">
        <v>0.1</v>
      </c>
      <c r="E65" s="3">
        <v>9</v>
      </c>
      <c r="F65" s="3">
        <v>148</v>
      </c>
      <c r="G65" s="3">
        <v>157</v>
      </c>
    </row>
    <row r="66" spans="1:7">
      <c r="A66" s="3">
        <v>65</v>
      </c>
      <c r="B66" s="3">
        <v>0.26</v>
      </c>
      <c r="C66" s="3">
        <v>0.47</v>
      </c>
      <c r="D66" s="3">
        <v>0</v>
      </c>
      <c r="E66" s="3">
        <v>8</v>
      </c>
      <c r="F66" s="3">
        <v>102</v>
      </c>
      <c r="G66" s="3">
        <v>110</v>
      </c>
    </row>
    <row r="67" spans="1:7">
      <c r="A67" s="3">
        <v>66</v>
      </c>
      <c r="B67" s="3">
        <v>0.2</v>
      </c>
      <c r="C67" s="3">
        <v>0.47</v>
      </c>
      <c r="D67" s="3">
        <v>0.1</v>
      </c>
      <c r="E67" s="3">
        <v>3</v>
      </c>
      <c r="F67" s="3">
        <v>49</v>
      </c>
      <c r="G67" s="3">
        <v>52</v>
      </c>
    </row>
    <row r="68" spans="1:7">
      <c r="A68" s="3">
        <v>67</v>
      </c>
      <c r="B68" s="3">
        <v>0.2</v>
      </c>
      <c r="C68" s="3">
        <v>0.64</v>
      </c>
      <c r="D68" s="3">
        <v>0.13</v>
      </c>
      <c r="E68" s="3">
        <v>3</v>
      </c>
      <c r="F68" s="3">
        <v>49</v>
      </c>
      <c r="G68" s="3">
        <v>52</v>
      </c>
    </row>
    <row r="69" spans="1:7">
      <c r="A69" s="3">
        <v>68</v>
      </c>
      <c r="B69" s="3">
        <v>0.15</v>
      </c>
      <c r="C69" s="3">
        <v>0.69</v>
      </c>
      <c r="D69" s="3">
        <v>0.13</v>
      </c>
      <c r="E69" s="3">
        <v>0</v>
      </c>
      <c r="F69" s="3">
        <v>20</v>
      </c>
      <c r="G69" s="3">
        <v>20</v>
      </c>
    </row>
    <row r="70" spans="1:7">
      <c r="A70" s="3">
        <v>69</v>
      </c>
      <c r="B70" s="3">
        <v>0.21</v>
      </c>
      <c r="C70" s="3">
        <v>0.55000000000000004</v>
      </c>
      <c r="D70" s="3">
        <v>0.1</v>
      </c>
      <c r="E70" s="3">
        <v>1</v>
      </c>
      <c r="F70" s="3">
        <v>11</v>
      </c>
      <c r="G70" s="3">
        <v>12</v>
      </c>
    </row>
    <row r="71" spans="1:7">
      <c r="A71" s="3">
        <v>70</v>
      </c>
      <c r="B71" s="3">
        <v>0.2</v>
      </c>
      <c r="C71" s="3">
        <v>0.55000000000000004</v>
      </c>
      <c r="D71" s="3">
        <v>0.1</v>
      </c>
      <c r="E71" s="3">
        <v>0</v>
      </c>
      <c r="F71" s="3">
        <v>5</v>
      </c>
      <c r="G71" s="3">
        <v>5</v>
      </c>
    </row>
    <row r="72" spans="1:7">
      <c r="A72" s="3">
        <v>71</v>
      </c>
      <c r="B72" s="3">
        <v>0.18</v>
      </c>
      <c r="C72" s="3">
        <v>0.59</v>
      </c>
      <c r="D72" s="3">
        <v>0.1</v>
      </c>
      <c r="E72" s="3">
        <v>0</v>
      </c>
      <c r="F72" s="3">
        <v>2</v>
      </c>
      <c r="G72" s="3">
        <v>2</v>
      </c>
    </row>
    <row r="73" spans="1:7">
      <c r="A73" s="3">
        <v>72</v>
      </c>
      <c r="B73" s="3">
        <v>0.15</v>
      </c>
      <c r="C73" s="3">
        <v>0.63</v>
      </c>
      <c r="D73" s="3">
        <v>0.13</v>
      </c>
      <c r="E73" s="3">
        <v>0</v>
      </c>
      <c r="F73" s="3">
        <v>1</v>
      </c>
      <c r="G73" s="3">
        <v>1</v>
      </c>
    </row>
    <row r="74" spans="1:7">
      <c r="A74" s="3">
        <v>73</v>
      </c>
      <c r="B74" s="3">
        <v>0.18</v>
      </c>
      <c r="C74" s="3">
        <v>0.63</v>
      </c>
      <c r="D74" s="3">
        <v>0.09</v>
      </c>
      <c r="E74" s="3">
        <v>0</v>
      </c>
      <c r="F74" s="3">
        <v>2</v>
      </c>
      <c r="G74" s="3">
        <v>2</v>
      </c>
    </row>
    <row r="75" spans="1:7">
      <c r="A75" s="3">
        <v>74</v>
      </c>
      <c r="B75" s="3">
        <v>0.15</v>
      </c>
      <c r="C75" s="3">
        <v>0.68</v>
      </c>
      <c r="D75" s="3">
        <v>0.1</v>
      </c>
      <c r="E75" s="3">
        <v>0</v>
      </c>
      <c r="F75" s="3">
        <v>4</v>
      </c>
      <c r="G75" s="3">
        <v>4</v>
      </c>
    </row>
    <row r="76" spans="1:7">
      <c r="A76" s="3">
        <v>75</v>
      </c>
      <c r="B76" s="3">
        <v>0.15</v>
      </c>
      <c r="C76" s="3">
        <v>0.74</v>
      </c>
      <c r="D76" s="3">
        <v>0.1</v>
      </c>
      <c r="E76" s="3">
        <v>0</v>
      </c>
      <c r="F76" s="3">
        <v>36</v>
      </c>
      <c r="G76" s="3">
        <v>36</v>
      </c>
    </row>
    <row r="77" spans="1:7">
      <c r="A77" s="3">
        <v>76</v>
      </c>
      <c r="B77" s="3">
        <v>0.15</v>
      </c>
      <c r="C77" s="3">
        <v>0.74</v>
      </c>
      <c r="D77" s="3">
        <v>0.13</v>
      </c>
      <c r="E77" s="3">
        <v>2</v>
      </c>
      <c r="F77" s="3">
        <v>92</v>
      </c>
      <c r="G77" s="3">
        <v>94</v>
      </c>
    </row>
    <row r="78" spans="1:7">
      <c r="A78" s="3">
        <v>77</v>
      </c>
      <c r="B78" s="3">
        <v>0.15</v>
      </c>
      <c r="C78" s="3">
        <v>0.69</v>
      </c>
      <c r="D78" s="3">
        <v>0.16</v>
      </c>
      <c r="E78" s="3">
        <v>2</v>
      </c>
      <c r="F78" s="3">
        <v>177</v>
      </c>
      <c r="G78" s="3">
        <v>179</v>
      </c>
    </row>
    <row r="79" spans="1:7">
      <c r="A79" s="3">
        <v>78</v>
      </c>
      <c r="B79" s="3">
        <v>0.15</v>
      </c>
      <c r="C79" s="3">
        <v>0.64</v>
      </c>
      <c r="D79" s="3">
        <v>0.22</v>
      </c>
      <c r="E79" s="3">
        <v>2</v>
      </c>
      <c r="F79" s="3">
        <v>98</v>
      </c>
      <c r="G79" s="3">
        <v>100</v>
      </c>
    </row>
    <row r="80" spans="1:7">
      <c r="A80" s="3">
        <v>79</v>
      </c>
      <c r="B80" s="3">
        <v>0.14000000000000001</v>
      </c>
      <c r="C80" s="3">
        <v>0.69</v>
      </c>
      <c r="D80" s="3">
        <v>0.33</v>
      </c>
      <c r="E80" s="3">
        <v>5</v>
      </c>
      <c r="F80" s="3">
        <v>37</v>
      </c>
      <c r="G80" s="3">
        <v>42</v>
      </c>
    </row>
    <row r="81" spans="1:7">
      <c r="A81" s="3">
        <v>80</v>
      </c>
      <c r="B81" s="3">
        <v>0.21</v>
      </c>
      <c r="C81" s="3">
        <v>0.51</v>
      </c>
      <c r="D81" s="3">
        <v>0.3</v>
      </c>
      <c r="E81" s="3">
        <v>7</v>
      </c>
      <c r="F81" s="3">
        <v>50</v>
      </c>
      <c r="G81" s="3">
        <v>57</v>
      </c>
    </row>
    <row r="82" spans="1:7">
      <c r="A82" s="3">
        <v>81</v>
      </c>
      <c r="B82" s="3">
        <v>0.23</v>
      </c>
      <c r="C82" s="3">
        <v>0.51</v>
      </c>
      <c r="D82" s="3">
        <v>0.16</v>
      </c>
      <c r="E82" s="3">
        <v>12</v>
      </c>
      <c r="F82" s="3">
        <v>66</v>
      </c>
      <c r="G82" s="3">
        <v>78</v>
      </c>
    </row>
    <row r="83" spans="1:7">
      <c r="A83" s="3">
        <v>82</v>
      </c>
      <c r="B83" s="3">
        <v>0.23</v>
      </c>
      <c r="C83" s="3">
        <v>0.56000000000000005</v>
      </c>
      <c r="D83" s="3">
        <v>0.19</v>
      </c>
      <c r="E83" s="3">
        <v>18</v>
      </c>
      <c r="F83" s="3">
        <v>79</v>
      </c>
      <c r="G83" s="3">
        <v>97</v>
      </c>
    </row>
    <row r="84" spans="1:7">
      <c r="A84" s="3">
        <v>83</v>
      </c>
      <c r="B84" s="3">
        <v>0.26</v>
      </c>
      <c r="C84" s="3">
        <v>0.52</v>
      </c>
      <c r="D84" s="3">
        <v>0.22</v>
      </c>
      <c r="E84" s="3">
        <v>9</v>
      </c>
      <c r="F84" s="3">
        <v>54</v>
      </c>
      <c r="G84" s="3">
        <v>63</v>
      </c>
    </row>
    <row r="85" spans="1:7">
      <c r="A85" s="3">
        <v>84</v>
      </c>
      <c r="B85" s="3">
        <v>0.27</v>
      </c>
      <c r="C85" s="3">
        <v>0.52</v>
      </c>
      <c r="D85" s="3">
        <v>0.25</v>
      </c>
      <c r="E85" s="3">
        <v>17</v>
      </c>
      <c r="F85" s="3">
        <v>48</v>
      </c>
      <c r="G85" s="3">
        <v>65</v>
      </c>
    </row>
    <row r="86" spans="1:7">
      <c r="A86" s="3">
        <v>85</v>
      </c>
      <c r="B86" s="3">
        <v>0.28999999999999998</v>
      </c>
      <c r="C86" s="3">
        <v>0.49</v>
      </c>
      <c r="D86" s="3">
        <v>0.25</v>
      </c>
      <c r="E86" s="3">
        <v>15</v>
      </c>
      <c r="F86" s="3">
        <v>68</v>
      </c>
      <c r="G86" s="3">
        <v>83</v>
      </c>
    </row>
    <row r="87" spans="1:7">
      <c r="A87" s="3">
        <v>86</v>
      </c>
      <c r="B87" s="3">
        <v>0.27</v>
      </c>
      <c r="C87" s="3">
        <v>0.48</v>
      </c>
      <c r="D87" s="3">
        <v>0.22</v>
      </c>
      <c r="E87" s="3">
        <v>10</v>
      </c>
      <c r="F87" s="3">
        <v>202</v>
      </c>
      <c r="G87" s="3">
        <v>212</v>
      </c>
    </row>
    <row r="88" spans="1:7">
      <c r="A88" s="3">
        <v>87</v>
      </c>
      <c r="B88" s="3">
        <v>0.26</v>
      </c>
      <c r="C88" s="3">
        <v>0.48</v>
      </c>
      <c r="D88" s="3">
        <v>0.19</v>
      </c>
      <c r="E88" s="3">
        <v>3</v>
      </c>
      <c r="F88" s="3">
        <v>179</v>
      </c>
      <c r="G88" s="3">
        <v>182</v>
      </c>
    </row>
    <row r="89" spans="1:7">
      <c r="A89" s="3">
        <v>88</v>
      </c>
      <c r="B89" s="3">
        <v>0.26</v>
      </c>
      <c r="C89" s="3">
        <v>0.48</v>
      </c>
      <c r="D89" s="3">
        <v>0.1</v>
      </c>
      <c r="E89" s="3">
        <v>2</v>
      </c>
      <c r="F89" s="3">
        <v>110</v>
      </c>
      <c r="G89" s="3">
        <v>112</v>
      </c>
    </row>
    <row r="90" spans="1:7">
      <c r="A90" s="3">
        <v>89</v>
      </c>
      <c r="B90" s="3">
        <v>0.26</v>
      </c>
      <c r="C90" s="3">
        <v>0.48</v>
      </c>
      <c r="D90" s="3">
        <v>0.1</v>
      </c>
      <c r="E90" s="3">
        <v>1</v>
      </c>
      <c r="F90" s="3">
        <v>53</v>
      </c>
      <c r="G90" s="3">
        <v>54</v>
      </c>
    </row>
    <row r="91" spans="1:7">
      <c r="A91" s="3">
        <v>90</v>
      </c>
      <c r="B91" s="3">
        <v>0.27</v>
      </c>
      <c r="C91" s="3">
        <v>0.64</v>
      </c>
      <c r="D91" s="3">
        <v>0</v>
      </c>
      <c r="E91" s="3">
        <v>0</v>
      </c>
      <c r="F91" s="3">
        <v>48</v>
      </c>
      <c r="G91" s="3">
        <v>48</v>
      </c>
    </row>
    <row r="92" spans="1:7">
      <c r="A92" s="3">
        <v>91</v>
      </c>
      <c r="B92" s="3">
        <v>0.26</v>
      </c>
      <c r="C92" s="3">
        <v>0.64</v>
      </c>
      <c r="D92" s="3">
        <v>0.09</v>
      </c>
      <c r="E92" s="3">
        <v>1</v>
      </c>
      <c r="F92" s="3">
        <v>34</v>
      </c>
      <c r="G92" s="3">
        <v>35</v>
      </c>
    </row>
    <row r="93" spans="1:7">
      <c r="A93" s="3">
        <v>92</v>
      </c>
      <c r="B93" s="3">
        <v>0.23</v>
      </c>
      <c r="C93" s="3">
        <v>0.69</v>
      </c>
      <c r="D93" s="3">
        <v>0.09</v>
      </c>
      <c r="E93" s="3">
        <v>2</v>
      </c>
      <c r="F93" s="3">
        <v>9</v>
      </c>
      <c r="G93" s="3">
        <v>11</v>
      </c>
    </row>
    <row r="94" spans="1:7">
      <c r="A94" s="3">
        <v>93</v>
      </c>
      <c r="B94" s="3">
        <v>0.26</v>
      </c>
      <c r="C94" s="3">
        <v>0.64</v>
      </c>
      <c r="D94" s="3">
        <v>0</v>
      </c>
      <c r="E94" s="3">
        <v>0</v>
      </c>
      <c r="F94" s="3">
        <v>6</v>
      </c>
      <c r="G94" s="3">
        <v>6</v>
      </c>
    </row>
    <row r="95" spans="1:7">
      <c r="A95" s="3">
        <v>94</v>
      </c>
      <c r="B95" s="3">
        <v>0.2</v>
      </c>
      <c r="C95" s="3">
        <v>0.74</v>
      </c>
      <c r="D95" s="3">
        <v>0.09</v>
      </c>
      <c r="E95" s="3">
        <v>0</v>
      </c>
      <c r="F95" s="3">
        <v>6</v>
      </c>
      <c r="G95" s="3">
        <v>6</v>
      </c>
    </row>
    <row r="96" spans="1:7">
      <c r="A96" s="3">
        <v>95</v>
      </c>
      <c r="B96" s="3">
        <v>0.2</v>
      </c>
      <c r="C96" s="3">
        <v>0.74</v>
      </c>
      <c r="D96" s="3">
        <v>0.09</v>
      </c>
      <c r="E96" s="3">
        <v>0</v>
      </c>
      <c r="F96" s="3">
        <v>2</v>
      </c>
      <c r="G96" s="3">
        <v>2</v>
      </c>
    </row>
    <row r="97" spans="1:7">
      <c r="A97" s="3">
        <v>96</v>
      </c>
      <c r="B97" s="3">
        <v>0.23</v>
      </c>
      <c r="C97" s="3">
        <v>0.48</v>
      </c>
      <c r="D97" s="3">
        <v>0.22</v>
      </c>
      <c r="E97" s="3">
        <v>0</v>
      </c>
      <c r="F97" s="3">
        <v>2</v>
      </c>
      <c r="G97" s="3">
        <v>2</v>
      </c>
    </row>
    <row r="98" spans="1:7">
      <c r="A98" s="3">
        <v>97</v>
      </c>
      <c r="B98" s="3">
        <v>0.23</v>
      </c>
      <c r="C98" s="3">
        <v>0.47</v>
      </c>
      <c r="D98" s="3">
        <v>0.16</v>
      </c>
      <c r="E98" s="3">
        <v>0</v>
      </c>
      <c r="F98" s="3">
        <v>3</v>
      </c>
      <c r="G98" s="3">
        <v>3</v>
      </c>
    </row>
    <row r="99" spans="1:7">
      <c r="A99" s="3">
        <v>98</v>
      </c>
      <c r="B99" s="3">
        <v>0.2</v>
      </c>
      <c r="C99" s="3">
        <v>0.47</v>
      </c>
      <c r="D99" s="3">
        <v>0.22</v>
      </c>
      <c r="E99" s="3">
        <v>0</v>
      </c>
      <c r="F99" s="3">
        <v>33</v>
      </c>
      <c r="G99" s="3">
        <v>33</v>
      </c>
    </row>
    <row r="100" spans="1:7">
      <c r="A100" s="3">
        <v>99</v>
      </c>
      <c r="B100" s="3">
        <v>0.18</v>
      </c>
      <c r="C100" s="3">
        <v>0.43</v>
      </c>
      <c r="D100" s="3">
        <v>0.19</v>
      </c>
      <c r="E100" s="3">
        <v>1</v>
      </c>
      <c r="F100" s="3">
        <v>87</v>
      </c>
      <c r="G100" s="3">
        <v>88</v>
      </c>
    </row>
    <row r="101" spans="1:7">
      <c r="A101" s="3">
        <v>100</v>
      </c>
      <c r="B101" s="3">
        <v>0.18</v>
      </c>
      <c r="C101" s="3">
        <v>0.4</v>
      </c>
      <c r="D101" s="3">
        <v>0.3</v>
      </c>
      <c r="E101" s="3">
        <v>3</v>
      </c>
      <c r="F101" s="3">
        <v>192</v>
      </c>
      <c r="G101" s="3">
        <v>195</v>
      </c>
    </row>
    <row r="102" spans="1:7">
      <c r="A102" s="3">
        <v>101</v>
      </c>
      <c r="B102" s="3">
        <v>0.2</v>
      </c>
      <c r="C102" s="3">
        <v>0.37</v>
      </c>
      <c r="D102" s="3">
        <v>0.33</v>
      </c>
      <c r="E102" s="3">
        <v>6</v>
      </c>
      <c r="F102" s="3">
        <v>109</v>
      </c>
      <c r="G102" s="3">
        <v>115</v>
      </c>
    </row>
    <row r="103" spans="1:7">
      <c r="A103" s="3">
        <v>102</v>
      </c>
      <c r="B103" s="3">
        <v>0.2</v>
      </c>
      <c r="C103" s="3">
        <v>0.37</v>
      </c>
      <c r="D103" s="3">
        <v>0.33</v>
      </c>
      <c r="E103" s="3">
        <v>4</v>
      </c>
      <c r="F103" s="3">
        <v>53</v>
      </c>
      <c r="G103" s="3">
        <v>57</v>
      </c>
    </row>
    <row r="104" spans="1:7">
      <c r="A104" s="3">
        <v>103</v>
      </c>
      <c r="B104" s="3">
        <v>0.23</v>
      </c>
      <c r="C104" s="3">
        <v>0.33</v>
      </c>
      <c r="D104" s="3">
        <v>0.33</v>
      </c>
      <c r="E104" s="3">
        <v>12</v>
      </c>
      <c r="F104" s="3">
        <v>34</v>
      </c>
      <c r="G104" s="3">
        <v>46</v>
      </c>
    </row>
    <row r="105" spans="1:7">
      <c r="A105" s="3">
        <v>104</v>
      </c>
      <c r="B105" s="3">
        <v>0.23</v>
      </c>
      <c r="C105" s="3">
        <v>0.33</v>
      </c>
      <c r="D105" s="3">
        <v>0.33</v>
      </c>
      <c r="E105" s="3">
        <v>5</v>
      </c>
      <c r="F105" s="3">
        <v>74</v>
      </c>
      <c r="G105" s="3">
        <v>79</v>
      </c>
    </row>
    <row r="106" spans="1:7">
      <c r="A106" s="3">
        <v>105</v>
      </c>
      <c r="B106" s="3">
        <v>0.26</v>
      </c>
      <c r="C106" s="3">
        <v>0.3</v>
      </c>
      <c r="D106" s="3">
        <v>0.3</v>
      </c>
      <c r="E106" s="3">
        <v>6</v>
      </c>
      <c r="F106" s="3">
        <v>65</v>
      </c>
      <c r="G106" s="3">
        <v>71</v>
      </c>
    </row>
    <row r="107" spans="1:7">
      <c r="A107" s="3">
        <v>106</v>
      </c>
      <c r="B107" s="3">
        <v>0.28999999999999998</v>
      </c>
      <c r="C107" s="3">
        <v>0.28000000000000003</v>
      </c>
      <c r="D107" s="3">
        <v>0.19</v>
      </c>
      <c r="E107" s="3">
        <v>10</v>
      </c>
      <c r="F107" s="3">
        <v>52</v>
      </c>
      <c r="G107" s="3">
        <v>62</v>
      </c>
    </row>
    <row r="108" spans="1:7">
      <c r="A108" s="3">
        <v>107</v>
      </c>
      <c r="B108" s="3">
        <v>0.28999999999999998</v>
      </c>
      <c r="C108" s="3">
        <v>0.28000000000000003</v>
      </c>
      <c r="D108" s="3">
        <v>0.19</v>
      </c>
      <c r="E108" s="3">
        <v>7</v>
      </c>
      <c r="F108" s="3">
        <v>55</v>
      </c>
      <c r="G108" s="3">
        <v>62</v>
      </c>
    </row>
    <row r="109" spans="1:7">
      <c r="A109" s="3">
        <v>108</v>
      </c>
      <c r="B109" s="3">
        <v>0.32</v>
      </c>
      <c r="C109" s="3">
        <v>0.28000000000000003</v>
      </c>
      <c r="D109" s="3">
        <v>0.09</v>
      </c>
      <c r="E109" s="3">
        <v>4</v>
      </c>
      <c r="F109" s="3">
        <v>85</v>
      </c>
      <c r="G109" s="3">
        <v>89</v>
      </c>
    </row>
    <row r="110" spans="1:7">
      <c r="A110" s="3">
        <v>109</v>
      </c>
      <c r="B110" s="3">
        <v>0.23</v>
      </c>
      <c r="C110" s="3">
        <v>0.38</v>
      </c>
      <c r="D110" s="3">
        <v>0.19</v>
      </c>
      <c r="E110" s="3">
        <v>4</v>
      </c>
      <c r="F110" s="3">
        <v>186</v>
      </c>
      <c r="G110" s="3">
        <v>190</v>
      </c>
    </row>
    <row r="111" spans="1:7">
      <c r="A111" s="3">
        <v>110</v>
      </c>
      <c r="B111" s="3">
        <v>0.24</v>
      </c>
      <c r="C111" s="3">
        <v>0.38</v>
      </c>
      <c r="D111" s="3">
        <v>0.13</v>
      </c>
      <c r="E111" s="3">
        <v>3</v>
      </c>
      <c r="F111" s="3">
        <v>166</v>
      </c>
      <c r="G111" s="3">
        <v>169</v>
      </c>
    </row>
    <row r="112" spans="1:7">
      <c r="A112" s="3">
        <v>111</v>
      </c>
      <c r="B112" s="3">
        <v>0.26</v>
      </c>
      <c r="C112" s="3">
        <v>0.38</v>
      </c>
      <c r="D112" s="3">
        <v>0.1</v>
      </c>
      <c r="E112" s="3">
        <v>5</v>
      </c>
      <c r="F112" s="3">
        <v>127</v>
      </c>
      <c r="G112" s="3">
        <v>132</v>
      </c>
    </row>
    <row r="113" spans="1:7">
      <c r="A113" s="3">
        <v>112</v>
      </c>
      <c r="B113" s="3">
        <v>0.23</v>
      </c>
      <c r="C113" s="3">
        <v>0.47</v>
      </c>
      <c r="D113" s="3">
        <v>0.16</v>
      </c>
      <c r="E113" s="3">
        <v>7</v>
      </c>
      <c r="F113" s="3">
        <v>82</v>
      </c>
      <c r="G113" s="3">
        <v>89</v>
      </c>
    </row>
    <row r="114" spans="1:7">
      <c r="A114" s="3">
        <v>113</v>
      </c>
      <c r="B114" s="3">
        <v>0.2</v>
      </c>
      <c r="C114" s="3">
        <v>0.51</v>
      </c>
      <c r="D114" s="3">
        <v>0.19</v>
      </c>
      <c r="E114" s="3">
        <v>3</v>
      </c>
      <c r="F114" s="3">
        <v>40</v>
      </c>
      <c r="G114" s="3">
        <v>43</v>
      </c>
    </row>
    <row r="115" spans="1:7">
      <c r="A115" s="3">
        <v>114</v>
      </c>
      <c r="B115" s="3">
        <v>0.2</v>
      </c>
      <c r="C115" s="3">
        <v>0.55000000000000004</v>
      </c>
      <c r="D115" s="3">
        <v>0.13</v>
      </c>
      <c r="E115" s="3">
        <v>1</v>
      </c>
      <c r="F115" s="3">
        <v>41</v>
      </c>
      <c r="G115" s="3">
        <v>42</v>
      </c>
    </row>
    <row r="116" spans="1:7">
      <c r="A116" s="3">
        <v>115</v>
      </c>
      <c r="B116" s="3">
        <v>0.26</v>
      </c>
      <c r="C116" s="3">
        <v>0.47</v>
      </c>
      <c r="D116" s="3">
        <v>0</v>
      </c>
      <c r="E116" s="3">
        <v>1</v>
      </c>
      <c r="F116" s="3">
        <v>18</v>
      </c>
      <c r="G116" s="3">
        <v>19</v>
      </c>
    </row>
    <row r="117" spans="1:7">
      <c r="A117" s="3">
        <v>116</v>
      </c>
      <c r="B117" s="3">
        <v>0.24</v>
      </c>
      <c r="C117" s="3">
        <v>0.55000000000000004</v>
      </c>
      <c r="D117" s="3">
        <v>0</v>
      </c>
      <c r="E117" s="3">
        <v>0</v>
      </c>
      <c r="F117" s="3">
        <v>11</v>
      </c>
      <c r="G117" s="3">
        <v>11</v>
      </c>
    </row>
    <row r="118" spans="1:7">
      <c r="A118" s="3">
        <v>117</v>
      </c>
      <c r="B118" s="3">
        <v>0.23</v>
      </c>
      <c r="C118" s="3">
        <v>0.64</v>
      </c>
      <c r="D118" s="3">
        <v>0</v>
      </c>
      <c r="E118" s="3">
        <v>0</v>
      </c>
      <c r="F118" s="3">
        <v>4</v>
      </c>
      <c r="G118" s="3">
        <v>4</v>
      </c>
    </row>
    <row r="119" spans="1:7">
      <c r="A119" s="3">
        <v>118</v>
      </c>
      <c r="B119" s="3">
        <v>0.23</v>
      </c>
      <c r="C119" s="3">
        <v>0.64</v>
      </c>
      <c r="D119" s="3">
        <v>0</v>
      </c>
      <c r="E119" s="3">
        <v>0</v>
      </c>
      <c r="F119" s="3">
        <v>2</v>
      </c>
      <c r="G119" s="3">
        <v>2</v>
      </c>
    </row>
    <row r="120" spans="1:7">
      <c r="A120" s="3">
        <v>119</v>
      </c>
      <c r="B120" s="3">
        <v>0.2</v>
      </c>
      <c r="C120" s="3">
        <v>0.64</v>
      </c>
      <c r="D120" s="3">
        <v>0.09</v>
      </c>
      <c r="E120" s="3">
        <v>0</v>
      </c>
      <c r="F120" s="3">
        <v>1</v>
      </c>
      <c r="G120" s="3">
        <v>1</v>
      </c>
    </row>
    <row r="121" spans="1:7">
      <c r="A121" s="3">
        <v>120</v>
      </c>
      <c r="B121" s="3">
        <v>0.18</v>
      </c>
      <c r="C121" s="3">
        <v>0.69</v>
      </c>
      <c r="D121" s="3">
        <v>0.09</v>
      </c>
      <c r="E121" s="3">
        <v>0</v>
      </c>
      <c r="F121" s="3">
        <v>4</v>
      </c>
      <c r="G121" s="3">
        <v>4</v>
      </c>
    </row>
    <row r="122" spans="1:7">
      <c r="A122" s="3">
        <v>121</v>
      </c>
      <c r="B122" s="3">
        <v>0.17</v>
      </c>
      <c r="C122" s="3">
        <v>0.63</v>
      </c>
      <c r="D122" s="3">
        <v>0.1</v>
      </c>
      <c r="E122" s="3">
        <v>0</v>
      </c>
      <c r="F122" s="3">
        <v>36</v>
      </c>
      <c r="G122" s="3">
        <v>36</v>
      </c>
    </row>
    <row r="123" spans="1:7">
      <c r="A123" s="3">
        <v>122</v>
      </c>
      <c r="B123" s="3">
        <v>0.23</v>
      </c>
      <c r="C123" s="3">
        <v>0.59</v>
      </c>
      <c r="D123" s="3">
        <v>0</v>
      </c>
      <c r="E123" s="3">
        <v>0</v>
      </c>
      <c r="F123" s="3">
        <v>95</v>
      </c>
      <c r="G123" s="3">
        <v>95</v>
      </c>
    </row>
    <row r="124" spans="1:7">
      <c r="A124" s="3">
        <v>123</v>
      </c>
      <c r="B124" s="3">
        <v>0.23</v>
      </c>
      <c r="C124" s="3">
        <v>0.59</v>
      </c>
      <c r="D124" s="3">
        <v>0</v>
      </c>
      <c r="E124" s="3">
        <v>3</v>
      </c>
      <c r="F124" s="3">
        <v>216</v>
      </c>
      <c r="G124" s="3">
        <v>219</v>
      </c>
    </row>
    <row r="125" spans="1:7">
      <c r="A125" s="3">
        <v>124</v>
      </c>
      <c r="B125" s="3">
        <v>0.24</v>
      </c>
      <c r="C125" s="3">
        <v>0.51</v>
      </c>
      <c r="D125" s="3">
        <v>0</v>
      </c>
      <c r="E125" s="3">
        <v>6</v>
      </c>
      <c r="F125" s="3">
        <v>116</v>
      </c>
      <c r="G125" s="3">
        <v>122</v>
      </c>
    </row>
    <row r="126" spans="1:7">
      <c r="A126" s="3">
        <v>125</v>
      </c>
      <c r="B126" s="3">
        <v>0.26</v>
      </c>
      <c r="C126" s="3">
        <v>0.47</v>
      </c>
      <c r="D126" s="3">
        <v>0</v>
      </c>
      <c r="E126" s="3">
        <v>3</v>
      </c>
      <c r="F126" s="3">
        <v>42</v>
      </c>
      <c r="G126" s="3">
        <v>45</v>
      </c>
    </row>
    <row r="127" spans="1:7">
      <c r="A127" s="3">
        <v>126</v>
      </c>
      <c r="B127" s="3">
        <v>0.26</v>
      </c>
      <c r="C127" s="3">
        <v>0.44</v>
      </c>
      <c r="D127" s="3">
        <v>0.09</v>
      </c>
      <c r="E127" s="3">
        <v>2</v>
      </c>
      <c r="F127" s="3">
        <v>57</v>
      </c>
      <c r="G127" s="3">
        <v>59</v>
      </c>
    </row>
    <row r="128" spans="1:7">
      <c r="A128" s="3">
        <v>127</v>
      </c>
      <c r="B128" s="3">
        <v>0.28999999999999998</v>
      </c>
      <c r="C128" s="3">
        <v>0.35</v>
      </c>
      <c r="D128" s="3">
        <v>0</v>
      </c>
      <c r="E128" s="3">
        <v>6</v>
      </c>
      <c r="F128" s="3">
        <v>78</v>
      </c>
      <c r="G128" s="3">
        <v>84</v>
      </c>
    </row>
    <row r="129" spans="1:7">
      <c r="A129" s="3">
        <v>128</v>
      </c>
      <c r="B129" s="3">
        <v>0.27</v>
      </c>
      <c r="C129" s="3">
        <v>0.35</v>
      </c>
      <c r="D129" s="3">
        <v>0.1</v>
      </c>
      <c r="E129" s="3">
        <v>12</v>
      </c>
      <c r="F129" s="3">
        <v>55</v>
      </c>
      <c r="G129" s="3">
        <v>67</v>
      </c>
    </row>
    <row r="130" spans="1:7">
      <c r="A130" s="3">
        <v>129</v>
      </c>
      <c r="B130" s="3">
        <v>0.27</v>
      </c>
      <c r="C130" s="3">
        <v>0.36</v>
      </c>
      <c r="D130" s="3">
        <v>0.16</v>
      </c>
      <c r="E130" s="3">
        <v>11</v>
      </c>
      <c r="F130" s="3">
        <v>59</v>
      </c>
      <c r="G130" s="3">
        <v>70</v>
      </c>
    </row>
    <row r="131" spans="1:7">
      <c r="A131" s="3">
        <v>130</v>
      </c>
      <c r="B131" s="3">
        <v>0.27</v>
      </c>
      <c r="C131" s="3">
        <v>0.36</v>
      </c>
      <c r="D131" s="3">
        <v>0</v>
      </c>
      <c r="E131" s="3">
        <v>8</v>
      </c>
      <c r="F131" s="3">
        <v>54</v>
      </c>
      <c r="G131" s="3">
        <v>62</v>
      </c>
    </row>
    <row r="132" spans="1:7">
      <c r="A132" s="3">
        <v>131</v>
      </c>
      <c r="B132" s="3">
        <v>0.26</v>
      </c>
      <c r="C132" s="3">
        <v>0.38</v>
      </c>
      <c r="D132" s="3">
        <v>0.16</v>
      </c>
      <c r="E132" s="3">
        <v>12</v>
      </c>
      <c r="F132" s="3">
        <v>74</v>
      </c>
      <c r="G132" s="3">
        <v>86</v>
      </c>
    </row>
    <row r="133" spans="1:7">
      <c r="A133" s="3">
        <v>132</v>
      </c>
      <c r="B133" s="3">
        <v>0.23</v>
      </c>
      <c r="C133" s="3">
        <v>0.51</v>
      </c>
      <c r="D133" s="3">
        <v>0.16</v>
      </c>
      <c r="E133" s="3">
        <v>9</v>
      </c>
      <c r="F133" s="3">
        <v>163</v>
      </c>
      <c r="G133" s="3">
        <v>172</v>
      </c>
    </row>
    <row r="134" spans="1:7">
      <c r="A134" s="3">
        <v>133</v>
      </c>
      <c r="B134" s="3">
        <v>0.23</v>
      </c>
      <c r="C134" s="3">
        <v>0.51</v>
      </c>
      <c r="D134" s="3">
        <v>0.13</v>
      </c>
      <c r="E134" s="3">
        <v>5</v>
      </c>
      <c r="F134" s="3">
        <v>158</v>
      </c>
      <c r="G134" s="3">
        <v>163</v>
      </c>
    </row>
    <row r="135" spans="1:7">
      <c r="A135" s="3">
        <v>134</v>
      </c>
      <c r="B135" s="3">
        <v>0.26</v>
      </c>
      <c r="C135" s="3">
        <v>0.55000000000000004</v>
      </c>
      <c r="D135" s="3">
        <v>0.09</v>
      </c>
      <c r="E135" s="3">
        <v>3</v>
      </c>
      <c r="F135" s="3">
        <v>109</v>
      </c>
      <c r="G135" s="3">
        <v>112</v>
      </c>
    </row>
    <row r="136" spans="1:7">
      <c r="A136" s="3">
        <v>135</v>
      </c>
      <c r="B136" s="3">
        <v>0.21</v>
      </c>
      <c r="C136" s="3">
        <v>0.51</v>
      </c>
      <c r="D136" s="3">
        <v>0.16</v>
      </c>
      <c r="E136" s="3">
        <v>3</v>
      </c>
      <c r="F136" s="3">
        <v>66</v>
      </c>
      <c r="G136" s="3">
        <v>69</v>
      </c>
    </row>
    <row r="137" spans="1:7">
      <c r="A137" s="3">
        <v>136</v>
      </c>
      <c r="B137" s="3">
        <v>0.21</v>
      </c>
      <c r="C137" s="3">
        <v>0.55000000000000004</v>
      </c>
      <c r="D137" s="3">
        <v>0.22</v>
      </c>
      <c r="E137" s="3">
        <v>0</v>
      </c>
      <c r="F137" s="3">
        <v>48</v>
      </c>
      <c r="G137" s="3">
        <v>48</v>
      </c>
    </row>
    <row r="138" spans="1:7">
      <c r="A138" s="3">
        <v>137</v>
      </c>
      <c r="B138" s="3">
        <v>0.21</v>
      </c>
      <c r="C138" s="3">
        <v>0.51</v>
      </c>
      <c r="D138" s="3">
        <v>0.28000000000000003</v>
      </c>
      <c r="E138" s="3">
        <v>1</v>
      </c>
      <c r="F138" s="3">
        <v>51</v>
      </c>
      <c r="G138" s="3">
        <v>52</v>
      </c>
    </row>
    <row r="139" spans="1:7">
      <c r="A139" s="3">
        <v>138</v>
      </c>
      <c r="B139" s="3">
        <v>0.2</v>
      </c>
      <c r="C139" s="3">
        <v>0.59</v>
      </c>
      <c r="D139" s="3">
        <v>0.19</v>
      </c>
      <c r="E139" s="3">
        <v>4</v>
      </c>
      <c r="F139" s="3">
        <v>19</v>
      </c>
      <c r="G139" s="3">
        <v>23</v>
      </c>
    </row>
    <row r="140" spans="1:7">
      <c r="A140" s="3">
        <v>139</v>
      </c>
      <c r="B140" s="3">
        <v>0.2</v>
      </c>
      <c r="C140" s="3">
        <v>0.64</v>
      </c>
      <c r="D140" s="3">
        <v>0.19</v>
      </c>
      <c r="E140" s="3">
        <v>4</v>
      </c>
      <c r="F140" s="3">
        <v>13</v>
      </c>
      <c r="G140" s="3">
        <v>17</v>
      </c>
    </row>
    <row r="141" spans="1:7">
      <c r="A141" s="3">
        <v>140</v>
      </c>
      <c r="B141" s="3">
        <v>0.2</v>
      </c>
      <c r="C141" s="3">
        <v>0.69</v>
      </c>
      <c r="D141" s="3">
        <v>0.22</v>
      </c>
      <c r="E141" s="3">
        <v>2</v>
      </c>
      <c r="F141" s="3">
        <v>5</v>
      </c>
      <c r="G141" s="3">
        <v>7</v>
      </c>
    </row>
    <row r="142" spans="1:7">
      <c r="A142" s="3">
        <v>141</v>
      </c>
      <c r="B142" s="3">
        <v>0.2</v>
      </c>
      <c r="C142" s="3">
        <v>0.69</v>
      </c>
      <c r="D142" s="3">
        <v>0.22</v>
      </c>
      <c r="E142" s="3">
        <v>0</v>
      </c>
      <c r="F142" s="3">
        <v>1</v>
      </c>
      <c r="G142" s="3">
        <v>1</v>
      </c>
    </row>
    <row r="143" spans="1:7">
      <c r="A143" s="3">
        <v>142</v>
      </c>
      <c r="B143" s="3">
        <v>0.21</v>
      </c>
      <c r="C143" s="3">
        <v>0.69</v>
      </c>
      <c r="D143" s="3">
        <v>0.13</v>
      </c>
      <c r="E143" s="3">
        <v>0</v>
      </c>
      <c r="F143" s="3">
        <v>1</v>
      </c>
      <c r="G143" s="3">
        <v>1</v>
      </c>
    </row>
    <row r="144" spans="1:7">
      <c r="A144" s="3">
        <v>143</v>
      </c>
      <c r="B144" s="3">
        <v>0.27</v>
      </c>
      <c r="C144" s="3">
        <v>0.55000000000000004</v>
      </c>
      <c r="D144" s="3">
        <v>0</v>
      </c>
      <c r="E144" s="3">
        <v>0</v>
      </c>
      <c r="F144" s="3">
        <v>5</v>
      </c>
      <c r="G144" s="3">
        <v>5</v>
      </c>
    </row>
    <row r="145" spans="1:7">
      <c r="A145" s="3">
        <v>144</v>
      </c>
      <c r="B145" s="3">
        <v>0.26</v>
      </c>
      <c r="C145" s="3">
        <v>0.69</v>
      </c>
      <c r="D145" s="3">
        <v>0</v>
      </c>
      <c r="E145" s="3">
        <v>8</v>
      </c>
      <c r="F145" s="3">
        <v>26</v>
      </c>
      <c r="G145" s="3">
        <v>34</v>
      </c>
    </row>
    <row r="146" spans="1:7">
      <c r="A146" s="3">
        <v>145</v>
      </c>
      <c r="B146" s="3">
        <v>0.21</v>
      </c>
      <c r="C146" s="3">
        <v>0.69</v>
      </c>
      <c r="D146" s="3">
        <v>0.13</v>
      </c>
      <c r="E146" s="3">
        <v>8</v>
      </c>
      <c r="F146" s="3">
        <v>76</v>
      </c>
      <c r="G146" s="3">
        <v>84</v>
      </c>
    </row>
    <row r="147" spans="1:7">
      <c r="A147" s="3">
        <v>146</v>
      </c>
      <c r="B147" s="3">
        <v>0.2</v>
      </c>
      <c r="C147" s="3">
        <v>0.51</v>
      </c>
      <c r="D147" s="3">
        <v>0.25</v>
      </c>
      <c r="E147" s="3">
        <v>20</v>
      </c>
      <c r="F147" s="3">
        <v>190</v>
      </c>
      <c r="G147" s="3">
        <v>210</v>
      </c>
    </row>
    <row r="148" spans="1:7">
      <c r="A148" s="3">
        <v>147</v>
      </c>
      <c r="B148" s="3">
        <v>0.18</v>
      </c>
      <c r="C148" s="3">
        <v>0.47</v>
      </c>
      <c r="D148" s="3">
        <v>0.3</v>
      </c>
      <c r="E148" s="3">
        <v>9</v>
      </c>
      <c r="F148" s="3">
        <v>125</v>
      </c>
      <c r="G148" s="3">
        <v>134</v>
      </c>
    </row>
    <row r="149" spans="1:7">
      <c r="A149" s="3">
        <v>148</v>
      </c>
      <c r="B149" s="3">
        <v>0.2</v>
      </c>
      <c r="C149" s="3">
        <v>0.37</v>
      </c>
      <c r="D149" s="3">
        <v>0.33</v>
      </c>
      <c r="E149" s="3">
        <v>16</v>
      </c>
      <c r="F149" s="3">
        <v>47</v>
      </c>
      <c r="G149" s="3">
        <v>63</v>
      </c>
    </row>
    <row r="150" spans="1:7">
      <c r="A150" s="3">
        <v>149</v>
      </c>
      <c r="B150" s="3">
        <v>0.2</v>
      </c>
      <c r="C150" s="3">
        <v>0.4</v>
      </c>
      <c r="D150" s="3">
        <v>0.22</v>
      </c>
      <c r="E150" s="3">
        <v>19</v>
      </c>
      <c r="F150" s="3">
        <v>48</v>
      </c>
      <c r="G150" s="3">
        <v>67</v>
      </c>
    </row>
    <row r="151" spans="1:7">
      <c r="A151" s="3">
        <v>150</v>
      </c>
      <c r="B151" s="3">
        <v>0.2</v>
      </c>
      <c r="C151" s="3">
        <v>0.37</v>
      </c>
      <c r="D151" s="3">
        <v>0.25</v>
      </c>
      <c r="E151" s="3">
        <v>9</v>
      </c>
      <c r="F151" s="3">
        <v>50</v>
      </c>
      <c r="G151" s="3">
        <v>59</v>
      </c>
    </row>
    <row r="152" spans="1:7">
      <c r="A152" s="3">
        <v>151</v>
      </c>
      <c r="B152" s="3">
        <v>0.18</v>
      </c>
      <c r="C152" s="3">
        <v>0.37</v>
      </c>
      <c r="D152" s="3">
        <v>0.28000000000000003</v>
      </c>
      <c r="E152" s="3">
        <v>9</v>
      </c>
      <c r="F152" s="3">
        <v>64</v>
      </c>
      <c r="G152" s="3">
        <v>73</v>
      </c>
    </row>
    <row r="153" spans="1:7">
      <c r="A153" s="3">
        <v>152</v>
      </c>
      <c r="B153" s="3">
        <v>0.2</v>
      </c>
      <c r="C153" s="3">
        <v>0.4</v>
      </c>
      <c r="D153" s="3">
        <v>0.25</v>
      </c>
      <c r="E153" s="3">
        <v>7</v>
      </c>
      <c r="F153" s="3">
        <v>43</v>
      </c>
      <c r="G153" s="3">
        <v>50</v>
      </c>
    </row>
    <row r="154" spans="1:7">
      <c r="A154" s="3">
        <v>153</v>
      </c>
      <c r="B154" s="3">
        <v>0.21</v>
      </c>
      <c r="C154" s="3">
        <v>0.37</v>
      </c>
      <c r="D154" s="3">
        <v>0.16</v>
      </c>
      <c r="E154" s="3">
        <v>9</v>
      </c>
      <c r="F154" s="3">
        <v>63</v>
      </c>
      <c r="G154" s="3">
        <v>72</v>
      </c>
    </row>
    <row r="155" spans="1:7">
      <c r="A155" s="3">
        <v>154</v>
      </c>
      <c r="B155" s="3">
        <v>0.21</v>
      </c>
      <c r="C155" s="3">
        <v>0.37</v>
      </c>
      <c r="D155" s="3">
        <v>0.16</v>
      </c>
      <c r="E155" s="3">
        <v>5</v>
      </c>
      <c r="F155" s="3">
        <v>82</v>
      </c>
      <c r="G155" s="3">
        <v>87</v>
      </c>
    </row>
    <row r="156" spans="1:7">
      <c r="A156" s="3">
        <v>155</v>
      </c>
      <c r="B156" s="3">
        <v>0.26</v>
      </c>
      <c r="C156" s="3">
        <v>0.37</v>
      </c>
      <c r="D156" s="3">
        <v>0</v>
      </c>
      <c r="E156" s="3">
        <v>9</v>
      </c>
      <c r="F156" s="3">
        <v>178</v>
      </c>
      <c r="G156" s="3">
        <v>187</v>
      </c>
    </row>
    <row r="157" spans="1:7">
      <c r="A157" s="3">
        <v>156</v>
      </c>
      <c r="B157" s="3">
        <v>0.23</v>
      </c>
      <c r="C157" s="3">
        <v>0.4</v>
      </c>
      <c r="D157" s="3">
        <v>0.09</v>
      </c>
      <c r="E157" s="3">
        <v>7</v>
      </c>
      <c r="F157" s="3">
        <v>116</v>
      </c>
      <c r="G157" s="3">
        <v>123</v>
      </c>
    </row>
    <row r="158" spans="1:7">
      <c r="A158" s="3">
        <v>157</v>
      </c>
      <c r="B158" s="3">
        <v>0.2</v>
      </c>
      <c r="C158" s="3">
        <v>0.55000000000000004</v>
      </c>
      <c r="D158" s="3">
        <v>0.09</v>
      </c>
      <c r="E158" s="3">
        <v>3</v>
      </c>
      <c r="F158" s="3">
        <v>92</v>
      </c>
      <c r="G158" s="3">
        <v>95</v>
      </c>
    </row>
    <row r="159" spans="1:7">
      <c r="A159" s="3">
        <v>158</v>
      </c>
      <c r="B159" s="3">
        <v>0.21</v>
      </c>
      <c r="C159" s="3">
        <v>0.47</v>
      </c>
      <c r="D159" s="3">
        <v>0.1</v>
      </c>
      <c r="E159" s="3">
        <v>1</v>
      </c>
      <c r="F159" s="3">
        <v>50</v>
      </c>
      <c r="G159" s="3">
        <v>51</v>
      </c>
    </row>
    <row r="160" spans="1:7">
      <c r="A160" s="3">
        <v>159</v>
      </c>
      <c r="B160" s="3">
        <v>0.2</v>
      </c>
      <c r="C160" s="3">
        <v>0.47</v>
      </c>
      <c r="D160" s="3">
        <v>0.13</v>
      </c>
      <c r="E160" s="3">
        <v>0</v>
      </c>
      <c r="F160" s="3">
        <v>39</v>
      </c>
      <c r="G160" s="3">
        <v>39</v>
      </c>
    </row>
    <row r="161" spans="1:7">
      <c r="A161" s="3">
        <v>160</v>
      </c>
      <c r="B161" s="3">
        <v>0.2</v>
      </c>
      <c r="C161" s="3">
        <v>0.43</v>
      </c>
      <c r="D161" s="3">
        <v>0.16</v>
      </c>
      <c r="E161" s="3">
        <v>2</v>
      </c>
      <c r="F161" s="3">
        <v>34</v>
      </c>
      <c r="G161" s="3">
        <v>36</v>
      </c>
    </row>
    <row r="162" spans="1:7">
      <c r="A162" s="3">
        <v>161</v>
      </c>
      <c r="B162" s="3">
        <v>0.2</v>
      </c>
      <c r="C162" s="3">
        <v>0.51</v>
      </c>
      <c r="D162" s="3">
        <v>0.16</v>
      </c>
      <c r="E162" s="3">
        <v>1</v>
      </c>
      <c r="F162" s="3">
        <v>14</v>
      </c>
      <c r="G162" s="3">
        <v>15</v>
      </c>
    </row>
    <row r="163" spans="1:7">
      <c r="A163" s="3">
        <v>162</v>
      </c>
      <c r="B163" s="3">
        <v>0.2</v>
      </c>
      <c r="C163" s="3">
        <v>0.51</v>
      </c>
      <c r="D163" s="3">
        <v>0.16</v>
      </c>
      <c r="E163" s="3">
        <v>1</v>
      </c>
      <c r="F163" s="3">
        <v>24</v>
      </c>
      <c r="G163" s="3">
        <v>25</v>
      </c>
    </row>
    <row r="164" spans="1:7">
      <c r="A164" s="3">
        <v>163</v>
      </c>
      <c r="B164" s="3">
        <v>0.21</v>
      </c>
      <c r="C164" s="3">
        <v>0.55000000000000004</v>
      </c>
      <c r="D164" s="3">
        <v>0.09</v>
      </c>
      <c r="E164" s="3">
        <v>1</v>
      </c>
      <c r="F164" s="3">
        <v>15</v>
      </c>
      <c r="G164" s="3">
        <v>16</v>
      </c>
    </row>
    <row r="165" spans="1:7">
      <c r="A165" s="3">
        <v>164</v>
      </c>
      <c r="B165" s="3">
        <v>0.24</v>
      </c>
      <c r="C165" s="3">
        <v>0.55000000000000004</v>
      </c>
      <c r="D165" s="3">
        <v>0</v>
      </c>
      <c r="E165" s="3">
        <v>3</v>
      </c>
      <c r="F165" s="3">
        <v>13</v>
      </c>
      <c r="G165" s="3">
        <v>16</v>
      </c>
    </row>
    <row r="166" spans="1:7">
      <c r="A166" s="3">
        <v>165</v>
      </c>
      <c r="B166" s="3">
        <v>0.2</v>
      </c>
      <c r="C166" s="3">
        <v>0.55000000000000004</v>
      </c>
      <c r="D166" s="3">
        <v>0.16</v>
      </c>
      <c r="E166" s="3">
        <v>0</v>
      </c>
      <c r="F166" s="3">
        <v>7</v>
      </c>
      <c r="G166" s="3">
        <v>7</v>
      </c>
    </row>
    <row r="167" spans="1:7">
      <c r="A167" s="3">
        <v>166</v>
      </c>
      <c r="B167" s="3">
        <v>0.2</v>
      </c>
      <c r="C167" s="3">
        <v>0.55000000000000004</v>
      </c>
      <c r="D167" s="3">
        <v>0.16</v>
      </c>
      <c r="E167" s="3">
        <v>0</v>
      </c>
      <c r="F167" s="3">
        <v>1</v>
      </c>
      <c r="G167" s="3">
        <v>1</v>
      </c>
    </row>
    <row r="168" spans="1:7">
      <c r="A168" s="3">
        <v>167</v>
      </c>
      <c r="B168" s="3">
        <v>0.17</v>
      </c>
      <c r="C168" s="3">
        <v>0.74</v>
      </c>
      <c r="D168" s="3">
        <v>0.16</v>
      </c>
      <c r="E168" s="3">
        <v>0</v>
      </c>
      <c r="F168" s="3">
        <v>5</v>
      </c>
      <c r="G168" s="3">
        <v>5</v>
      </c>
    </row>
    <row r="169" spans="1:7">
      <c r="A169" s="3">
        <v>168</v>
      </c>
      <c r="B169" s="3">
        <v>0.17</v>
      </c>
      <c r="C169" s="3">
        <v>0.74</v>
      </c>
      <c r="D169" s="3">
        <v>0.16</v>
      </c>
      <c r="E169" s="3">
        <v>0</v>
      </c>
      <c r="F169" s="3">
        <v>2</v>
      </c>
      <c r="G169" s="3">
        <v>2</v>
      </c>
    </row>
    <row r="170" spans="1:7">
      <c r="A170" s="3">
        <v>169</v>
      </c>
      <c r="B170" s="3">
        <v>0.18</v>
      </c>
      <c r="C170" s="3">
        <v>0.74</v>
      </c>
      <c r="D170" s="3">
        <v>0.1</v>
      </c>
      <c r="E170" s="3">
        <v>1</v>
      </c>
      <c r="F170" s="3">
        <v>8</v>
      </c>
      <c r="G170" s="3">
        <v>9</v>
      </c>
    </row>
    <row r="171" spans="1:7">
      <c r="A171" s="3">
        <v>170</v>
      </c>
      <c r="B171" s="3">
        <v>0.18</v>
      </c>
      <c r="C171" s="3">
        <v>0.93</v>
      </c>
      <c r="D171" s="3">
        <v>0.1</v>
      </c>
      <c r="E171" s="3">
        <v>0</v>
      </c>
      <c r="F171" s="3">
        <v>15</v>
      </c>
      <c r="G171" s="3">
        <v>15</v>
      </c>
    </row>
    <row r="172" spans="1:7">
      <c r="A172" s="3">
        <v>171</v>
      </c>
      <c r="B172" s="3">
        <v>0.18</v>
      </c>
      <c r="C172" s="3">
        <v>0.93</v>
      </c>
      <c r="D172" s="3">
        <v>0.1</v>
      </c>
      <c r="E172" s="3">
        <v>0</v>
      </c>
      <c r="F172" s="3">
        <v>20</v>
      </c>
      <c r="G172" s="3">
        <v>20</v>
      </c>
    </row>
    <row r="173" spans="1:7">
      <c r="A173" s="3">
        <v>172</v>
      </c>
      <c r="B173" s="3">
        <v>0.2</v>
      </c>
      <c r="C173" s="3">
        <v>0.8</v>
      </c>
      <c r="D173" s="3">
        <v>0.16</v>
      </c>
      <c r="E173" s="3">
        <v>5</v>
      </c>
      <c r="F173" s="3">
        <v>56</v>
      </c>
      <c r="G173" s="3">
        <v>61</v>
      </c>
    </row>
    <row r="174" spans="1:7">
      <c r="A174" s="3">
        <v>173</v>
      </c>
      <c r="B174" s="3">
        <v>0.18</v>
      </c>
      <c r="C174" s="3">
        <v>0.69</v>
      </c>
      <c r="D174" s="3">
        <v>0.39</v>
      </c>
      <c r="E174" s="3">
        <v>2</v>
      </c>
      <c r="F174" s="3">
        <v>60</v>
      </c>
      <c r="G174" s="3">
        <v>62</v>
      </c>
    </row>
    <row r="175" spans="1:7">
      <c r="A175" s="3">
        <v>174</v>
      </c>
      <c r="B175" s="3">
        <v>0.18</v>
      </c>
      <c r="C175" s="3">
        <v>0.59</v>
      </c>
      <c r="D175" s="3">
        <v>0.36</v>
      </c>
      <c r="E175" s="3">
        <v>8</v>
      </c>
      <c r="F175" s="3">
        <v>90</v>
      </c>
      <c r="G175" s="3">
        <v>98</v>
      </c>
    </row>
    <row r="176" spans="1:7">
      <c r="A176" s="3">
        <v>175</v>
      </c>
      <c r="B176" s="3">
        <v>0.18</v>
      </c>
      <c r="C176" s="3">
        <v>0.44</v>
      </c>
      <c r="D176" s="3">
        <v>0.33</v>
      </c>
      <c r="E176" s="3">
        <v>7</v>
      </c>
      <c r="F176" s="3">
        <v>95</v>
      </c>
      <c r="G176" s="3">
        <v>102</v>
      </c>
    </row>
    <row r="177" spans="1:7">
      <c r="A177" s="3">
        <v>176</v>
      </c>
      <c r="B177" s="3">
        <v>0.17</v>
      </c>
      <c r="C177" s="3">
        <v>0.32</v>
      </c>
      <c r="D177" s="3">
        <v>0.49</v>
      </c>
      <c r="E177" s="3">
        <v>12</v>
      </c>
      <c r="F177" s="3">
        <v>83</v>
      </c>
      <c r="G177" s="3">
        <v>95</v>
      </c>
    </row>
    <row r="178" spans="1:7">
      <c r="A178" s="3">
        <v>177</v>
      </c>
      <c r="B178" s="3">
        <v>0.17</v>
      </c>
      <c r="C178" s="3">
        <v>0.32</v>
      </c>
      <c r="D178" s="3">
        <v>0.45</v>
      </c>
      <c r="E178" s="3">
        <v>5</v>
      </c>
      <c r="F178" s="3">
        <v>69</v>
      </c>
      <c r="G178" s="3">
        <v>74</v>
      </c>
    </row>
    <row r="179" spans="1:7">
      <c r="A179" s="3">
        <v>178</v>
      </c>
      <c r="B179" s="3">
        <v>0.14000000000000001</v>
      </c>
      <c r="C179" s="3">
        <v>0.28999999999999998</v>
      </c>
      <c r="D179" s="3">
        <v>0.45</v>
      </c>
      <c r="E179" s="3">
        <v>8</v>
      </c>
      <c r="F179" s="3">
        <v>68</v>
      </c>
      <c r="G179" s="3">
        <v>76</v>
      </c>
    </row>
    <row r="180" spans="1:7">
      <c r="A180" s="3">
        <v>179</v>
      </c>
      <c r="B180" s="3">
        <v>0.12</v>
      </c>
      <c r="C180" s="3">
        <v>0.37</v>
      </c>
      <c r="D180" s="3">
        <v>0.55000000000000004</v>
      </c>
      <c r="E180" s="3">
        <v>5</v>
      </c>
      <c r="F180" s="3">
        <v>64</v>
      </c>
      <c r="G180" s="3">
        <v>69</v>
      </c>
    </row>
    <row r="181" spans="1:7">
      <c r="A181" s="3">
        <v>180</v>
      </c>
      <c r="B181" s="3">
        <v>0.12</v>
      </c>
      <c r="C181" s="3">
        <v>0.39</v>
      </c>
      <c r="D181" s="3">
        <v>0.3</v>
      </c>
      <c r="E181" s="3">
        <v>3</v>
      </c>
      <c r="F181" s="3">
        <v>52</v>
      </c>
      <c r="G181" s="3">
        <v>55</v>
      </c>
    </row>
    <row r="182" spans="1:7">
      <c r="A182" s="3">
        <v>181</v>
      </c>
      <c r="B182" s="3">
        <v>0.12</v>
      </c>
      <c r="C182" s="3">
        <v>0.36</v>
      </c>
      <c r="D182" s="3">
        <v>0.25</v>
      </c>
      <c r="E182" s="3">
        <v>4</v>
      </c>
      <c r="F182" s="3">
        <v>26</v>
      </c>
      <c r="G182" s="3">
        <v>30</v>
      </c>
    </row>
    <row r="183" spans="1:7">
      <c r="A183" s="3">
        <v>182</v>
      </c>
      <c r="B183" s="3">
        <v>0.12</v>
      </c>
      <c r="C183" s="3">
        <v>0.36</v>
      </c>
      <c r="D183" s="3">
        <v>0.25</v>
      </c>
      <c r="E183" s="3">
        <v>0</v>
      </c>
      <c r="F183" s="3">
        <v>28</v>
      </c>
      <c r="G183" s="3">
        <v>28</v>
      </c>
    </row>
    <row r="184" spans="1:7">
      <c r="A184" s="3">
        <v>183</v>
      </c>
      <c r="B184" s="3">
        <v>0.11</v>
      </c>
      <c r="C184" s="3">
        <v>0.39</v>
      </c>
      <c r="D184" s="3">
        <v>0.36</v>
      </c>
      <c r="E184" s="3">
        <v>2</v>
      </c>
      <c r="F184" s="3">
        <v>35</v>
      </c>
      <c r="G184" s="3">
        <v>37</v>
      </c>
    </row>
    <row r="185" spans="1:7">
      <c r="A185" s="3">
        <v>184</v>
      </c>
      <c r="B185" s="3">
        <v>0.11</v>
      </c>
      <c r="C185" s="3">
        <v>0.36</v>
      </c>
      <c r="D185" s="3">
        <v>0.39</v>
      </c>
      <c r="E185" s="3">
        <v>1</v>
      </c>
      <c r="F185" s="3">
        <v>33</v>
      </c>
      <c r="G185" s="3">
        <v>34</v>
      </c>
    </row>
    <row r="186" spans="1:7">
      <c r="A186" s="3">
        <v>185</v>
      </c>
      <c r="B186" s="3">
        <v>0.06</v>
      </c>
      <c r="C186" s="3">
        <v>0.39</v>
      </c>
      <c r="D186" s="3">
        <v>0.45</v>
      </c>
      <c r="E186" s="3">
        <v>0</v>
      </c>
      <c r="F186" s="3">
        <v>22</v>
      </c>
      <c r="G186" s="3">
        <v>22</v>
      </c>
    </row>
    <row r="187" spans="1:7">
      <c r="A187" s="3">
        <v>186</v>
      </c>
      <c r="B187" s="3">
        <v>0.08</v>
      </c>
      <c r="C187" s="3">
        <v>0.42</v>
      </c>
      <c r="D187" s="3">
        <v>0.39</v>
      </c>
      <c r="E187" s="3">
        <v>1</v>
      </c>
      <c r="F187" s="3">
        <v>24</v>
      </c>
      <c r="G187" s="3">
        <v>25</v>
      </c>
    </row>
    <row r="188" spans="1:7">
      <c r="A188" s="3">
        <v>187</v>
      </c>
      <c r="B188" s="3">
        <v>0.06</v>
      </c>
      <c r="C188" s="3">
        <v>0.42</v>
      </c>
      <c r="D188" s="3">
        <v>0.46</v>
      </c>
      <c r="E188" s="3">
        <v>0</v>
      </c>
      <c r="F188" s="3">
        <v>12</v>
      </c>
      <c r="G188" s="3">
        <v>12</v>
      </c>
    </row>
    <row r="189" spans="1:7">
      <c r="A189" s="3">
        <v>188</v>
      </c>
      <c r="B189" s="3">
        <v>0.06</v>
      </c>
      <c r="C189" s="3">
        <v>0.46</v>
      </c>
      <c r="D189" s="3">
        <v>0.46</v>
      </c>
      <c r="E189" s="3">
        <v>0</v>
      </c>
      <c r="F189" s="3">
        <v>11</v>
      </c>
      <c r="G189" s="3">
        <v>11</v>
      </c>
    </row>
    <row r="190" spans="1:7">
      <c r="A190" s="3">
        <v>189</v>
      </c>
      <c r="B190" s="3">
        <v>0.08</v>
      </c>
      <c r="C190" s="3">
        <v>0.46</v>
      </c>
      <c r="D190" s="3">
        <v>0.42</v>
      </c>
      <c r="E190" s="3">
        <v>0</v>
      </c>
      <c r="F190" s="3">
        <v>4</v>
      </c>
      <c r="G190" s="3">
        <v>4</v>
      </c>
    </row>
    <row r="191" spans="1:7">
      <c r="A191" s="3">
        <v>190</v>
      </c>
      <c r="B191" s="3">
        <v>0.09</v>
      </c>
      <c r="C191" s="3">
        <v>0.53</v>
      </c>
      <c r="D191" s="3">
        <v>0.19</v>
      </c>
      <c r="E191" s="3">
        <v>0</v>
      </c>
      <c r="F191" s="3">
        <v>1</v>
      </c>
      <c r="G191" s="3">
        <v>1</v>
      </c>
    </row>
    <row r="192" spans="1:7">
      <c r="A192" s="3">
        <v>191</v>
      </c>
      <c r="B192" s="3">
        <v>0.09</v>
      </c>
      <c r="C192" s="3">
        <v>0.53</v>
      </c>
      <c r="D192" s="3">
        <v>0.19</v>
      </c>
      <c r="E192" s="3">
        <v>0</v>
      </c>
      <c r="F192" s="3">
        <v>1</v>
      </c>
      <c r="G192" s="3">
        <v>1</v>
      </c>
    </row>
    <row r="193" spans="1:7">
      <c r="A193" s="3">
        <v>192</v>
      </c>
      <c r="B193" s="3">
        <v>0.09</v>
      </c>
      <c r="C193" s="3">
        <v>0.49</v>
      </c>
      <c r="D193" s="3">
        <v>0.28000000000000003</v>
      </c>
      <c r="E193" s="3">
        <v>0</v>
      </c>
      <c r="F193" s="3">
        <v>1</v>
      </c>
      <c r="G193" s="3">
        <v>1</v>
      </c>
    </row>
    <row r="194" spans="1:7">
      <c r="A194" s="3">
        <v>193</v>
      </c>
      <c r="B194" s="3">
        <v>0.09</v>
      </c>
      <c r="C194" s="3">
        <v>0.53</v>
      </c>
      <c r="D194" s="3">
        <v>0.19</v>
      </c>
      <c r="E194" s="3">
        <v>1</v>
      </c>
      <c r="F194" s="3">
        <v>5</v>
      </c>
      <c r="G194" s="3">
        <v>6</v>
      </c>
    </row>
    <row r="195" spans="1:7">
      <c r="A195" s="3">
        <v>194</v>
      </c>
      <c r="B195" s="3">
        <v>0.09</v>
      </c>
      <c r="C195" s="3">
        <v>0.49</v>
      </c>
      <c r="D195" s="3">
        <v>0.28000000000000003</v>
      </c>
      <c r="E195" s="3">
        <v>0</v>
      </c>
      <c r="F195" s="3">
        <v>10</v>
      </c>
      <c r="G195" s="3">
        <v>10</v>
      </c>
    </row>
    <row r="196" spans="1:7">
      <c r="A196" s="3">
        <v>195</v>
      </c>
      <c r="B196" s="3">
        <v>0.08</v>
      </c>
      <c r="C196" s="3">
        <v>0.46</v>
      </c>
      <c r="D196" s="3">
        <v>0.52</v>
      </c>
      <c r="E196" s="3">
        <v>0</v>
      </c>
      <c r="F196" s="3">
        <v>19</v>
      </c>
      <c r="G196" s="3">
        <v>19</v>
      </c>
    </row>
    <row r="197" spans="1:7">
      <c r="A197" s="3">
        <v>196</v>
      </c>
      <c r="B197" s="3">
        <v>0.11</v>
      </c>
      <c r="C197" s="3">
        <v>0.43</v>
      </c>
      <c r="D197" s="3">
        <v>0.39</v>
      </c>
      <c r="E197" s="3">
        <v>0</v>
      </c>
      <c r="F197" s="3">
        <v>49</v>
      </c>
      <c r="G197" s="3">
        <v>49</v>
      </c>
    </row>
    <row r="198" spans="1:7">
      <c r="A198" s="3">
        <v>197</v>
      </c>
      <c r="B198" s="3">
        <v>0.12</v>
      </c>
      <c r="C198" s="3">
        <v>0.4</v>
      </c>
      <c r="D198" s="3">
        <v>0.52</v>
      </c>
      <c r="E198" s="3">
        <v>2</v>
      </c>
      <c r="F198" s="3">
        <v>47</v>
      </c>
      <c r="G198" s="3">
        <v>49</v>
      </c>
    </row>
    <row r="199" spans="1:7">
      <c r="A199" s="3">
        <v>198</v>
      </c>
      <c r="B199" s="3">
        <v>0.14000000000000001</v>
      </c>
      <c r="C199" s="3">
        <v>0.37</v>
      </c>
      <c r="D199" s="3">
        <v>0.45</v>
      </c>
      <c r="E199" s="3">
        <v>4</v>
      </c>
      <c r="F199" s="3">
        <v>79</v>
      </c>
      <c r="G199" s="3">
        <v>83</v>
      </c>
    </row>
    <row r="200" spans="1:7">
      <c r="A200" s="3">
        <v>199</v>
      </c>
      <c r="B200" s="3">
        <v>0.17</v>
      </c>
      <c r="C200" s="3">
        <v>0.34</v>
      </c>
      <c r="D200" s="3">
        <v>0.45</v>
      </c>
      <c r="E200" s="3">
        <v>6</v>
      </c>
      <c r="F200" s="3">
        <v>69</v>
      </c>
      <c r="G200" s="3">
        <v>75</v>
      </c>
    </row>
    <row r="201" spans="1:7">
      <c r="A201" s="3">
        <v>200</v>
      </c>
      <c r="B201" s="3">
        <v>0.18</v>
      </c>
      <c r="C201" s="3">
        <v>0.32</v>
      </c>
      <c r="D201" s="3">
        <v>0.46</v>
      </c>
      <c r="E201" s="3">
        <v>8</v>
      </c>
      <c r="F201" s="3">
        <v>64</v>
      </c>
      <c r="G201" s="3">
        <v>72</v>
      </c>
    </row>
    <row r="202" spans="1:7">
      <c r="A202" s="3">
        <v>201</v>
      </c>
      <c r="B202" s="3">
        <v>0.2</v>
      </c>
      <c r="C202" s="3">
        <v>0.35</v>
      </c>
      <c r="D202" s="3">
        <v>0.36</v>
      </c>
      <c r="E202" s="3">
        <v>5</v>
      </c>
      <c r="F202" s="3">
        <v>77</v>
      </c>
      <c r="G202" s="3">
        <v>82</v>
      </c>
    </row>
    <row r="203" spans="1:7">
      <c r="A203" s="3">
        <v>202</v>
      </c>
      <c r="B203" s="3">
        <v>0.17</v>
      </c>
      <c r="C203" s="3">
        <v>0.34</v>
      </c>
      <c r="D203" s="3">
        <v>0.45</v>
      </c>
      <c r="E203" s="3">
        <v>13</v>
      </c>
      <c r="F203" s="3">
        <v>79</v>
      </c>
      <c r="G203" s="3">
        <v>92</v>
      </c>
    </row>
    <row r="204" spans="1:7">
      <c r="A204" s="3">
        <v>203</v>
      </c>
      <c r="B204" s="3">
        <v>0.15</v>
      </c>
      <c r="C204" s="3">
        <v>0.37</v>
      </c>
      <c r="D204" s="3">
        <v>0.39</v>
      </c>
      <c r="E204" s="3">
        <v>3</v>
      </c>
      <c r="F204" s="3">
        <v>59</v>
      </c>
      <c r="G204" s="3">
        <v>62</v>
      </c>
    </row>
    <row r="205" spans="1:7">
      <c r="A205" s="3">
        <v>204</v>
      </c>
      <c r="B205" s="3">
        <v>0.14000000000000001</v>
      </c>
      <c r="C205" s="3">
        <v>0.4</v>
      </c>
      <c r="D205" s="3">
        <v>0.33</v>
      </c>
      <c r="E205" s="3">
        <v>4</v>
      </c>
      <c r="F205" s="3">
        <v>44</v>
      </c>
      <c r="G205" s="3">
        <v>48</v>
      </c>
    </row>
    <row r="206" spans="1:7">
      <c r="A206" s="3">
        <v>205</v>
      </c>
      <c r="B206" s="3">
        <v>0.14000000000000001</v>
      </c>
      <c r="C206" s="3">
        <v>0.43</v>
      </c>
      <c r="D206" s="3">
        <v>0.33</v>
      </c>
      <c r="E206" s="3">
        <v>1</v>
      </c>
      <c r="F206" s="3">
        <v>40</v>
      </c>
      <c r="G206" s="3">
        <v>41</v>
      </c>
    </row>
    <row r="207" spans="1:7">
      <c r="A207" s="3">
        <v>206</v>
      </c>
      <c r="B207" s="3">
        <v>0.12</v>
      </c>
      <c r="C207" s="3">
        <v>0.46</v>
      </c>
      <c r="D207" s="3">
        <v>0.25</v>
      </c>
      <c r="E207" s="3">
        <v>0</v>
      </c>
      <c r="F207" s="3">
        <v>38</v>
      </c>
      <c r="G207" s="3">
        <v>38</v>
      </c>
    </row>
    <row r="208" spans="1:7">
      <c r="A208" s="3">
        <v>207</v>
      </c>
      <c r="B208" s="3">
        <v>0.11</v>
      </c>
      <c r="C208" s="3">
        <v>0.46</v>
      </c>
      <c r="D208" s="3">
        <v>0.42</v>
      </c>
      <c r="E208" s="3">
        <v>1</v>
      </c>
      <c r="F208" s="3">
        <v>19</v>
      </c>
      <c r="G208" s="3">
        <v>20</v>
      </c>
    </row>
    <row r="209" spans="1:7">
      <c r="A209" s="3">
        <v>208</v>
      </c>
      <c r="B209" s="3">
        <v>0.12</v>
      </c>
      <c r="C209" s="3">
        <v>0.46</v>
      </c>
      <c r="D209" s="3">
        <v>0.3</v>
      </c>
      <c r="E209" s="3">
        <v>5</v>
      </c>
      <c r="F209" s="3">
        <v>10</v>
      </c>
      <c r="G209" s="3">
        <v>15</v>
      </c>
    </row>
    <row r="210" spans="1:7">
      <c r="A210" s="3">
        <v>209</v>
      </c>
      <c r="B210" s="3">
        <v>0.14000000000000001</v>
      </c>
      <c r="C210" s="3">
        <v>0.5</v>
      </c>
      <c r="D210" s="3">
        <v>0.19</v>
      </c>
      <c r="E210" s="3">
        <v>0</v>
      </c>
      <c r="F210" s="3">
        <v>6</v>
      </c>
      <c r="G210" s="3">
        <v>6</v>
      </c>
    </row>
    <row r="211" spans="1:7">
      <c r="A211" s="3">
        <v>210</v>
      </c>
      <c r="B211" s="3">
        <v>0.12</v>
      </c>
      <c r="C211" s="3">
        <v>0.5</v>
      </c>
      <c r="D211" s="3">
        <v>0.28000000000000003</v>
      </c>
      <c r="E211" s="3">
        <v>2</v>
      </c>
      <c r="F211" s="3">
        <v>3</v>
      </c>
      <c r="G211" s="3">
        <v>5</v>
      </c>
    </row>
    <row r="212" spans="1:7">
      <c r="A212" s="3">
        <v>211</v>
      </c>
      <c r="B212" s="3">
        <v>0.12</v>
      </c>
      <c r="C212" s="3">
        <v>0.5</v>
      </c>
      <c r="D212" s="3">
        <v>0.28000000000000003</v>
      </c>
      <c r="E212" s="3">
        <v>1</v>
      </c>
      <c r="F212" s="3">
        <v>0</v>
      </c>
      <c r="G212" s="3">
        <v>1</v>
      </c>
    </row>
    <row r="213" spans="1:7">
      <c r="A213" s="3">
        <v>212</v>
      </c>
      <c r="B213" s="3">
        <v>0.12</v>
      </c>
      <c r="C213" s="3">
        <v>0.5</v>
      </c>
      <c r="D213" s="3">
        <v>0.22</v>
      </c>
      <c r="E213" s="3">
        <v>0</v>
      </c>
      <c r="F213" s="3">
        <v>3</v>
      </c>
      <c r="G213" s="3">
        <v>3</v>
      </c>
    </row>
    <row r="214" spans="1:7">
      <c r="A214" s="3">
        <v>213</v>
      </c>
      <c r="B214" s="3">
        <v>0.12</v>
      </c>
      <c r="C214" s="3">
        <v>0.5</v>
      </c>
      <c r="D214" s="3">
        <v>0.22</v>
      </c>
      <c r="E214" s="3">
        <v>0</v>
      </c>
      <c r="F214" s="3">
        <v>1</v>
      </c>
      <c r="G214" s="3">
        <v>1</v>
      </c>
    </row>
    <row r="215" spans="1:7">
      <c r="A215" s="3">
        <v>214</v>
      </c>
      <c r="B215" s="3">
        <v>0.12</v>
      </c>
      <c r="C215" s="3">
        <v>0.54</v>
      </c>
      <c r="D215" s="3">
        <v>0.13</v>
      </c>
      <c r="E215" s="3">
        <v>1</v>
      </c>
      <c r="F215" s="3">
        <v>2</v>
      </c>
      <c r="G215" s="3">
        <v>3</v>
      </c>
    </row>
    <row r="216" spans="1:7">
      <c r="A216" s="3">
        <v>215</v>
      </c>
      <c r="B216" s="3">
        <v>0.11</v>
      </c>
      <c r="C216" s="3">
        <v>0.54</v>
      </c>
      <c r="D216" s="3">
        <v>0.25</v>
      </c>
      <c r="E216" s="3">
        <v>0</v>
      </c>
      <c r="F216" s="3">
        <v>3</v>
      </c>
      <c r="G216" s="3">
        <v>3</v>
      </c>
    </row>
    <row r="217" spans="1:7">
      <c r="A217" s="3">
        <v>216</v>
      </c>
      <c r="B217" s="3">
        <v>0.12</v>
      </c>
      <c r="C217" s="3">
        <v>0.5</v>
      </c>
      <c r="D217" s="3">
        <v>0.28000000000000003</v>
      </c>
      <c r="E217" s="3">
        <v>0</v>
      </c>
      <c r="F217" s="3">
        <v>31</v>
      </c>
      <c r="G217" s="3">
        <v>31</v>
      </c>
    </row>
    <row r="218" spans="1:7">
      <c r="A218" s="3">
        <v>217</v>
      </c>
      <c r="B218" s="3">
        <v>0.12</v>
      </c>
      <c r="C218" s="3">
        <v>0.5</v>
      </c>
      <c r="D218" s="3">
        <v>0.22</v>
      </c>
      <c r="E218" s="3">
        <v>2</v>
      </c>
      <c r="F218" s="3">
        <v>75</v>
      </c>
      <c r="G218" s="3">
        <v>77</v>
      </c>
    </row>
    <row r="219" spans="1:7">
      <c r="A219" s="3">
        <v>218</v>
      </c>
      <c r="B219" s="3">
        <v>0.12</v>
      </c>
      <c r="C219" s="3">
        <v>0.5</v>
      </c>
      <c r="D219" s="3">
        <v>0.28000000000000003</v>
      </c>
      <c r="E219" s="3">
        <v>4</v>
      </c>
      <c r="F219" s="3">
        <v>184</v>
      </c>
      <c r="G219" s="3">
        <v>188</v>
      </c>
    </row>
    <row r="220" spans="1:7">
      <c r="A220" s="3">
        <v>219</v>
      </c>
      <c r="B220" s="3">
        <v>0.12</v>
      </c>
      <c r="C220" s="3">
        <v>0.5</v>
      </c>
      <c r="D220" s="3">
        <v>0.25</v>
      </c>
      <c r="E220" s="3">
        <v>2</v>
      </c>
      <c r="F220" s="3">
        <v>92</v>
      </c>
      <c r="G220" s="3">
        <v>94</v>
      </c>
    </row>
    <row r="221" spans="1:7">
      <c r="A221" s="3">
        <v>220</v>
      </c>
      <c r="B221" s="3">
        <v>0.12</v>
      </c>
      <c r="C221" s="3">
        <v>0.5</v>
      </c>
      <c r="D221" s="3">
        <v>0.3</v>
      </c>
      <c r="E221" s="3">
        <v>0</v>
      </c>
      <c r="F221" s="3">
        <v>31</v>
      </c>
      <c r="G221" s="3">
        <v>31</v>
      </c>
    </row>
    <row r="222" spans="1:7">
      <c r="A222" s="3">
        <v>221</v>
      </c>
      <c r="B222" s="3">
        <v>0.14000000000000001</v>
      </c>
      <c r="C222" s="3">
        <v>0.47</v>
      </c>
      <c r="D222" s="3">
        <v>0.28000000000000003</v>
      </c>
      <c r="E222" s="3">
        <v>2</v>
      </c>
      <c r="F222" s="3">
        <v>28</v>
      </c>
      <c r="G222" s="3">
        <v>30</v>
      </c>
    </row>
    <row r="223" spans="1:7">
      <c r="A223" s="3">
        <v>222</v>
      </c>
      <c r="B223" s="3">
        <v>0.18</v>
      </c>
      <c r="C223" s="3">
        <v>0.4</v>
      </c>
      <c r="D223" s="3">
        <v>0.28000000000000003</v>
      </c>
      <c r="E223" s="3">
        <v>5</v>
      </c>
      <c r="F223" s="3">
        <v>47</v>
      </c>
      <c r="G223" s="3">
        <v>52</v>
      </c>
    </row>
    <row r="224" spans="1:7">
      <c r="A224" s="3">
        <v>223</v>
      </c>
      <c r="B224" s="3">
        <v>0.18</v>
      </c>
      <c r="C224" s="3">
        <v>0.4</v>
      </c>
      <c r="D224" s="3">
        <v>0.28000000000000003</v>
      </c>
      <c r="E224" s="3">
        <v>4</v>
      </c>
      <c r="F224" s="3">
        <v>50</v>
      </c>
      <c r="G224" s="3">
        <v>54</v>
      </c>
    </row>
    <row r="225" spans="1:7">
      <c r="A225" s="3">
        <v>224</v>
      </c>
      <c r="B225" s="3">
        <v>0.2</v>
      </c>
      <c r="C225" s="3">
        <v>0.4</v>
      </c>
      <c r="D225" s="3">
        <v>0.22</v>
      </c>
      <c r="E225" s="3">
        <v>0</v>
      </c>
      <c r="F225" s="3">
        <v>47</v>
      </c>
      <c r="G225" s="3">
        <v>47</v>
      </c>
    </row>
    <row r="226" spans="1:7">
      <c r="A226" s="3">
        <v>225</v>
      </c>
      <c r="B226" s="3">
        <v>0.2</v>
      </c>
      <c r="C226" s="3">
        <v>0.4</v>
      </c>
      <c r="D226" s="3">
        <v>0.22</v>
      </c>
      <c r="E226" s="3">
        <v>2</v>
      </c>
      <c r="F226" s="3">
        <v>43</v>
      </c>
      <c r="G226" s="3">
        <v>45</v>
      </c>
    </row>
    <row r="227" spans="1:7">
      <c r="A227" s="3">
        <v>226</v>
      </c>
      <c r="B227" s="3">
        <v>0.21</v>
      </c>
      <c r="C227" s="3">
        <v>0.4</v>
      </c>
      <c r="D227" s="3">
        <v>0.13</v>
      </c>
      <c r="E227" s="3">
        <v>4</v>
      </c>
      <c r="F227" s="3">
        <v>70</v>
      </c>
      <c r="G227" s="3">
        <v>74</v>
      </c>
    </row>
    <row r="228" spans="1:7">
      <c r="A228" s="3">
        <v>227</v>
      </c>
      <c r="B228" s="3">
        <v>0.23</v>
      </c>
      <c r="C228" s="3">
        <v>0.4</v>
      </c>
      <c r="D228" s="3">
        <v>0.1</v>
      </c>
      <c r="E228" s="3">
        <v>4</v>
      </c>
      <c r="F228" s="3">
        <v>174</v>
      </c>
      <c r="G228" s="3">
        <v>178</v>
      </c>
    </row>
    <row r="229" spans="1:7">
      <c r="A229" s="3">
        <v>228</v>
      </c>
      <c r="B229" s="3">
        <v>0.2</v>
      </c>
      <c r="C229" s="3">
        <v>0.4</v>
      </c>
      <c r="D229" s="3">
        <v>0.22</v>
      </c>
      <c r="E229" s="3">
        <v>1</v>
      </c>
      <c r="F229" s="3">
        <v>154</v>
      </c>
      <c r="G229" s="3">
        <v>155</v>
      </c>
    </row>
    <row r="230" spans="1:7">
      <c r="A230" s="3">
        <v>229</v>
      </c>
      <c r="B230" s="3">
        <v>0.17</v>
      </c>
      <c r="C230" s="3">
        <v>0.47</v>
      </c>
      <c r="D230" s="3">
        <v>0.16</v>
      </c>
      <c r="E230" s="3">
        <v>3</v>
      </c>
      <c r="F230" s="3">
        <v>92</v>
      </c>
      <c r="G230" s="3">
        <v>95</v>
      </c>
    </row>
    <row r="231" spans="1:7">
      <c r="A231" s="3">
        <v>230</v>
      </c>
      <c r="B231" s="3">
        <v>0.17</v>
      </c>
      <c r="C231" s="3">
        <v>0.5</v>
      </c>
      <c r="D231" s="3">
        <v>0.16</v>
      </c>
      <c r="E231" s="3">
        <v>1</v>
      </c>
      <c r="F231" s="3">
        <v>73</v>
      </c>
      <c r="G231" s="3">
        <v>74</v>
      </c>
    </row>
    <row r="232" spans="1:7">
      <c r="A232" s="3">
        <v>231</v>
      </c>
      <c r="B232" s="3">
        <v>0.14000000000000001</v>
      </c>
      <c r="C232" s="3">
        <v>0.59</v>
      </c>
      <c r="D232" s="3">
        <v>0.19</v>
      </c>
      <c r="E232" s="3">
        <v>1</v>
      </c>
      <c r="F232" s="3">
        <v>37</v>
      </c>
      <c r="G232" s="3">
        <v>38</v>
      </c>
    </row>
    <row r="233" spans="1:7">
      <c r="A233" s="3">
        <v>232</v>
      </c>
      <c r="B233" s="3">
        <v>0.15</v>
      </c>
      <c r="C233" s="3">
        <v>0.59</v>
      </c>
      <c r="D233" s="3">
        <v>0.16</v>
      </c>
      <c r="E233" s="3">
        <v>2</v>
      </c>
      <c r="F233" s="3">
        <v>22</v>
      </c>
      <c r="G233" s="3">
        <v>24</v>
      </c>
    </row>
    <row r="234" spans="1:7">
      <c r="A234" s="3">
        <v>233</v>
      </c>
      <c r="B234" s="3">
        <v>0.15</v>
      </c>
      <c r="C234" s="3">
        <v>0.59</v>
      </c>
      <c r="D234" s="3">
        <v>0.16</v>
      </c>
      <c r="E234" s="3">
        <v>0</v>
      </c>
      <c r="F234" s="3">
        <v>18</v>
      </c>
      <c r="G234" s="3">
        <v>18</v>
      </c>
    </row>
    <row r="235" spans="1:7">
      <c r="A235" s="3">
        <v>234</v>
      </c>
      <c r="B235" s="3">
        <v>0.17</v>
      </c>
      <c r="C235" s="3">
        <v>0.59</v>
      </c>
      <c r="D235" s="3">
        <v>0.1</v>
      </c>
      <c r="E235" s="3">
        <v>2</v>
      </c>
      <c r="F235" s="3">
        <v>10</v>
      </c>
      <c r="G235" s="3">
        <v>12</v>
      </c>
    </row>
    <row r="236" spans="1:7">
      <c r="A236" s="3">
        <v>235</v>
      </c>
      <c r="B236" s="3">
        <v>0.15</v>
      </c>
      <c r="C236" s="3">
        <v>0.59</v>
      </c>
      <c r="D236" s="3">
        <v>0.16</v>
      </c>
      <c r="E236" s="3">
        <v>0</v>
      </c>
      <c r="F236" s="3">
        <v>3</v>
      </c>
      <c r="G236" s="3">
        <v>3</v>
      </c>
    </row>
    <row r="237" spans="1:7">
      <c r="A237" s="3">
        <v>236</v>
      </c>
      <c r="B237" s="3">
        <v>0.15</v>
      </c>
      <c r="C237" s="3">
        <v>0.55000000000000004</v>
      </c>
      <c r="D237" s="3">
        <v>0.19</v>
      </c>
      <c r="E237" s="3">
        <v>0</v>
      </c>
      <c r="F237" s="3">
        <v>3</v>
      </c>
      <c r="G237" s="3">
        <v>3</v>
      </c>
    </row>
    <row r="238" spans="1:7">
      <c r="A238" s="3">
        <v>237</v>
      </c>
      <c r="B238" s="3">
        <v>0.18</v>
      </c>
      <c r="C238" s="3">
        <v>0.55000000000000004</v>
      </c>
      <c r="D238" s="3">
        <v>0.13</v>
      </c>
      <c r="E238" s="3">
        <v>0</v>
      </c>
      <c r="F238" s="3">
        <v>6</v>
      </c>
      <c r="G238" s="3">
        <v>6</v>
      </c>
    </row>
    <row r="239" spans="1:7">
      <c r="A239" s="3">
        <v>238</v>
      </c>
      <c r="B239" s="3">
        <v>0.18</v>
      </c>
      <c r="C239" s="3">
        <v>0.55000000000000004</v>
      </c>
      <c r="D239" s="3">
        <v>0.13</v>
      </c>
      <c r="E239" s="3">
        <v>0</v>
      </c>
      <c r="F239" s="3">
        <v>27</v>
      </c>
      <c r="G239" s="3">
        <v>27</v>
      </c>
    </row>
    <row r="240" spans="1:7">
      <c r="A240" s="3">
        <v>239</v>
      </c>
      <c r="B240" s="3">
        <v>0.23</v>
      </c>
      <c r="C240" s="3">
        <v>0.55000000000000004</v>
      </c>
      <c r="D240" s="3">
        <v>0</v>
      </c>
      <c r="E240" s="3">
        <v>2</v>
      </c>
      <c r="F240" s="3">
        <v>97</v>
      </c>
      <c r="G240" s="3">
        <v>99</v>
      </c>
    </row>
    <row r="241" spans="1:7">
      <c r="A241" s="3">
        <v>240</v>
      </c>
      <c r="B241" s="3">
        <v>0.21</v>
      </c>
      <c r="C241" s="3">
        <v>0.51</v>
      </c>
      <c r="D241" s="3">
        <v>0.09</v>
      </c>
      <c r="E241" s="3">
        <v>3</v>
      </c>
      <c r="F241" s="3">
        <v>214</v>
      </c>
      <c r="G241" s="3">
        <v>217</v>
      </c>
    </row>
    <row r="242" spans="1:7">
      <c r="A242" s="3">
        <v>241</v>
      </c>
      <c r="B242" s="3">
        <v>0.2</v>
      </c>
      <c r="C242" s="3">
        <v>0.51</v>
      </c>
      <c r="D242" s="3">
        <v>0.16</v>
      </c>
      <c r="E242" s="3">
        <v>3</v>
      </c>
      <c r="F242" s="3">
        <v>127</v>
      </c>
      <c r="G242" s="3">
        <v>130</v>
      </c>
    </row>
    <row r="243" spans="1:7">
      <c r="A243" s="3">
        <v>242</v>
      </c>
      <c r="B243" s="3">
        <v>0.21</v>
      </c>
      <c r="C243" s="3">
        <v>0.51</v>
      </c>
      <c r="D243" s="3">
        <v>0.16</v>
      </c>
      <c r="E243" s="3">
        <v>3</v>
      </c>
      <c r="F243" s="3">
        <v>51</v>
      </c>
      <c r="G243" s="3">
        <v>54</v>
      </c>
    </row>
    <row r="244" spans="1:7">
      <c r="A244" s="3">
        <v>243</v>
      </c>
      <c r="B244" s="3">
        <v>0.21</v>
      </c>
      <c r="C244" s="3">
        <v>0.47</v>
      </c>
      <c r="D244" s="3">
        <v>0.13</v>
      </c>
      <c r="E244" s="3">
        <v>4</v>
      </c>
      <c r="F244" s="3">
        <v>31</v>
      </c>
      <c r="G244" s="3">
        <v>35</v>
      </c>
    </row>
    <row r="245" spans="1:7">
      <c r="A245" s="3">
        <v>244</v>
      </c>
      <c r="B245" s="3">
        <v>0.23</v>
      </c>
      <c r="C245" s="3">
        <v>0.51</v>
      </c>
      <c r="D245" s="3">
        <v>0.1</v>
      </c>
      <c r="E245" s="3">
        <v>2</v>
      </c>
      <c r="F245" s="3">
        <v>55</v>
      </c>
      <c r="G245" s="3">
        <v>57</v>
      </c>
    </row>
    <row r="246" spans="1:7">
      <c r="A246" s="3">
        <v>245</v>
      </c>
      <c r="B246" s="3">
        <v>0.23</v>
      </c>
      <c r="C246" s="3">
        <v>0.59</v>
      </c>
      <c r="D246" s="3">
        <v>0.09</v>
      </c>
      <c r="E246" s="3">
        <v>6</v>
      </c>
      <c r="F246" s="3">
        <v>46</v>
      </c>
      <c r="G246" s="3">
        <v>52</v>
      </c>
    </row>
    <row r="247" spans="1:7">
      <c r="A247" s="3">
        <v>246</v>
      </c>
      <c r="B247" s="3">
        <v>0.23</v>
      </c>
      <c r="C247" s="3">
        <v>0.59</v>
      </c>
      <c r="D247" s="3">
        <v>0.09</v>
      </c>
      <c r="E247" s="3">
        <v>3</v>
      </c>
      <c r="F247" s="3">
        <v>60</v>
      </c>
      <c r="G247" s="3">
        <v>63</v>
      </c>
    </row>
    <row r="248" spans="1:7">
      <c r="A248" s="3">
        <v>247</v>
      </c>
      <c r="B248" s="3">
        <v>0.2</v>
      </c>
      <c r="C248" s="3">
        <v>0.8</v>
      </c>
      <c r="D248" s="3">
        <v>0.09</v>
      </c>
      <c r="E248" s="3">
        <v>2</v>
      </c>
      <c r="F248" s="3">
        <v>45</v>
      </c>
      <c r="G248" s="3">
        <v>47</v>
      </c>
    </row>
    <row r="249" spans="1:7">
      <c r="A249" s="3">
        <v>248</v>
      </c>
      <c r="B249" s="3">
        <v>0.15</v>
      </c>
      <c r="C249" s="3">
        <v>0.86</v>
      </c>
      <c r="D249" s="3">
        <v>0.22</v>
      </c>
      <c r="E249" s="3">
        <v>4</v>
      </c>
      <c r="F249" s="3">
        <v>72</v>
      </c>
      <c r="G249" s="3">
        <v>76</v>
      </c>
    </row>
    <row r="250" spans="1:7">
      <c r="A250" s="3">
        <v>249</v>
      </c>
      <c r="B250" s="3">
        <v>0.15</v>
      </c>
      <c r="C250" s="3">
        <v>0.86</v>
      </c>
      <c r="D250" s="3">
        <v>0.22</v>
      </c>
      <c r="E250" s="3">
        <v>6</v>
      </c>
      <c r="F250" s="3">
        <v>130</v>
      </c>
      <c r="G250" s="3">
        <v>136</v>
      </c>
    </row>
    <row r="251" spans="1:7">
      <c r="A251" s="3">
        <v>250</v>
      </c>
      <c r="B251" s="3">
        <v>0.18</v>
      </c>
      <c r="C251" s="3">
        <v>0.93</v>
      </c>
      <c r="D251" s="3">
        <v>0.1</v>
      </c>
      <c r="E251" s="3">
        <v>1</v>
      </c>
      <c r="F251" s="3">
        <v>94</v>
      </c>
      <c r="G251" s="3">
        <v>95</v>
      </c>
    </row>
    <row r="252" spans="1:7">
      <c r="A252" s="3">
        <v>251</v>
      </c>
      <c r="B252" s="3">
        <v>0.23</v>
      </c>
      <c r="C252" s="3">
        <v>0.93</v>
      </c>
      <c r="D252" s="3">
        <v>0</v>
      </c>
      <c r="E252" s="3">
        <v>0</v>
      </c>
      <c r="F252" s="3">
        <v>51</v>
      </c>
      <c r="G252" s="3">
        <v>51</v>
      </c>
    </row>
    <row r="253" spans="1:7">
      <c r="A253" s="3">
        <v>252</v>
      </c>
      <c r="B253" s="3">
        <v>0.15</v>
      </c>
      <c r="C253" s="3">
        <v>0.93</v>
      </c>
      <c r="D253" s="3">
        <v>0.19</v>
      </c>
      <c r="E253" s="3">
        <v>0</v>
      </c>
      <c r="F253" s="3">
        <v>32</v>
      </c>
      <c r="G253" s="3">
        <v>32</v>
      </c>
    </row>
    <row r="254" spans="1:7">
      <c r="A254" s="3">
        <v>253</v>
      </c>
      <c r="B254" s="3">
        <v>0.2</v>
      </c>
      <c r="C254" s="3">
        <v>0.86</v>
      </c>
      <c r="D254" s="3">
        <v>0.09</v>
      </c>
      <c r="E254" s="3">
        <v>0</v>
      </c>
      <c r="F254" s="3">
        <v>20</v>
      </c>
      <c r="G254" s="3">
        <v>20</v>
      </c>
    </row>
    <row r="255" spans="1:7">
      <c r="A255" s="3">
        <v>254</v>
      </c>
      <c r="B255" s="3">
        <v>0.18</v>
      </c>
      <c r="C255" s="3">
        <v>0.93</v>
      </c>
      <c r="D255" s="3">
        <v>0.1</v>
      </c>
      <c r="E255" s="3">
        <v>1</v>
      </c>
      <c r="F255" s="3">
        <v>28</v>
      </c>
      <c r="G255" s="3">
        <v>29</v>
      </c>
    </row>
    <row r="256" spans="1:7">
      <c r="A256" s="3">
        <v>255</v>
      </c>
      <c r="B256" s="3">
        <v>0.2</v>
      </c>
      <c r="C256" s="3">
        <v>0.93</v>
      </c>
      <c r="D256" s="3">
        <v>0.09</v>
      </c>
      <c r="E256" s="3">
        <v>1</v>
      </c>
      <c r="F256" s="3">
        <v>18</v>
      </c>
      <c r="G256" s="3">
        <v>19</v>
      </c>
    </row>
    <row r="257" spans="1:7">
      <c r="A257" s="3">
        <v>256</v>
      </c>
      <c r="B257" s="3">
        <v>0.2</v>
      </c>
      <c r="C257" s="3">
        <v>0.86</v>
      </c>
      <c r="D257" s="3">
        <v>0.09</v>
      </c>
      <c r="E257" s="3">
        <v>0</v>
      </c>
      <c r="F257" s="3">
        <v>7</v>
      </c>
      <c r="G257" s="3">
        <v>7</v>
      </c>
    </row>
    <row r="258" spans="1:7">
      <c r="A258" s="3">
        <v>257</v>
      </c>
      <c r="B258" s="3">
        <v>0.18</v>
      </c>
      <c r="C258" s="3">
        <v>0.86</v>
      </c>
      <c r="D258" s="3">
        <v>0.1</v>
      </c>
      <c r="E258" s="3">
        <v>0</v>
      </c>
      <c r="F258" s="3">
        <v>6</v>
      </c>
      <c r="G258" s="3">
        <v>6</v>
      </c>
    </row>
    <row r="259" spans="1:7">
      <c r="A259" s="3">
        <v>258</v>
      </c>
      <c r="B259" s="3">
        <v>0.15</v>
      </c>
      <c r="C259" s="3">
        <v>0.86</v>
      </c>
      <c r="D259" s="3">
        <v>0.13</v>
      </c>
      <c r="E259" s="3">
        <v>0</v>
      </c>
      <c r="F259" s="3">
        <v>1</v>
      </c>
      <c r="G259" s="3">
        <v>1</v>
      </c>
    </row>
    <row r="260" spans="1:7">
      <c r="A260" s="3">
        <v>259</v>
      </c>
      <c r="B260" s="3">
        <v>0.15</v>
      </c>
      <c r="C260" s="3">
        <v>0.86</v>
      </c>
      <c r="D260" s="3">
        <v>0.16</v>
      </c>
      <c r="E260" s="3">
        <v>0</v>
      </c>
      <c r="F260" s="3">
        <v>5</v>
      </c>
      <c r="G260" s="3">
        <v>5</v>
      </c>
    </row>
    <row r="261" spans="1:7">
      <c r="A261" s="3">
        <v>260</v>
      </c>
      <c r="B261" s="3">
        <v>0.15</v>
      </c>
      <c r="C261" s="3">
        <v>0.93</v>
      </c>
      <c r="D261" s="3">
        <v>0.13</v>
      </c>
      <c r="E261" s="3">
        <v>0</v>
      </c>
      <c r="F261" s="3">
        <v>16</v>
      </c>
      <c r="G261" s="3">
        <v>16</v>
      </c>
    </row>
    <row r="262" spans="1:7">
      <c r="A262" s="3">
        <v>261</v>
      </c>
      <c r="B262" s="3">
        <v>0.15</v>
      </c>
      <c r="C262" s="3">
        <v>0.69</v>
      </c>
      <c r="D262" s="3">
        <v>0.13</v>
      </c>
      <c r="E262" s="3">
        <v>0</v>
      </c>
      <c r="F262" s="3">
        <v>54</v>
      </c>
      <c r="G262" s="3">
        <v>54</v>
      </c>
    </row>
    <row r="263" spans="1:7">
      <c r="A263" s="3">
        <v>262</v>
      </c>
      <c r="B263" s="3">
        <v>0.17</v>
      </c>
      <c r="C263" s="3">
        <v>0.59</v>
      </c>
      <c r="D263" s="3">
        <v>0.16</v>
      </c>
      <c r="E263" s="3">
        <v>3</v>
      </c>
      <c r="F263" s="3">
        <v>125</v>
      </c>
      <c r="G263" s="3">
        <v>128</v>
      </c>
    </row>
    <row r="264" spans="1:7">
      <c r="A264" s="3">
        <v>263</v>
      </c>
      <c r="B264" s="3">
        <v>0.14000000000000001</v>
      </c>
      <c r="C264" s="3">
        <v>0.59</v>
      </c>
      <c r="D264" s="3">
        <v>0.33</v>
      </c>
      <c r="E264" s="3">
        <v>3</v>
      </c>
      <c r="F264" s="3">
        <v>78</v>
      </c>
      <c r="G264" s="3">
        <v>81</v>
      </c>
    </row>
    <row r="265" spans="1:7">
      <c r="A265" s="3">
        <v>264</v>
      </c>
      <c r="B265" s="3">
        <v>0.18</v>
      </c>
      <c r="C265" s="3">
        <v>0.55000000000000004</v>
      </c>
      <c r="D265" s="3">
        <v>0.22</v>
      </c>
      <c r="E265" s="3">
        <v>0</v>
      </c>
      <c r="F265" s="3">
        <v>39</v>
      </c>
      <c r="G265" s="3">
        <v>39</v>
      </c>
    </row>
    <row r="266" spans="1:7">
      <c r="A266" s="3">
        <v>265</v>
      </c>
      <c r="B266" s="3">
        <v>0.18</v>
      </c>
      <c r="C266" s="3">
        <v>0.51</v>
      </c>
      <c r="D266" s="3">
        <v>0.39</v>
      </c>
      <c r="E266" s="3">
        <v>3</v>
      </c>
      <c r="F266" s="3">
        <v>32</v>
      </c>
      <c r="G266" s="3">
        <v>35</v>
      </c>
    </row>
    <row r="267" spans="1:7">
      <c r="A267" s="3">
        <v>266</v>
      </c>
      <c r="B267" s="3">
        <v>0.15</v>
      </c>
      <c r="C267" s="3">
        <v>0.47</v>
      </c>
      <c r="D267" s="3">
        <v>0.57999999999999996</v>
      </c>
      <c r="E267" s="3">
        <v>3</v>
      </c>
      <c r="F267" s="3">
        <v>52</v>
      </c>
      <c r="G267" s="3">
        <v>55</v>
      </c>
    </row>
    <row r="268" spans="1:7">
      <c r="A268" s="3">
        <v>267</v>
      </c>
      <c r="B268" s="3">
        <v>0.2</v>
      </c>
      <c r="C268" s="3">
        <v>0.44</v>
      </c>
      <c r="D268" s="3">
        <v>0.36</v>
      </c>
      <c r="E268" s="3">
        <v>0</v>
      </c>
      <c r="F268" s="3">
        <v>49</v>
      </c>
      <c r="G268" s="3">
        <v>49</v>
      </c>
    </row>
    <row r="269" spans="1:7">
      <c r="A269" s="3">
        <v>268</v>
      </c>
      <c r="B269" s="3">
        <v>0.18</v>
      </c>
      <c r="C269" s="3">
        <v>0.47</v>
      </c>
      <c r="D269" s="3">
        <v>0.33</v>
      </c>
      <c r="E269" s="3">
        <v>0</v>
      </c>
      <c r="F269" s="3">
        <v>44</v>
      </c>
      <c r="G269" s="3">
        <v>44</v>
      </c>
    </row>
    <row r="270" spans="1:7">
      <c r="A270" s="3">
        <v>269</v>
      </c>
      <c r="B270" s="3">
        <v>0.17</v>
      </c>
      <c r="C270" s="3">
        <v>0.47</v>
      </c>
      <c r="D270" s="3">
        <v>0.42</v>
      </c>
      <c r="E270" s="3">
        <v>1</v>
      </c>
      <c r="F270" s="3">
        <v>48</v>
      </c>
      <c r="G270" s="3">
        <v>49</v>
      </c>
    </row>
    <row r="271" spans="1:7">
      <c r="A271" s="3">
        <v>270</v>
      </c>
      <c r="B271" s="3">
        <v>0.2</v>
      </c>
      <c r="C271" s="3">
        <v>0.44</v>
      </c>
      <c r="D271" s="3">
        <v>0.33</v>
      </c>
      <c r="E271" s="3">
        <v>5</v>
      </c>
      <c r="F271" s="3">
        <v>63</v>
      </c>
      <c r="G271" s="3">
        <v>68</v>
      </c>
    </row>
    <row r="272" spans="1:7">
      <c r="A272" s="3">
        <v>271</v>
      </c>
      <c r="B272" s="3">
        <v>0.18</v>
      </c>
      <c r="C272" s="3">
        <v>0.47</v>
      </c>
      <c r="D272" s="3">
        <v>0.36</v>
      </c>
      <c r="E272" s="3">
        <v>0</v>
      </c>
      <c r="F272" s="3">
        <v>139</v>
      </c>
      <c r="G272" s="3">
        <v>139</v>
      </c>
    </row>
    <row r="273" spans="1:7">
      <c r="A273" s="3">
        <v>272</v>
      </c>
      <c r="B273" s="3">
        <v>0.15</v>
      </c>
      <c r="C273" s="3">
        <v>0.47</v>
      </c>
      <c r="D273" s="3">
        <v>0.52</v>
      </c>
      <c r="E273" s="3">
        <v>2</v>
      </c>
      <c r="F273" s="3">
        <v>135</v>
      </c>
      <c r="G273" s="3">
        <v>137</v>
      </c>
    </row>
    <row r="274" spans="1:7">
      <c r="A274" s="3">
        <v>273</v>
      </c>
      <c r="B274" s="3">
        <v>0.15</v>
      </c>
      <c r="C274" s="3">
        <v>0.47</v>
      </c>
      <c r="D274" s="3">
        <v>0.42</v>
      </c>
      <c r="E274" s="3">
        <v>1</v>
      </c>
      <c r="F274" s="3">
        <v>82</v>
      </c>
      <c r="G274" s="3">
        <v>83</v>
      </c>
    </row>
    <row r="275" spans="1:7">
      <c r="A275" s="3">
        <v>274</v>
      </c>
      <c r="B275" s="3">
        <v>0.14000000000000001</v>
      </c>
      <c r="C275" s="3">
        <v>0.5</v>
      </c>
      <c r="D275" s="3">
        <v>0.33</v>
      </c>
      <c r="E275" s="3">
        <v>2</v>
      </c>
      <c r="F275" s="3">
        <v>54</v>
      </c>
      <c r="G275" s="3">
        <v>56</v>
      </c>
    </row>
    <row r="276" spans="1:7">
      <c r="A276" s="3">
        <v>275</v>
      </c>
      <c r="B276" s="3">
        <v>0.14000000000000001</v>
      </c>
      <c r="C276" s="3">
        <v>0.55000000000000004</v>
      </c>
      <c r="D276" s="3">
        <v>0.33</v>
      </c>
      <c r="E276" s="3">
        <v>0</v>
      </c>
      <c r="F276" s="3">
        <v>57</v>
      </c>
      <c r="G276" s="3">
        <v>57</v>
      </c>
    </row>
    <row r="277" spans="1:7">
      <c r="A277" s="3">
        <v>276</v>
      </c>
      <c r="B277" s="3">
        <v>0.12</v>
      </c>
      <c r="C277" s="3">
        <v>0.55000000000000004</v>
      </c>
      <c r="D277" s="3">
        <v>0.45</v>
      </c>
      <c r="E277" s="3">
        <v>1</v>
      </c>
      <c r="F277" s="3">
        <v>32</v>
      </c>
      <c r="G277" s="3">
        <v>33</v>
      </c>
    </row>
    <row r="278" spans="1:7">
      <c r="A278" s="3">
        <v>277</v>
      </c>
      <c r="B278" s="3">
        <v>0.11</v>
      </c>
      <c r="C278" s="3">
        <v>0.59</v>
      </c>
      <c r="D278" s="3">
        <v>0.42</v>
      </c>
      <c r="E278" s="3">
        <v>1</v>
      </c>
      <c r="F278" s="3">
        <v>19</v>
      </c>
      <c r="G278" s="3">
        <v>20</v>
      </c>
    </row>
    <row r="279" spans="1:7">
      <c r="A279" s="3">
        <v>278</v>
      </c>
      <c r="B279" s="3">
        <v>0.12</v>
      </c>
      <c r="C279" s="3">
        <v>0.59</v>
      </c>
      <c r="D279" s="3">
        <v>0.28000000000000003</v>
      </c>
      <c r="E279" s="3">
        <v>1</v>
      </c>
      <c r="F279" s="3">
        <v>6</v>
      </c>
      <c r="G279" s="3">
        <v>7</v>
      </c>
    </row>
    <row r="280" spans="1:7">
      <c r="A280" s="3">
        <v>279</v>
      </c>
      <c r="B280" s="3">
        <v>0.12</v>
      </c>
      <c r="C280" s="3">
        <v>0.5</v>
      </c>
      <c r="D280" s="3">
        <v>0.28000000000000003</v>
      </c>
      <c r="E280" s="3">
        <v>0</v>
      </c>
      <c r="F280" s="3">
        <v>2</v>
      </c>
      <c r="G280" s="3">
        <v>2</v>
      </c>
    </row>
    <row r="281" spans="1:7">
      <c r="A281" s="3">
        <v>280</v>
      </c>
      <c r="B281" s="3">
        <v>0.12</v>
      </c>
      <c r="C281" s="3">
        <v>0.5</v>
      </c>
      <c r="D281" s="3">
        <v>0.36</v>
      </c>
      <c r="E281" s="3">
        <v>0</v>
      </c>
      <c r="F281" s="3">
        <v>2</v>
      </c>
      <c r="G281" s="3">
        <v>2</v>
      </c>
    </row>
    <row r="282" spans="1:7">
      <c r="A282" s="3">
        <v>281</v>
      </c>
      <c r="B282" s="3">
        <v>0.12</v>
      </c>
      <c r="C282" s="3">
        <v>0.5</v>
      </c>
      <c r="D282" s="3">
        <v>0.33</v>
      </c>
      <c r="E282" s="3">
        <v>0</v>
      </c>
      <c r="F282" s="3">
        <v>3</v>
      </c>
      <c r="G282" s="3">
        <v>3</v>
      </c>
    </row>
    <row r="283" spans="1:7">
      <c r="A283" s="3">
        <v>282</v>
      </c>
      <c r="B283" s="3">
        <v>0.12</v>
      </c>
      <c r="C283" s="3">
        <v>0.5</v>
      </c>
      <c r="D283" s="3">
        <v>0.25</v>
      </c>
      <c r="E283" s="3">
        <v>0</v>
      </c>
      <c r="F283" s="3">
        <v>4</v>
      </c>
      <c r="G283" s="3">
        <v>4</v>
      </c>
    </row>
    <row r="284" spans="1:7">
      <c r="A284" s="3">
        <v>283</v>
      </c>
      <c r="B284" s="3">
        <v>0.12</v>
      </c>
      <c r="C284" s="3">
        <v>0.5</v>
      </c>
      <c r="D284" s="3">
        <v>0.3</v>
      </c>
      <c r="E284" s="3">
        <v>0</v>
      </c>
      <c r="F284" s="3">
        <v>3</v>
      </c>
      <c r="G284" s="3">
        <v>3</v>
      </c>
    </row>
    <row r="285" spans="1:7">
      <c r="A285" s="3">
        <v>284</v>
      </c>
      <c r="B285" s="3">
        <v>0.15</v>
      </c>
      <c r="C285" s="3">
        <v>0.54</v>
      </c>
      <c r="D285" s="3">
        <v>0.13</v>
      </c>
      <c r="E285" s="3">
        <v>0</v>
      </c>
      <c r="F285" s="3">
        <v>28</v>
      </c>
      <c r="G285" s="3">
        <v>28</v>
      </c>
    </row>
    <row r="286" spans="1:7">
      <c r="A286" s="3">
        <v>285</v>
      </c>
      <c r="B286" s="3">
        <v>0.15</v>
      </c>
      <c r="C286" s="3">
        <v>0.54</v>
      </c>
      <c r="D286" s="3">
        <v>0.13</v>
      </c>
      <c r="E286" s="3">
        <v>0</v>
      </c>
      <c r="F286" s="3">
        <v>72</v>
      </c>
      <c r="G286" s="3">
        <v>72</v>
      </c>
    </row>
    <row r="287" spans="1:7">
      <c r="A287" s="3">
        <v>286</v>
      </c>
      <c r="B287" s="3">
        <v>0.14000000000000001</v>
      </c>
      <c r="C287" s="3">
        <v>0.5</v>
      </c>
      <c r="D287" s="3">
        <v>0.19</v>
      </c>
      <c r="E287" s="3">
        <v>5</v>
      </c>
      <c r="F287" s="3">
        <v>197</v>
      </c>
      <c r="G287" s="3">
        <v>202</v>
      </c>
    </row>
    <row r="288" spans="1:7">
      <c r="A288" s="3">
        <v>287</v>
      </c>
      <c r="B288" s="3">
        <v>0.12</v>
      </c>
      <c r="C288" s="3">
        <v>0.5</v>
      </c>
      <c r="D288" s="3">
        <v>0.33</v>
      </c>
      <c r="E288" s="3">
        <v>2</v>
      </c>
      <c r="F288" s="3">
        <v>137</v>
      </c>
      <c r="G288" s="3">
        <v>139</v>
      </c>
    </row>
    <row r="289" spans="1:7">
      <c r="A289" s="3">
        <v>288</v>
      </c>
      <c r="B289" s="3">
        <v>0.14000000000000001</v>
      </c>
      <c r="C289" s="3">
        <v>0.5</v>
      </c>
      <c r="D289" s="3">
        <v>0.36</v>
      </c>
      <c r="E289" s="3">
        <v>2</v>
      </c>
      <c r="F289" s="3">
        <v>36</v>
      </c>
      <c r="G289" s="3">
        <v>38</v>
      </c>
    </row>
    <row r="290" spans="1:7">
      <c r="A290" s="3">
        <v>289</v>
      </c>
      <c r="B290" s="3">
        <v>0.17</v>
      </c>
      <c r="C290" s="3">
        <v>0.44</v>
      </c>
      <c r="D290" s="3">
        <v>0.45</v>
      </c>
      <c r="E290" s="3">
        <v>4</v>
      </c>
      <c r="F290" s="3">
        <v>33</v>
      </c>
      <c r="G290" s="3">
        <v>37</v>
      </c>
    </row>
    <row r="291" spans="1:7">
      <c r="A291" s="3">
        <v>290</v>
      </c>
      <c r="B291" s="3">
        <v>0.17</v>
      </c>
      <c r="C291" s="3">
        <v>0.44</v>
      </c>
      <c r="D291" s="3">
        <v>0.42</v>
      </c>
      <c r="E291" s="3">
        <v>3</v>
      </c>
      <c r="F291" s="3">
        <v>49</v>
      </c>
      <c r="G291" s="3">
        <v>52</v>
      </c>
    </row>
    <row r="292" spans="1:7">
      <c r="A292" s="3">
        <v>291</v>
      </c>
      <c r="B292" s="3">
        <v>0.2</v>
      </c>
      <c r="C292" s="3">
        <v>0.41</v>
      </c>
      <c r="D292" s="3">
        <v>0.45</v>
      </c>
      <c r="E292" s="3">
        <v>2</v>
      </c>
      <c r="F292" s="3">
        <v>81</v>
      </c>
      <c r="G292" s="3">
        <v>83</v>
      </c>
    </row>
    <row r="293" spans="1:7">
      <c r="A293" s="3">
        <v>292</v>
      </c>
      <c r="B293" s="3">
        <v>0.2</v>
      </c>
      <c r="C293" s="3">
        <v>0.41</v>
      </c>
      <c r="D293" s="3">
        <v>0.39</v>
      </c>
      <c r="E293" s="3">
        <v>3</v>
      </c>
      <c r="F293" s="3">
        <v>39</v>
      </c>
      <c r="G293" s="3">
        <v>42</v>
      </c>
    </row>
    <row r="294" spans="1:7">
      <c r="A294" s="3">
        <v>293</v>
      </c>
      <c r="B294" s="3">
        <v>0.21</v>
      </c>
      <c r="C294" s="3">
        <v>0.38</v>
      </c>
      <c r="D294" s="3">
        <v>0.3</v>
      </c>
      <c r="E294" s="3">
        <v>5</v>
      </c>
      <c r="F294" s="3">
        <v>55</v>
      </c>
      <c r="G294" s="3">
        <v>60</v>
      </c>
    </row>
    <row r="295" spans="1:7">
      <c r="A295" s="3">
        <v>294</v>
      </c>
      <c r="B295" s="3">
        <v>0.21</v>
      </c>
      <c r="C295" s="3">
        <v>0.38</v>
      </c>
      <c r="D295" s="3">
        <v>0.36</v>
      </c>
      <c r="E295" s="3">
        <v>2</v>
      </c>
      <c r="F295" s="3">
        <v>76</v>
      </c>
      <c r="G295" s="3">
        <v>78</v>
      </c>
    </row>
    <row r="296" spans="1:7">
      <c r="A296" s="3">
        <v>295</v>
      </c>
      <c r="B296" s="3">
        <v>0.18</v>
      </c>
      <c r="C296" s="3">
        <v>0.4</v>
      </c>
      <c r="D296" s="3">
        <v>0.28000000000000003</v>
      </c>
      <c r="E296" s="3">
        <v>4</v>
      </c>
      <c r="F296" s="3">
        <v>158</v>
      </c>
      <c r="G296" s="3">
        <v>162</v>
      </c>
    </row>
    <row r="297" spans="1:7">
      <c r="A297" s="3">
        <v>296</v>
      </c>
      <c r="B297" s="3">
        <v>0.18</v>
      </c>
      <c r="C297" s="3">
        <v>0.4</v>
      </c>
      <c r="D297" s="3">
        <v>0.33</v>
      </c>
      <c r="E297" s="3">
        <v>3</v>
      </c>
      <c r="F297" s="3">
        <v>141</v>
      </c>
      <c r="G297" s="3">
        <v>144</v>
      </c>
    </row>
    <row r="298" spans="1:7">
      <c r="A298" s="3">
        <v>297</v>
      </c>
      <c r="B298" s="3">
        <v>0.15</v>
      </c>
      <c r="C298" s="3">
        <v>0.47</v>
      </c>
      <c r="D298" s="3">
        <v>0.25</v>
      </c>
      <c r="E298" s="3">
        <v>1</v>
      </c>
      <c r="F298" s="3">
        <v>98</v>
      </c>
      <c r="G298" s="3">
        <v>99</v>
      </c>
    </row>
    <row r="299" spans="1:7">
      <c r="A299" s="3">
        <v>298</v>
      </c>
      <c r="B299" s="3">
        <v>0.15</v>
      </c>
      <c r="C299" s="3">
        <v>0.47</v>
      </c>
      <c r="D299" s="3">
        <v>0.22</v>
      </c>
      <c r="E299" s="3">
        <v>0</v>
      </c>
      <c r="F299" s="3">
        <v>64</v>
      </c>
      <c r="G299" s="3">
        <v>64</v>
      </c>
    </row>
    <row r="300" spans="1:7">
      <c r="A300" s="3">
        <v>299</v>
      </c>
      <c r="B300" s="3">
        <v>0.12</v>
      </c>
      <c r="C300" s="3">
        <v>0.46</v>
      </c>
      <c r="D300" s="3">
        <v>0.3</v>
      </c>
      <c r="E300" s="3">
        <v>0</v>
      </c>
      <c r="F300" s="3">
        <v>40</v>
      </c>
      <c r="G300" s="3">
        <v>40</v>
      </c>
    </row>
    <row r="301" spans="1:7">
      <c r="A301" s="3">
        <v>300</v>
      </c>
      <c r="B301" s="3">
        <v>0.12</v>
      </c>
      <c r="C301" s="3">
        <v>0.46</v>
      </c>
      <c r="D301" s="3">
        <v>0.33</v>
      </c>
      <c r="E301" s="3">
        <v>0</v>
      </c>
      <c r="F301" s="3">
        <v>30</v>
      </c>
      <c r="G301" s="3">
        <v>30</v>
      </c>
    </row>
    <row r="302" spans="1:7">
      <c r="A302" s="3">
        <v>301</v>
      </c>
      <c r="B302" s="3">
        <v>0.14000000000000001</v>
      </c>
      <c r="C302" s="3">
        <v>0.5</v>
      </c>
      <c r="D302" s="3">
        <v>0.19</v>
      </c>
      <c r="E302" s="3">
        <v>1</v>
      </c>
      <c r="F302" s="3">
        <v>14</v>
      </c>
      <c r="G302" s="3">
        <v>15</v>
      </c>
    </row>
    <row r="303" spans="1:7">
      <c r="A303" s="3">
        <v>302</v>
      </c>
      <c r="B303" s="3">
        <v>0.14000000000000001</v>
      </c>
      <c r="C303" s="3">
        <v>0.5</v>
      </c>
      <c r="D303" s="3">
        <v>0.19</v>
      </c>
      <c r="E303" s="3">
        <v>0</v>
      </c>
      <c r="F303" s="3">
        <v>14</v>
      </c>
      <c r="G303" s="3">
        <v>14</v>
      </c>
    </row>
    <row r="304" spans="1:7">
      <c r="A304" s="3">
        <v>303</v>
      </c>
      <c r="B304" s="3">
        <v>0.12</v>
      </c>
      <c r="C304" s="3">
        <v>0.54</v>
      </c>
      <c r="D304" s="3">
        <v>0.16</v>
      </c>
      <c r="E304" s="3">
        <v>0</v>
      </c>
      <c r="F304" s="3">
        <v>5</v>
      </c>
      <c r="G304" s="3">
        <v>5</v>
      </c>
    </row>
    <row r="305" spans="1:7">
      <c r="A305" s="3">
        <v>304</v>
      </c>
      <c r="B305" s="3">
        <v>0.12</v>
      </c>
      <c r="C305" s="3">
        <v>0.54</v>
      </c>
      <c r="D305" s="3">
        <v>0.13</v>
      </c>
      <c r="E305" s="3">
        <v>0</v>
      </c>
      <c r="F305" s="3">
        <v>1</v>
      </c>
      <c r="G305" s="3">
        <v>1</v>
      </c>
    </row>
    <row r="306" spans="1:7">
      <c r="A306" s="3">
        <v>305</v>
      </c>
      <c r="B306" s="3">
        <v>0.14000000000000001</v>
      </c>
      <c r="C306" s="3">
        <v>0.54</v>
      </c>
      <c r="D306" s="3">
        <v>0.1</v>
      </c>
      <c r="E306" s="3">
        <v>0</v>
      </c>
      <c r="F306" s="3">
        <v>1</v>
      </c>
      <c r="G306" s="3">
        <v>1</v>
      </c>
    </row>
    <row r="307" spans="1:7">
      <c r="A307" s="3">
        <v>306</v>
      </c>
      <c r="B307" s="3">
        <v>0.14000000000000001</v>
      </c>
      <c r="C307" s="3">
        <v>0.54</v>
      </c>
      <c r="D307" s="3">
        <v>0.09</v>
      </c>
      <c r="E307" s="3">
        <v>0</v>
      </c>
      <c r="F307" s="3">
        <v>8</v>
      </c>
      <c r="G307" s="3">
        <v>8</v>
      </c>
    </row>
    <row r="308" spans="1:7">
      <c r="A308" s="3">
        <v>307</v>
      </c>
      <c r="B308" s="3">
        <v>0.18</v>
      </c>
      <c r="C308" s="3">
        <v>0.54</v>
      </c>
      <c r="D308" s="3">
        <v>0</v>
      </c>
      <c r="E308" s="3">
        <v>0</v>
      </c>
      <c r="F308" s="3">
        <v>17</v>
      </c>
      <c r="G308" s="3">
        <v>17</v>
      </c>
    </row>
    <row r="309" spans="1:7">
      <c r="A309" s="3">
        <v>308</v>
      </c>
      <c r="B309" s="3">
        <v>0.12</v>
      </c>
      <c r="C309" s="3">
        <v>0.74</v>
      </c>
      <c r="D309" s="3">
        <v>0.16</v>
      </c>
      <c r="E309" s="3">
        <v>0</v>
      </c>
      <c r="F309" s="3">
        <v>70</v>
      </c>
      <c r="G309" s="3">
        <v>70</v>
      </c>
    </row>
    <row r="310" spans="1:7">
      <c r="A310" s="3">
        <v>309</v>
      </c>
      <c r="B310" s="3">
        <v>0.17</v>
      </c>
      <c r="C310" s="3">
        <v>0.68</v>
      </c>
      <c r="D310" s="3">
        <v>0</v>
      </c>
      <c r="E310" s="3">
        <v>2</v>
      </c>
      <c r="F310" s="3">
        <v>156</v>
      </c>
      <c r="G310" s="3">
        <v>158</v>
      </c>
    </row>
    <row r="311" spans="1:7">
      <c r="A311" s="3">
        <v>310</v>
      </c>
      <c r="B311" s="3">
        <v>0.15</v>
      </c>
      <c r="C311" s="3">
        <v>0.69</v>
      </c>
      <c r="D311" s="3">
        <v>0.13</v>
      </c>
      <c r="E311" s="3">
        <v>0</v>
      </c>
      <c r="F311" s="3">
        <v>117</v>
      </c>
      <c r="G311" s="3">
        <v>117</v>
      </c>
    </row>
    <row r="312" spans="1:7">
      <c r="A312" s="3">
        <v>311</v>
      </c>
      <c r="B312" s="3">
        <v>0.18</v>
      </c>
      <c r="C312" s="3">
        <v>0.55000000000000004</v>
      </c>
      <c r="D312" s="3">
        <v>0.19</v>
      </c>
      <c r="E312" s="3">
        <v>4</v>
      </c>
      <c r="F312" s="3">
        <v>40</v>
      </c>
      <c r="G312" s="3">
        <v>44</v>
      </c>
    </row>
    <row r="313" spans="1:7">
      <c r="A313" s="3">
        <v>312</v>
      </c>
      <c r="B313" s="3">
        <v>0.17</v>
      </c>
      <c r="C313" s="3">
        <v>0.51</v>
      </c>
      <c r="D313" s="3">
        <v>0.28000000000000003</v>
      </c>
      <c r="E313" s="3">
        <v>6</v>
      </c>
      <c r="F313" s="3">
        <v>47</v>
      </c>
      <c r="G313" s="3">
        <v>53</v>
      </c>
    </row>
    <row r="314" spans="1:7">
      <c r="A314" s="3">
        <v>313</v>
      </c>
      <c r="B314" s="3">
        <v>0.2</v>
      </c>
      <c r="C314" s="3">
        <v>0.44</v>
      </c>
      <c r="D314" s="3">
        <v>0.25</v>
      </c>
      <c r="E314" s="3">
        <v>2</v>
      </c>
      <c r="F314" s="3">
        <v>59</v>
      </c>
      <c r="G314" s="3">
        <v>61</v>
      </c>
    </row>
    <row r="315" spans="1:7">
      <c r="A315" s="3">
        <v>314</v>
      </c>
      <c r="B315" s="3">
        <v>0.2</v>
      </c>
      <c r="C315" s="3">
        <v>0.37</v>
      </c>
      <c r="D315" s="3">
        <v>0.39</v>
      </c>
      <c r="E315" s="3">
        <v>4</v>
      </c>
      <c r="F315" s="3">
        <v>73</v>
      </c>
      <c r="G315" s="3">
        <v>77</v>
      </c>
    </row>
    <row r="316" spans="1:7">
      <c r="A316" s="3">
        <v>315</v>
      </c>
      <c r="B316" s="3">
        <v>0.21</v>
      </c>
      <c r="C316" s="3">
        <v>0.41</v>
      </c>
      <c r="D316" s="3">
        <v>0.28000000000000003</v>
      </c>
      <c r="E316" s="3">
        <v>5</v>
      </c>
      <c r="F316" s="3">
        <v>59</v>
      </c>
      <c r="G316" s="3">
        <v>64</v>
      </c>
    </row>
    <row r="317" spans="1:7">
      <c r="A317" s="3">
        <v>316</v>
      </c>
      <c r="B317" s="3">
        <v>0.24</v>
      </c>
      <c r="C317" s="3">
        <v>0.38</v>
      </c>
      <c r="D317" s="3">
        <v>0.16</v>
      </c>
      <c r="E317" s="3">
        <v>9</v>
      </c>
      <c r="F317" s="3">
        <v>59</v>
      </c>
      <c r="G317" s="3">
        <v>68</v>
      </c>
    </row>
    <row r="318" spans="1:7">
      <c r="A318" s="3">
        <v>317</v>
      </c>
      <c r="B318" s="3">
        <v>0.24</v>
      </c>
      <c r="C318" s="3">
        <v>0.41</v>
      </c>
      <c r="D318" s="3">
        <v>0.1</v>
      </c>
      <c r="E318" s="3">
        <v>3</v>
      </c>
      <c r="F318" s="3">
        <v>87</v>
      </c>
      <c r="G318" s="3">
        <v>90</v>
      </c>
    </row>
    <row r="319" spans="1:7">
      <c r="A319" s="3">
        <v>318</v>
      </c>
      <c r="B319" s="3">
        <v>0.23</v>
      </c>
      <c r="C319" s="3">
        <v>0.41</v>
      </c>
      <c r="D319" s="3">
        <v>0.16</v>
      </c>
      <c r="E319" s="3">
        <v>4</v>
      </c>
      <c r="F319" s="3">
        <v>155</v>
      </c>
      <c r="G319" s="3">
        <v>159</v>
      </c>
    </row>
    <row r="320" spans="1:7">
      <c r="A320" s="3">
        <v>319</v>
      </c>
      <c r="B320" s="3">
        <v>0.26</v>
      </c>
      <c r="C320" s="3">
        <v>0.47</v>
      </c>
      <c r="D320" s="3">
        <v>0</v>
      </c>
      <c r="E320" s="3">
        <v>5</v>
      </c>
      <c r="F320" s="3">
        <v>134</v>
      </c>
      <c r="G320" s="3">
        <v>139</v>
      </c>
    </row>
    <row r="321" spans="1:7">
      <c r="A321" s="3">
        <v>320</v>
      </c>
      <c r="B321" s="3">
        <v>0.2</v>
      </c>
      <c r="C321" s="3">
        <v>0.59</v>
      </c>
      <c r="D321" s="3">
        <v>0.09</v>
      </c>
      <c r="E321" s="3">
        <v>3</v>
      </c>
      <c r="F321" s="3">
        <v>89</v>
      </c>
      <c r="G321" s="3">
        <v>92</v>
      </c>
    </row>
    <row r="322" spans="1:7">
      <c r="A322" s="3">
        <v>321</v>
      </c>
      <c r="B322" s="3">
        <v>0.24</v>
      </c>
      <c r="C322" s="3">
        <v>0.59</v>
      </c>
      <c r="D322" s="3">
        <v>0</v>
      </c>
      <c r="E322" s="3">
        <v>0</v>
      </c>
      <c r="F322" s="3">
        <v>68</v>
      </c>
      <c r="G322" s="3">
        <v>68</v>
      </c>
    </row>
    <row r="323" spans="1:7">
      <c r="A323" s="3">
        <v>322</v>
      </c>
      <c r="B323" s="3">
        <v>0.23</v>
      </c>
      <c r="C323" s="3">
        <v>0.69</v>
      </c>
      <c r="D323" s="3">
        <v>0</v>
      </c>
      <c r="E323" s="3">
        <v>4</v>
      </c>
      <c r="F323" s="3">
        <v>48</v>
      </c>
      <c r="G323" s="3">
        <v>52</v>
      </c>
    </row>
    <row r="324" spans="1:7">
      <c r="A324" s="3">
        <v>323</v>
      </c>
      <c r="B324" s="3">
        <v>0.23</v>
      </c>
      <c r="C324" s="3">
        <v>0.69</v>
      </c>
      <c r="D324" s="3">
        <v>0</v>
      </c>
      <c r="E324" s="3">
        <v>2</v>
      </c>
      <c r="F324" s="3">
        <v>34</v>
      </c>
      <c r="G324" s="3">
        <v>36</v>
      </c>
    </row>
    <row r="325" spans="1:7">
      <c r="A325" s="3">
        <v>324</v>
      </c>
      <c r="B325" s="3">
        <v>0.24</v>
      </c>
      <c r="C325" s="3">
        <v>0.55000000000000004</v>
      </c>
      <c r="D325" s="3">
        <v>0</v>
      </c>
      <c r="E325" s="3">
        <v>1</v>
      </c>
      <c r="F325" s="3">
        <v>26</v>
      </c>
      <c r="G325" s="3">
        <v>27</v>
      </c>
    </row>
    <row r="326" spans="1:7">
      <c r="A326" s="3">
        <v>325</v>
      </c>
      <c r="B326" s="3">
        <v>0.24</v>
      </c>
      <c r="C326" s="3">
        <v>0.55000000000000004</v>
      </c>
      <c r="D326" s="3">
        <v>0</v>
      </c>
      <c r="E326" s="3">
        <v>3</v>
      </c>
      <c r="F326" s="3">
        <v>25</v>
      </c>
      <c r="G326" s="3">
        <v>28</v>
      </c>
    </row>
    <row r="327" spans="1:7">
      <c r="A327" s="3">
        <v>326</v>
      </c>
      <c r="B327" s="3">
        <v>0.2</v>
      </c>
      <c r="C327" s="3">
        <v>0.59</v>
      </c>
      <c r="D327" s="3">
        <v>0.09</v>
      </c>
      <c r="E327" s="3">
        <v>2</v>
      </c>
      <c r="F327" s="3">
        <v>18</v>
      </c>
      <c r="G327" s="3">
        <v>20</v>
      </c>
    </row>
    <row r="328" spans="1:7">
      <c r="A328" s="3">
        <v>327</v>
      </c>
      <c r="B328" s="3">
        <v>0.2</v>
      </c>
      <c r="C328" s="3">
        <v>0.59</v>
      </c>
      <c r="D328" s="3">
        <v>0.09</v>
      </c>
      <c r="E328" s="3">
        <v>0</v>
      </c>
      <c r="F328" s="3">
        <v>12</v>
      </c>
      <c r="G328" s="3">
        <v>12</v>
      </c>
    </row>
    <row r="329" spans="1:7">
      <c r="A329" s="3">
        <v>328</v>
      </c>
      <c r="B329" s="3">
        <v>0.23</v>
      </c>
      <c r="C329" s="3">
        <v>0.59</v>
      </c>
      <c r="D329" s="3">
        <v>0</v>
      </c>
      <c r="E329" s="3">
        <v>1</v>
      </c>
      <c r="F329" s="3">
        <v>7</v>
      </c>
      <c r="G329" s="3">
        <v>8</v>
      </c>
    </row>
    <row r="330" spans="1:7">
      <c r="A330" s="3">
        <v>329</v>
      </c>
      <c r="B330" s="3">
        <v>0.23</v>
      </c>
      <c r="C330" s="3">
        <v>0.59</v>
      </c>
      <c r="D330" s="3">
        <v>0</v>
      </c>
      <c r="E330" s="3">
        <v>0</v>
      </c>
      <c r="F330" s="3">
        <v>5</v>
      </c>
      <c r="G330" s="3">
        <v>5</v>
      </c>
    </row>
    <row r="331" spans="1:7">
      <c r="A331" s="3">
        <v>330</v>
      </c>
      <c r="B331" s="3">
        <v>0.23</v>
      </c>
      <c r="C331" s="3">
        <v>0.59</v>
      </c>
      <c r="D331" s="3">
        <v>0</v>
      </c>
      <c r="E331" s="3">
        <v>0</v>
      </c>
      <c r="F331" s="3">
        <v>1</v>
      </c>
      <c r="G331" s="3">
        <v>1</v>
      </c>
    </row>
    <row r="332" spans="1:7">
      <c r="A332" s="3">
        <v>331</v>
      </c>
      <c r="B332" s="3">
        <v>0.17</v>
      </c>
      <c r="C332" s="3">
        <v>0.63</v>
      </c>
      <c r="D332" s="3">
        <v>0.1</v>
      </c>
      <c r="E332" s="3">
        <v>1</v>
      </c>
      <c r="F332" s="3">
        <v>2</v>
      </c>
      <c r="G332" s="3">
        <v>3</v>
      </c>
    </row>
    <row r="333" spans="1:7">
      <c r="A333" s="3">
        <v>332</v>
      </c>
      <c r="B333" s="3">
        <v>0.21</v>
      </c>
      <c r="C333" s="3">
        <v>0.63</v>
      </c>
      <c r="D333" s="3">
        <v>0</v>
      </c>
      <c r="E333" s="3">
        <v>1</v>
      </c>
      <c r="F333" s="3">
        <v>9</v>
      </c>
      <c r="G333" s="3">
        <v>10</v>
      </c>
    </row>
    <row r="334" spans="1:7">
      <c r="A334" s="3">
        <v>333</v>
      </c>
      <c r="B334" s="3">
        <v>0.15</v>
      </c>
      <c r="C334" s="3">
        <v>0.63</v>
      </c>
      <c r="D334" s="3">
        <v>0.13</v>
      </c>
      <c r="E334" s="3">
        <v>1</v>
      </c>
      <c r="F334" s="3">
        <v>22</v>
      </c>
      <c r="G334" s="3">
        <v>23</v>
      </c>
    </row>
    <row r="335" spans="1:7">
      <c r="A335" s="3">
        <v>334</v>
      </c>
      <c r="B335" s="3">
        <v>0.18</v>
      </c>
      <c r="C335" s="3">
        <v>0.64</v>
      </c>
      <c r="D335" s="3">
        <v>0.13</v>
      </c>
      <c r="E335" s="3">
        <v>2</v>
      </c>
      <c r="F335" s="3">
        <v>31</v>
      </c>
      <c r="G335" s="3">
        <v>33</v>
      </c>
    </row>
    <row r="336" spans="1:7">
      <c r="A336" s="3">
        <v>335</v>
      </c>
      <c r="B336" s="3">
        <v>0.2</v>
      </c>
      <c r="C336" s="3">
        <v>0.59</v>
      </c>
      <c r="D336" s="3">
        <v>0.16</v>
      </c>
      <c r="E336" s="3">
        <v>2</v>
      </c>
      <c r="F336" s="3">
        <v>57</v>
      </c>
      <c r="G336" s="3">
        <v>59</v>
      </c>
    </row>
    <row r="337" spans="1:7">
      <c r="A337" s="3">
        <v>336</v>
      </c>
      <c r="B337" s="3">
        <v>0.2</v>
      </c>
      <c r="C337" s="3">
        <v>0.55000000000000004</v>
      </c>
      <c r="D337" s="3">
        <v>0.22</v>
      </c>
      <c r="E337" s="3">
        <v>18</v>
      </c>
      <c r="F337" s="3">
        <v>54</v>
      </c>
      <c r="G337" s="3">
        <v>72</v>
      </c>
    </row>
    <row r="338" spans="1:7">
      <c r="A338" s="3">
        <v>337</v>
      </c>
      <c r="B338" s="3">
        <v>0.23</v>
      </c>
      <c r="C338" s="3">
        <v>0.48</v>
      </c>
      <c r="D338" s="3">
        <v>0.22</v>
      </c>
      <c r="E338" s="3">
        <v>15</v>
      </c>
      <c r="F338" s="3">
        <v>74</v>
      </c>
      <c r="G338" s="3">
        <v>89</v>
      </c>
    </row>
    <row r="339" spans="1:7">
      <c r="A339" s="3">
        <v>338</v>
      </c>
      <c r="B339" s="3">
        <v>0.26</v>
      </c>
      <c r="C339" s="3">
        <v>0.38</v>
      </c>
      <c r="D339" s="3">
        <v>0.3</v>
      </c>
      <c r="E339" s="3">
        <v>21</v>
      </c>
      <c r="F339" s="3">
        <v>80</v>
      </c>
      <c r="G339" s="3">
        <v>101</v>
      </c>
    </row>
    <row r="340" spans="1:7">
      <c r="A340" s="3">
        <v>339</v>
      </c>
      <c r="B340" s="3">
        <v>0.28999999999999998</v>
      </c>
      <c r="C340" s="3">
        <v>0.39</v>
      </c>
      <c r="D340" s="3">
        <v>0.28000000000000003</v>
      </c>
      <c r="E340" s="3">
        <v>26</v>
      </c>
      <c r="F340" s="3">
        <v>92</v>
      </c>
      <c r="G340" s="3">
        <v>118</v>
      </c>
    </row>
    <row r="341" spans="1:7">
      <c r="A341" s="3">
        <v>340</v>
      </c>
      <c r="B341" s="3">
        <v>0.32</v>
      </c>
      <c r="C341" s="3">
        <v>0.36</v>
      </c>
      <c r="D341" s="3">
        <v>0.19</v>
      </c>
      <c r="E341" s="3">
        <v>21</v>
      </c>
      <c r="F341" s="3">
        <v>108</v>
      </c>
      <c r="G341" s="3">
        <v>129</v>
      </c>
    </row>
    <row r="342" spans="1:7">
      <c r="A342" s="3">
        <v>341</v>
      </c>
      <c r="B342" s="3">
        <v>0.33</v>
      </c>
      <c r="C342" s="3">
        <v>0.34</v>
      </c>
      <c r="D342" s="3">
        <v>0.19</v>
      </c>
      <c r="E342" s="3">
        <v>33</v>
      </c>
      <c r="F342" s="3">
        <v>95</v>
      </c>
      <c r="G342" s="3">
        <v>128</v>
      </c>
    </row>
    <row r="343" spans="1:7">
      <c r="A343" s="3">
        <v>342</v>
      </c>
      <c r="B343" s="3">
        <v>0.3</v>
      </c>
      <c r="C343" s="3">
        <v>0.36</v>
      </c>
      <c r="D343" s="3">
        <v>0.28000000000000003</v>
      </c>
      <c r="E343" s="3">
        <v>29</v>
      </c>
      <c r="F343" s="3">
        <v>54</v>
      </c>
      <c r="G343" s="3">
        <v>83</v>
      </c>
    </row>
    <row r="344" spans="1:7">
      <c r="A344" s="3">
        <v>343</v>
      </c>
      <c r="B344" s="3">
        <v>0.28999999999999998</v>
      </c>
      <c r="C344" s="3">
        <v>0.45</v>
      </c>
      <c r="D344" s="3">
        <v>0.25</v>
      </c>
      <c r="E344" s="3">
        <v>15</v>
      </c>
      <c r="F344" s="3">
        <v>69</v>
      </c>
      <c r="G344" s="3">
        <v>84</v>
      </c>
    </row>
    <row r="345" spans="1:7">
      <c r="A345" s="3">
        <v>344</v>
      </c>
      <c r="B345" s="3">
        <v>0.3</v>
      </c>
      <c r="C345" s="3">
        <v>0.39</v>
      </c>
      <c r="D345" s="3">
        <v>0.25</v>
      </c>
      <c r="E345" s="3">
        <v>14</v>
      </c>
      <c r="F345" s="3">
        <v>60</v>
      </c>
      <c r="G345" s="3">
        <v>74</v>
      </c>
    </row>
    <row r="346" spans="1:7">
      <c r="A346" s="3">
        <v>345</v>
      </c>
      <c r="B346" s="3">
        <v>0.3</v>
      </c>
      <c r="C346" s="3">
        <v>0.39</v>
      </c>
      <c r="D346" s="3">
        <v>0.25</v>
      </c>
      <c r="E346" s="3">
        <v>6</v>
      </c>
      <c r="F346" s="3">
        <v>35</v>
      </c>
      <c r="G346" s="3">
        <v>41</v>
      </c>
    </row>
    <row r="347" spans="1:7">
      <c r="A347" s="3">
        <v>346</v>
      </c>
      <c r="B347" s="3">
        <v>0.3</v>
      </c>
      <c r="C347" s="3">
        <v>0.39</v>
      </c>
      <c r="D347" s="3">
        <v>0.22</v>
      </c>
      <c r="E347" s="3">
        <v>6</v>
      </c>
      <c r="F347" s="3">
        <v>51</v>
      </c>
      <c r="G347" s="3">
        <v>57</v>
      </c>
    </row>
    <row r="348" spans="1:7">
      <c r="A348" s="3">
        <v>347</v>
      </c>
      <c r="B348" s="3">
        <v>0.32</v>
      </c>
      <c r="C348" s="3">
        <v>0.42</v>
      </c>
      <c r="D348" s="3">
        <v>0.1</v>
      </c>
      <c r="E348" s="3">
        <v>0</v>
      </c>
      <c r="F348" s="3">
        <v>26</v>
      </c>
      <c r="G348" s="3">
        <v>26</v>
      </c>
    </row>
    <row r="349" spans="1:7">
      <c r="A349" s="3">
        <v>348</v>
      </c>
      <c r="B349" s="3">
        <v>0.28999999999999998</v>
      </c>
      <c r="C349" s="3">
        <v>0.45</v>
      </c>
      <c r="D349" s="3">
        <v>0.28000000000000003</v>
      </c>
      <c r="E349" s="3">
        <v>5</v>
      </c>
      <c r="F349" s="3">
        <v>39</v>
      </c>
      <c r="G349" s="3">
        <v>44</v>
      </c>
    </row>
    <row r="350" spans="1:7">
      <c r="A350" s="3">
        <v>349</v>
      </c>
      <c r="B350" s="3">
        <v>0.3</v>
      </c>
      <c r="C350" s="3">
        <v>0.56000000000000005</v>
      </c>
      <c r="D350" s="3">
        <v>0</v>
      </c>
      <c r="E350" s="3">
        <v>6</v>
      </c>
      <c r="F350" s="3">
        <v>33</v>
      </c>
      <c r="G350" s="3">
        <v>39</v>
      </c>
    </row>
    <row r="351" spans="1:7">
      <c r="A351" s="3">
        <v>350</v>
      </c>
      <c r="B351" s="3">
        <v>0.27</v>
      </c>
      <c r="C351" s="3">
        <v>0.56000000000000005</v>
      </c>
      <c r="D351" s="3">
        <v>0.13</v>
      </c>
      <c r="E351" s="3">
        <v>4</v>
      </c>
      <c r="F351" s="3">
        <v>19</v>
      </c>
      <c r="G351" s="3">
        <v>23</v>
      </c>
    </row>
    <row r="352" spans="1:7">
      <c r="A352" s="3">
        <v>351</v>
      </c>
      <c r="B352" s="3">
        <v>0.28999999999999998</v>
      </c>
      <c r="C352" s="3">
        <v>0.56000000000000005</v>
      </c>
      <c r="D352" s="3">
        <v>0.09</v>
      </c>
      <c r="E352" s="3">
        <v>3</v>
      </c>
      <c r="F352" s="3">
        <v>13</v>
      </c>
      <c r="G352" s="3">
        <v>16</v>
      </c>
    </row>
    <row r="353" spans="1:7">
      <c r="A353" s="3">
        <v>352</v>
      </c>
      <c r="B353" s="3">
        <v>0.27</v>
      </c>
      <c r="C353" s="3">
        <v>0.69</v>
      </c>
      <c r="D353" s="3">
        <v>0</v>
      </c>
      <c r="E353" s="3">
        <v>9</v>
      </c>
      <c r="F353" s="3">
        <v>6</v>
      </c>
      <c r="G353" s="3">
        <v>15</v>
      </c>
    </row>
    <row r="354" spans="1:7">
      <c r="A354" s="3">
        <v>353</v>
      </c>
      <c r="B354" s="3">
        <v>0.26</v>
      </c>
      <c r="C354" s="3">
        <v>0.56000000000000005</v>
      </c>
      <c r="D354" s="3">
        <v>0.16</v>
      </c>
      <c r="E354" s="3">
        <v>0</v>
      </c>
      <c r="F354" s="3">
        <v>1</v>
      </c>
      <c r="G354" s="3">
        <v>1</v>
      </c>
    </row>
    <row r="355" spans="1:7">
      <c r="A355" s="3">
        <v>354</v>
      </c>
      <c r="B355" s="3">
        <v>0.26</v>
      </c>
      <c r="C355" s="3">
        <v>0.56000000000000005</v>
      </c>
      <c r="D355" s="3">
        <v>0.16</v>
      </c>
      <c r="E355" s="3">
        <v>1</v>
      </c>
      <c r="F355" s="3">
        <v>1</v>
      </c>
      <c r="G355" s="3">
        <v>2</v>
      </c>
    </row>
    <row r="356" spans="1:7">
      <c r="A356" s="3">
        <v>355</v>
      </c>
      <c r="B356" s="3">
        <v>0.26</v>
      </c>
      <c r="C356" s="3">
        <v>0.56000000000000005</v>
      </c>
      <c r="D356" s="3">
        <v>0.16</v>
      </c>
      <c r="E356" s="3">
        <v>0</v>
      </c>
      <c r="F356" s="3">
        <v>1</v>
      </c>
      <c r="G356" s="3">
        <v>1</v>
      </c>
    </row>
    <row r="357" spans="1:7">
      <c r="A357" s="3">
        <v>356</v>
      </c>
      <c r="B357" s="3">
        <v>0.21</v>
      </c>
      <c r="C357" s="3">
        <v>0.56000000000000005</v>
      </c>
      <c r="D357" s="3">
        <v>0.3</v>
      </c>
      <c r="E357" s="3">
        <v>0</v>
      </c>
      <c r="F357" s="3">
        <v>3</v>
      </c>
      <c r="G357" s="3">
        <v>3</v>
      </c>
    </row>
    <row r="358" spans="1:7">
      <c r="A358" s="3">
        <v>357</v>
      </c>
      <c r="B358" s="3">
        <v>0.21</v>
      </c>
      <c r="C358" s="3">
        <v>0.55000000000000004</v>
      </c>
      <c r="D358" s="3">
        <v>0.28000000000000003</v>
      </c>
      <c r="E358" s="3">
        <v>0</v>
      </c>
      <c r="F358" s="3">
        <v>18</v>
      </c>
      <c r="G358" s="3">
        <v>18</v>
      </c>
    </row>
    <row r="359" spans="1:7">
      <c r="A359" s="3">
        <v>358</v>
      </c>
      <c r="B359" s="3">
        <v>0.21</v>
      </c>
      <c r="C359" s="3">
        <v>0.51</v>
      </c>
      <c r="D359" s="3">
        <v>0.25</v>
      </c>
      <c r="E359" s="3">
        <v>3</v>
      </c>
      <c r="F359" s="3">
        <v>29</v>
      </c>
      <c r="G359" s="3">
        <v>32</v>
      </c>
    </row>
    <row r="360" spans="1:7">
      <c r="A360" s="3">
        <v>359</v>
      </c>
      <c r="B360" s="3">
        <v>0.21</v>
      </c>
      <c r="C360" s="3">
        <v>0.51</v>
      </c>
      <c r="D360" s="3">
        <v>0.28000000000000003</v>
      </c>
      <c r="E360" s="3">
        <v>8</v>
      </c>
      <c r="F360" s="3">
        <v>71</v>
      </c>
      <c r="G360" s="3">
        <v>79</v>
      </c>
    </row>
    <row r="361" spans="1:7">
      <c r="A361" s="3">
        <v>360</v>
      </c>
      <c r="B361" s="3">
        <v>0.23</v>
      </c>
      <c r="C361" s="3">
        <v>0.44</v>
      </c>
      <c r="D361" s="3">
        <v>0.25</v>
      </c>
      <c r="E361" s="3">
        <v>23</v>
      </c>
      <c r="F361" s="3">
        <v>70</v>
      </c>
      <c r="G361" s="3">
        <v>93</v>
      </c>
    </row>
    <row r="362" spans="1:7">
      <c r="A362" s="3">
        <v>361</v>
      </c>
      <c r="B362" s="3">
        <v>0.21</v>
      </c>
      <c r="C362" s="3">
        <v>0.41</v>
      </c>
      <c r="D362" s="3">
        <v>0.28000000000000003</v>
      </c>
      <c r="E362" s="3">
        <v>29</v>
      </c>
      <c r="F362" s="3">
        <v>75</v>
      </c>
      <c r="G362" s="3">
        <v>104</v>
      </c>
    </row>
    <row r="363" spans="1:7">
      <c r="A363" s="3">
        <v>362</v>
      </c>
      <c r="B363" s="3">
        <v>0.23</v>
      </c>
      <c r="C363" s="3">
        <v>0.35</v>
      </c>
      <c r="D363" s="3">
        <v>0.3</v>
      </c>
      <c r="E363" s="3">
        <v>23</v>
      </c>
      <c r="F363" s="3">
        <v>95</v>
      </c>
      <c r="G363" s="3">
        <v>118</v>
      </c>
    </row>
    <row r="364" spans="1:7">
      <c r="A364" s="3">
        <v>363</v>
      </c>
      <c r="B364" s="3">
        <v>0.27</v>
      </c>
      <c r="C364" s="3">
        <v>0.36</v>
      </c>
      <c r="D364" s="3">
        <v>0.25</v>
      </c>
      <c r="E364" s="3">
        <v>22</v>
      </c>
      <c r="F364" s="3">
        <v>69</v>
      </c>
      <c r="G364" s="3">
        <v>91</v>
      </c>
    </row>
    <row r="365" spans="1:7">
      <c r="A365" s="3">
        <v>364</v>
      </c>
      <c r="B365" s="3">
        <v>0.24</v>
      </c>
      <c r="C365" s="3">
        <v>0.38</v>
      </c>
      <c r="D365" s="3">
        <v>0.25</v>
      </c>
      <c r="E365" s="3">
        <v>35</v>
      </c>
      <c r="F365" s="3">
        <v>78</v>
      </c>
      <c r="G365" s="3">
        <v>113</v>
      </c>
    </row>
    <row r="366" spans="1:7">
      <c r="A366" s="3">
        <v>365</v>
      </c>
      <c r="B366" s="3">
        <v>0.23</v>
      </c>
      <c r="C366" s="3">
        <v>0.38</v>
      </c>
      <c r="D366" s="3">
        <v>0.22</v>
      </c>
      <c r="E366" s="3">
        <v>22</v>
      </c>
      <c r="F366" s="3">
        <v>77</v>
      </c>
      <c r="G366" s="3">
        <v>99</v>
      </c>
    </row>
    <row r="367" spans="1:7">
      <c r="A367" s="3">
        <v>366</v>
      </c>
      <c r="B367" s="3">
        <v>0.21</v>
      </c>
      <c r="C367" s="3">
        <v>0.37</v>
      </c>
      <c r="D367" s="3">
        <v>0.25</v>
      </c>
      <c r="E367" s="3">
        <v>23</v>
      </c>
      <c r="F367" s="3">
        <v>82</v>
      </c>
      <c r="G367" s="3">
        <v>105</v>
      </c>
    </row>
    <row r="368" spans="1:7">
      <c r="A368" s="3">
        <v>367</v>
      </c>
      <c r="B368" s="3">
        <v>0.21</v>
      </c>
      <c r="C368" s="3">
        <v>0.4</v>
      </c>
      <c r="D368" s="3">
        <v>0.16</v>
      </c>
      <c r="E368" s="3">
        <v>11</v>
      </c>
      <c r="F368" s="3">
        <v>56</v>
      </c>
      <c r="G368" s="3">
        <v>67</v>
      </c>
    </row>
    <row r="369" spans="1:7">
      <c r="A369" s="3">
        <v>368</v>
      </c>
      <c r="B369" s="3">
        <v>0.2</v>
      </c>
      <c r="C369" s="3">
        <v>0.47</v>
      </c>
      <c r="D369" s="3">
        <v>0.13</v>
      </c>
      <c r="E369" s="3">
        <v>14</v>
      </c>
      <c r="F369" s="3">
        <v>47</v>
      </c>
      <c r="G369" s="3">
        <v>61</v>
      </c>
    </row>
    <row r="370" spans="1:7">
      <c r="A370" s="3">
        <v>369</v>
      </c>
      <c r="B370" s="3">
        <v>0.2</v>
      </c>
      <c r="C370" s="3">
        <v>0.47</v>
      </c>
      <c r="D370" s="3">
        <v>0.16</v>
      </c>
      <c r="E370" s="3">
        <v>7</v>
      </c>
      <c r="F370" s="3">
        <v>50</v>
      </c>
      <c r="G370" s="3">
        <v>57</v>
      </c>
    </row>
    <row r="371" spans="1:7">
      <c r="A371" s="3">
        <v>370</v>
      </c>
      <c r="B371" s="3">
        <v>0.2</v>
      </c>
      <c r="C371" s="3">
        <v>0.51</v>
      </c>
      <c r="D371" s="3">
        <v>0.16</v>
      </c>
      <c r="E371" s="3">
        <v>6</v>
      </c>
      <c r="F371" s="3">
        <v>22</v>
      </c>
      <c r="G371" s="3">
        <v>28</v>
      </c>
    </row>
    <row r="372" spans="1:7">
      <c r="A372" s="3">
        <v>371</v>
      </c>
      <c r="B372" s="3">
        <v>0.21</v>
      </c>
      <c r="C372" s="3">
        <v>0.49</v>
      </c>
      <c r="D372" s="3">
        <v>0.13</v>
      </c>
      <c r="E372" s="3">
        <v>2</v>
      </c>
      <c r="F372" s="3">
        <v>19</v>
      </c>
      <c r="G372" s="3">
        <v>21</v>
      </c>
    </row>
    <row r="373" spans="1:7">
      <c r="A373" s="3">
        <v>372</v>
      </c>
      <c r="B373" s="3">
        <v>0.23</v>
      </c>
      <c r="C373" s="3">
        <v>0.4</v>
      </c>
      <c r="D373" s="3">
        <v>0.1</v>
      </c>
      <c r="E373" s="3">
        <v>0</v>
      </c>
      <c r="F373" s="3">
        <v>18</v>
      </c>
      <c r="G373" s="3">
        <v>18</v>
      </c>
    </row>
    <row r="374" spans="1:7">
      <c r="A374" s="3">
        <v>373</v>
      </c>
      <c r="B374" s="3">
        <v>0.2</v>
      </c>
      <c r="C374" s="3">
        <v>0.47</v>
      </c>
      <c r="D374" s="3">
        <v>0.22</v>
      </c>
      <c r="E374" s="3">
        <v>1</v>
      </c>
      <c r="F374" s="3">
        <v>16</v>
      </c>
      <c r="G374" s="3">
        <v>17</v>
      </c>
    </row>
    <row r="375" spans="1:7">
      <c r="A375" s="3">
        <v>374</v>
      </c>
      <c r="B375" s="3">
        <v>0.2</v>
      </c>
      <c r="C375" s="3">
        <v>0.44</v>
      </c>
      <c r="D375" s="3">
        <v>0.19</v>
      </c>
      <c r="E375" s="3">
        <v>1</v>
      </c>
      <c r="F375" s="3">
        <v>15</v>
      </c>
      <c r="G375" s="3">
        <v>16</v>
      </c>
    </row>
    <row r="376" spans="1:7">
      <c r="A376" s="3">
        <v>375</v>
      </c>
      <c r="B376" s="3">
        <v>0.17</v>
      </c>
      <c r="C376" s="3">
        <v>0.43</v>
      </c>
      <c r="D376" s="3">
        <v>0.25</v>
      </c>
      <c r="E376" s="3">
        <v>0</v>
      </c>
      <c r="F376" s="3">
        <v>8</v>
      </c>
      <c r="G376" s="3">
        <v>8</v>
      </c>
    </row>
    <row r="377" spans="1:7">
      <c r="A377" s="3">
        <v>376</v>
      </c>
      <c r="B377" s="3">
        <v>0.18</v>
      </c>
      <c r="C377" s="3">
        <v>0.43</v>
      </c>
      <c r="D377" s="3">
        <v>0.19</v>
      </c>
      <c r="E377" s="3">
        <v>0</v>
      </c>
      <c r="F377" s="3">
        <v>2</v>
      </c>
      <c r="G377" s="3">
        <v>2</v>
      </c>
    </row>
    <row r="378" spans="1:7">
      <c r="A378" s="3">
        <v>377</v>
      </c>
      <c r="B378" s="3">
        <v>0.2</v>
      </c>
      <c r="C378" s="3">
        <v>0.43</v>
      </c>
      <c r="D378" s="3">
        <v>0.13</v>
      </c>
      <c r="E378" s="3">
        <v>1</v>
      </c>
      <c r="F378" s="3">
        <v>2</v>
      </c>
      <c r="G378" s="3">
        <v>3</v>
      </c>
    </row>
    <row r="379" spans="1:7">
      <c r="A379" s="3">
        <v>378</v>
      </c>
      <c r="B379" s="3">
        <v>0.2</v>
      </c>
      <c r="C379" s="3">
        <v>0.43</v>
      </c>
      <c r="D379" s="3">
        <v>0.16</v>
      </c>
      <c r="E379" s="3">
        <v>0</v>
      </c>
      <c r="F379" s="3">
        <v>1</v>
      </c>
      <c r="G379" s="3">
        <v>1</v>
      </c>
    </row>
    <row r="380" spans="1:7">
      <c r="A380" s="3">
        <v>379</v>
      </c>
      <c r="B380" s="3">
        <v>0.18</v>
      </c>
      <c r="C380" s="3">
        <v>0.43</v>
      </c>
      <c r="D380" s="3">
        <v>0.19</v>
      </c>
      <c r="E380" s="3">
        <v>0</v>
      </c>
      <c r="F380" s="3">
        <v>5</v>
      </c>
      <c r="G380" s="3">
        <v>5</v>
      </c>
    </row>
    <row r="381" spans="1:7">
      <c r="A381" s="3">
        <v>380</v>
      </c>
      <c r="B381" s="3">
        <v>0.18</v>
      </c>
      <c r="C381" s="3">
        <v>0.5</v>
      </c>
      <c r="D381" s="3">
        <v>0.13</v>
      </c>
      <c r="E381" s="3">
        <v>4</v>
      </c>
      <c r="F381" s="3">
        <v>9</v>
      </c>
      <c r="G381" s="3">
        <v>13</v>
      </c>
    </row>
    <row r="382" spans="1:7">
      <c r="A382" s="3">
        <v>381</v>
      </c>
      <c r="B382" s="3">
        <v>0.15</v>
      </c>
      <c r="C382" s="3">
        <v>0.47</v>
      </c>
      <c r="D382" s="3">
        <v>0.22</v>
      </c>
      <c r="E382" s="3">
        <v>3</v>
      </c>
      <c r="F382" s="3">
        <v>30</v>
      </c>
      <c r="G382" s="3">
        <v>33</v>
      </c>
    </row>
    <row r="383" spans="1:7">
      <c r="A383" s="3">
        <v>382</v>
      </c>
      <c r="B383" s="3">
        <v>0.15</v>
      </c>
      <c r="C383" s="3">
        <v>0.47</v>
      </c>
      <c r="D383" s="3">
        <v>0.22</v>
      </c>
      <c r="E383" s="3">
        <v>8</v>
      </c>
      <c r="F383" s="3">
        <v>39</v>
      </c>
      <c r="G383" s="3">
        <v>47</v>
      </c>
    </row>
    <row r="384" spans="1:7">
      <c r="A384" s="3">
        <v>383</v>
      </c>
      <c r="B384" s="3">
        <v>0.15</v>
      </c>
      <c r="C384" s="3">
        <v>0.5</v>
      </c>
      <c r="D384" s="3">
        <v>0.25</v>
      </c>
      <c r="E384" s="3">
        <v>7</v>
      </c>
      <c r="F384" s="3">
        <v>50</v>
      </c>
      <c r="G384" s="3">
        <v>57</v>
      </c>
    </row>
    <row r="385" spans="1:7">
      <c r="A385" s="3">
        <v>384</v>
      </c>
      <c r="B385" s="3">
        <v>0.15</v>
      </c>
      <c r="C385" s="3">
        <v>0.55000000000000004</v>
      </c>
      <c r="D385" s="3">
        <v>0.19</v>
      </c>
      <c r="E385" s="3">
        <v>9</v>
      </c>
      <c r="F385" s="3">
        <v>55</v>
      </c>
      <c r="G385" s="3">
        <v>64</v>
      </c>
    </row>
    <row r="386" spans="1:7">
      <c r="A386" s="3">
        <v>385</v>
      </c>
      <c r="B386" s="3">
        <v>0.2</v>
      </c>
      <c r="C386" s="3">
        <v>0.47</v>
      </c>
      <c r="D386" s="3">
        <v>0.13</v>
      </c>
      <c r="E386" s="3">
        <v>10</v>
      </c>
      <c r="F386" s="3">
        <v>70</v>
      </c>
      <c r="G386" s="3">
        <v>80</v>
      </c>
    </row>
    <row r="387" spans="1:7">
      <c r="A387" s="3">
        <v>386</v>
      </c>
      <c r="B387" s="3">
        <v>0.2</v>
      </c>
      <c r="C387" s="3">
        <v>0.47</v>
      </c>
      <c r="D387" s="3">
        <v>0.13</v>
      </c>
      <c r="E387" s="3">
        <v>13</v>
      </c>
      <c r="F387" s="3">
        <v>80</v>
      </c>
      <c r="G387" s="3">
        <v>93</v>
      </c>
    </row>
    <row r="388" spans="1:7">
      <c r="A388" s="3">
        <v>387</v>
      </c>
      <c r="B388" s="3">
        <v>0.21</v>
      </c>
      <c r="C388" s="3">
        <v>0.43</v>
      </c>
      <c r="D388" s="3">
        <v>0.1</v>
      </c>
      <c r="E388" s="3">
        <v>12</v>
      </c>
      <c r="F388" s="3">
        <v>74</v>
      </c>
      <c r="G388" s="3">
        <v>86</v>
      </c>
    </row>
    <row r="389" spans="1:7">
      <c r="A389" s="3">
        <v>388</v>
      </c>
      <c r="B389" s="3">
        <v>0.21</v>
      </c>
      <c r="C389" s="3">
        <v>0.47</v>
      </c>
      <c r="D389" s="3">
        <v>0.16</v>
      </c>
      <c r="E389" s="3">
        <v>21</v>
      </c>
      <c r="F389" s="3">
        <v>72</v>
      </c>
      <c r="G389" s="3">
        <v>93</v>
      </c>
    </row>
    <row r="390" spans="1:7">
      <c r="A390" s="3">
        <v>389</v>
      </c>
      <c r="B390" s="3">
        <v>0.21</v>
      </c>
      <c r="C390" s="3">
        <v>0.47</v>
      </c>
      <c r="D390" s="3">
        <v>0.16</v>
      </c>
      <c r="E390" s="3">
        <v>6</v>
      </c>
      <c r="F390" s="3">
        <v>76</v>
      </c>
      <c r="G390" s="3">
        <v>82</v>
      </c>
    </row>
    <row r="391" spans="1:7">
      <c r="A391" s="3">
        <v>390</v>
      </c>
      <c r="B391" s="3">
        <v>0.2</v>
      </c>
      <c r="C391" s="3">
        <v>0.51</v>
      </c>
      <c r="D391" s="3">
        <v>0.19</v>
      </c>
      <c r="E391" s="3">
        <v>4</v>
      </c>
      <c r="F391" s="3">
        <v>67</v>
      </c>
      <c r="G391" s="3">
        <v>71</v>
      </c>
    </row>
    <row r="392" spans="1:7">
      <c r="A392" s="3">
        <v>391</v>
      </c>
      <c r="B392" s="3">
        <v>0.17</v>
      </c>
      <c r="C392" s="3">
        <v>0.55000000000000004</v>
      </c>
      <c r="D392" s="3">
        <v>0.25</v>
      </c>
      <c r="E392" s="3">
        <v>7</v>
      </c>
      <c r="F392" s="3">
        <v>85</v>
      </c>
      <c r="G392" s="3">
        <v>92</v>
      </c>
    </row>
    <row r="393" spans="1:7">
      <c r="A393" s="3">
        <v>392</v>
      </c>
      <c r="B393" s="3">
        <v>0.18</v>
      </c>
      <c r="C393" s="3">
        <v>0.59</v>
      </c>
      <c r="D393" s="3">
        <v>0.19</v>
      </c>
      <c r="E393" s="3">
        <v>2</v>
      </c>
      <c r="F393" s="3">
        <v>58</v>
      </c>
      <c r="G393" s="3">
        <v>60</v>
      </c>
    </row>
    <row r="394" spans="1:7">
      <c r="A394" s="3">
        <v>393</v>
      </c>
      <c r="B394" s="3">
        <v>0.15</v>
      </c>
      <c r="C394" s="3">
        <v>0.8</v>
      </c>
      <c r="D394" s="3">
        <v>0.19</v>
      </c>
      <c r="E394" s="3">
        <v>4</v>
      </c>
      <c r="F394" s="3">
        <v>29</v>
      </c>
      <c r="G394" s="3">
        <v>33</v>
      </c>
    </row>
    <row r="395" spans="1:7">
      <c r="A395" s="3">
        <v>394</v>
      </c>
      <c r="B395" s="3">
        <v>0.15</v>
      </c>
      <c r="C395" s="3">
        <v>0.8</v>
      </c>
      <c r="D395" s="3">
        <v>0.19</v>
      </c>
      <c r="E395" s="3">
        <v>3</v>
      </c>
      <c r="F395" s="3">
        <v>24</v>
      </c>
      <c r="G395" s="3">
        <v>27</v>
      </c>
    </row>
    <row r="396" spans="1:7">
      <c r="A396" s="3">
        <v>395</v>
      </c>
      <c r="B396" s="3">
        <v>0.12</v>
      </c>
      <c r="C396" s="3">
        <v>0.93</v>
      </c>
      <c r="D396" s="3">
        <v>0.25</v>
      </c>
      <c r="E396" s="3">
        <v>0</v>
      </c>
      <c r="F396" s="3">
        <v>13</v>
      </c>
      <c r="G396" s="3">
        <v>13</v>
      </c>
    </row>
    <row r="397" spans="1:7">
      <c r="A397" s="3">
        <v>396</v>
      </c>
      <c r="B397" s="3">
        <v>0.14000000000000001</v>
      </c>
      <c r="C397" s="3">
        <v>0.86</v>
      </c>
      <c r="D397" s="3">
        <v>0.28000000000000003</v>
      </c>
      <c r="E397" s="3">
        <v>1</v>
      </c>
      <c r="F397" s="3">
        <v>3</v>
      </c>
      <c r="G397" s="3">
        <v>4</v>
      </c>
    </row>
    <row r="398" spans="1:7">
      <c r="A398" s="3">
        <v>397</v>
      </c>
      <c r="B398" s="3">
        <v>0.18</v>
      </c>
      <c r="C398" s="3">
        <v>0.86</v>
      </c>
      <c r="D398" s="3">
        <v>0.33</v>
      </c>
      <c r="E398" s="3">
        <v>0</v>
      </c>
      <c r="F398" s="3">
        <v>3</v>
      </c>
      <c r="G398" s="3">
        <v>3</v>
      </c>
    </row>
    <row r="399" spans="1:7">
      <c r="A399" s="3">
        <v>398</v>
      </c>
      <c r="B399" s="3">
        <v>0.2</v>
      </c>
      <c r="C399" s="3">
        <v>0.86</v>
      </c>
      <c r="D399" s="3">
        <v>0.22</v>
      </c>
      <c r="E399" s="3">
        <v>0</v>
      </c>
      <c r="F399" s="3">
        <v>22</v>
      </c>
      <c r="G399" s="3">
        <v>22</v>
      </c>
    </row>
    <row r="400" spans="1:7">
      <c r="A400" s="3">
        <v>399</v>
      </c>
      <c r="B400" s="3">
        <v>0.23</v>
      </c>
      <c r="C400" s="3">
        <v>0.8</v>
      </c>
      <c r="D400" s="3">
        <v>0.16</v>
      </c>
      <c r="E400" s="3">
        <v>2</v>
      </c>
      <c r="F400" s="3">
        <v>26</v>
      </c>
      <c r="G400" s="3">
        <v>28</v>
      </c>
    </row>
    <row r="401" spans="1:7">
      <c r="A401" s="3">
        <v>400</v>
      </c>
      <c r="B401" s="3">
        <v>0.23</v>
      </c>
      <c r="C401" s="3">
        <v>0.87</v>
      </c>
      <c r="D401" s="3">
        <v>0.16</v>
      </c>
      <c r="E401" s="3">
        <v>3</v>
      </c>
      <c r="F401" s="3">
        <v>32</v>
      </c>
      <c r="G401" s="3">
        <v>35</v>
      </c>
    </row>
    <row r="402" spans="1:7">
      <c r="A402" s="3">
        <v>401</v>
      </c>
      <c r="B402" s="3">
        <v>0.23</v>
      </c>
      <c r="C402" s="3">
        <v>0.87</v>
      </c>
      <c r="D402" s="3">
        <v>0.19</v>
      </c>
      <c r="E402" s="3">
        <v>0</v>
      </c>
      <c r="F402" s="3">
        <v>61</v>
      </c>
      <c r="G402" s="3">
        <v>61</v>
      </c>
    </row>
    <row r="403" spans="1:7">
      <c r="A403" s="3">
        <v>402</v>
      </c>
      <c r="B403" s="3">
        <v>0.23</v>
      </c>
      <c r="C403" s="3">
        <v>0.82</v>
      </c>
      <c r="D403" s="3">
        <v>0.19</v>
      </c>
      <c r="E403" s="3">
        <v>1</v>
      </c>
      <c r="F403" s="3">
        <v>124</v>
      </c>
      <c r="G403" s="3">
        <v>125</v>
      </c>
    </row>
    <row r="404" spans="1:7">
      <c r="A404" s="3">
        <v>403</v>
      </c>
      <c r="B404" s="3">
        <v>0.23</v>
      </c>
      <c r="C404" s="3">
        <v>0.8</v>
      </c>
      <c r="D404" s="3">
        <v>0.16</v>
      </c>
      <c r="E404" s="3">
        <v>1</v>
      </c>
      <c r="F404" s="3">
        <v>132</v>
      </c>
      <c r="G404" s="3">
        <v>133</v>
      </c>
    </row>
    <row r="405" spans="1:7">
      <c r="A405" s="3">
        <v>404</v>
      </c>
      <c r="B405" s="3">
        <v>0.23</v>
      </c>
      <c r="C405" s="3">
        <v>0.8</v>
      </c>
      <c r="D405" s="3">
        <v>0.13</v>
      </c>
      <c r="E405" s="3">
        <v>1</v>
      </c>
      <c r="F405" s="3">
        <v>98</v>
      </c>
      <c r="G405" s="3">
        <v>99</v>
      </c>
    </row>
    <row r="406" spans="1:7">
      <c r="A406" s="3">
        <v>405</v>
      </c>
      <c r="B406" s="3">
        <v>0.27</v>
      </c>
      <c r="C406" s="3">
        <v>0.87</v>
      </c>
      <c r="D406" s="3">
        <v>0</v>
      </c>
      <c r="E406" s="3">
        <v>0</v>
      </c>
      <c r="F406" s="3">
        <v>83</v>
      </c>
      <c r="G406" s="3">
        <v>83</v>
      </c>
    </row>
    <row r="407" spans="1:7">
      <c r="A407" s="3">
        <v>406</v>
      </c>
      <c r="B407" s="3">
        <v>0.24</v>
      </c>
      <c r="C407" s="3">
        <v>0.93</v>
      </c>
      <c r="D407" s="3">
        <v>0.1</v>
      </c>
      <c r="E407" s="3">
        <v>0</v>
      </c>
      <c r="F407" s="3">
        <v>41</v>
      </c>
      <c r="G407" s="3">
        <v>41</v>
      </c>
    </row>
    <row r="408" spans="1:7">
      <c r="A408" s="3">
        <v>407</v>
      </c>
      <c r="B408" s="3">
        <v>0.26</v>
      </c>
      <c r="C408" s="3">
        <v>0.93</v>
      </c>
      <c r="D408" s="3">
        <v>0.09</v>
      </c>
      <c r="E408" s="3">
        <v>0</v>
      </c>
      <c r="F408" s="3">
        <v>33</v>
      </c>
      <c r="G408" s="3">
        <v>33</v>
      </c>
    </row>
    <row r="409" spans="1:7">
      <c r="A409" s="3">
        <v>408</v>
      </c>
      <c r="B409" s="3">
        <v>0.27</v>
      </c>
      <c r="C409" s="3">
        <v>0.93</v>
      </c>
      <c r="D409" s="3">
        <v>0</v>
      </c>
      <c r="E409" s="3">
        <v>1</v>
      </c>
      <c r="F409" s="3">
        <v>19</v>
      </c>
      <c r="G409" s="3">
        <v>20</v>
      </c>
    </row>
    <row r="410" spans="1:7">
      <c r="A410" s="3">
        <v>409</v>
      </c>
      <c r="B410" s="3">
        <v>0.27</v>
      </c>
      <c r="C410" s="3">
        <v>0.93</v>
      </c>
      <c r="D410" s="3">
        <v>0</v>
      </c>
      <c r="E410" s="3">
        <v>0</v>
      </c>
      <c r="F410" s="3">
        <v>3</v>
      </c>
      <c r="G410" s="3">
        <v>3</v>
      </c>
    </row>
    <row r="411" spans="1:7">
      <c r="A411" s="3">
        <v>410</v>
      </c>
      <c r="B411" s="3">
        <v>0.23</v>
      </c>
      <c r="C411" s="3">
        <v>0.93</v>
      </c>
      <c r="D411" s="3">
        <v>0.13</v>
      </c>
      <c r="E411" s="3">
        <v>1</v>
      </c>
      <c r="F411" s="3">
        <v>6</v>
      </c>
      <c r="G411" s="3">
        <v>7</v>
      </c>
    </row>
    <row r="412" spans="1:7">
      <c r="A412" s="3">
        <v>411</v>
      </c>
      <c r="B412" s="3">
        <v>0.23</v>
      </c>
      <c r="C412" s="3">
        <v>0.93</v>
      </c>
      <c r="D412" s="3">
        <v>0.13</v>
      </c>
      <c r="E412" s="3">
        <v>0</v>
      </c>
      <c r="F412" s="3">
        <v>3</v>
      </c>
      <c r="G412" s="3">
        <v>3</v>
      </c>
    </row>
    <row r="413" spans="1:7">
      <c r="A413" s="3">
        <v>412</v>
      </c>
      <c r="B413" s="3">
        <v>0.23</v>
      </c>
      <c r="C413" s="3">
        <v>0.93</v>
      </c>
      <c r="D413" s="3">
        <v>0.13</v>
      </c>
      <c r="E413" s="3">
        <v>1</v>
      </c>
      <c r="F413" s="3">
        <v>1</v>
      </c>
      <c r="G413" s="3">
        <v>2</v>
      </c>
    </row>
    <row r="414" spans="1:7">
      <c r="A414" s="3">
        <v>413</v>
      </c>
      <c r="B414" s="3">
        <v>0.26</v>
      </c>
      <c r="C414" s="3">
        <v>0.93</v>
      </c>
      <c r="D414" s="3">
        <v>0.09</v>
      </c>
      <c r="E414" s="3">
        <v>0</v>
      </c>
      <c r="F414" s="3">
        <v>7</v>
      </c>
      <c r="G414" s="3">
        <v>7</v>
      </c>
    </row>
    <row r="415" spans="1:7">
      <c r="A415" s="3">
        <v>414</v>
      </c>
      <c r="B415" s="3">
        <v>0.26</v>
      </c>
      <c r="C415" s="3">
        <v>0.93</v>
      </c>
      <c r="D415" s="3">
        <v>0.09</v>
      </c>
      <c r="E415" s="3">
        <v>0</v>
      </c>
      <c r="F415" s="3">
        <v>32</v>
      </c>
      <c r="G415" s="3">
        <v>32</v>
      </c>
    </row>
    <row r="416" spans="1:7">
      <c r="A416" s="3">
        <v>415</v>
      </c>
      <c r="B416" s="3">
        <v>0.26</v>
      </c>
      <c r="C416" s="3">
        <v>0.92</v>
      </c>
      <c r="D416" s="3">
        <v>0.1</v>
      </c>
      <c r="E416" s="3">
        <v>1</v>
      </c>
      <c r="F416" s="3">
        <v>89</v>
      </c>
      <c r="G416" s="3">
        <v>90</v>
      </c>
    </row>
    <row r="417" spans="1:7">
      <c r="A417" s="3">
        <v>416</v>
      </c>
      <c r="B417" s="3">
        <v>0.26</v>
      </c>
      <c r="C417" s="3">
        <v>0.93</v>
      </c>
      <c r="D417" s="3">
        <v>0.1</v>
      </c>
      <c r="E417" s="3">
        <v>1</v>
      </c>
      <c r="F417" s="3">
        <v>196</v>
      </c>
      <c r="G417" s="3">
        <v>197</v>
      </c>
    </row>
    <row r="418" spans="1:7">
      <c r="A418" s="3">
        <v>417</v>
      </c>
      <c r="B418" s="3">
        <v>0.26</v>
      </c>
      <c r="C418" s="3">
        <v>0.93</v>
      </c>
      <c r="D418" s="3">
        <v>0.1</v>
      </c>
      <c r="E418" s="3">
        <v>2</v>
      </c>
      <c r="F418" s="3">
        <v>107</v>
      </c>
      <c r="G418" s="3">
        <v>109</v>
      </c>
    </row>
    <row r="419" spans="1:7">
      <c r="A419" s="3">
        <v>418</v>
      </c>
      <c r="B419" s="3">
        <v>0.27</v>
      </c>
      <c r="C419" s="3">
        <v>0.93</v>
      </c>
      <c r="D419" s="3">
        <v>0.13</v>
      </c>
      <c r="E419" s="3">
        <v>1</v>
      </c>
      <c r="F419" s="3">
        <v>46</v>
      </c>
      <c r="G419" s="3">
        <v>47</v>
      </c>
    </row>
    <row r="420" spans="1:7">
      <c r="A420" s="3">
        <v>419</v>
      </c>
      <c r="B420" s="3">
        <v>0.3</v>
      </c>
      <c r="C420" s="3">
        <v>0.87</v>
      </c>
      <c r="D420" s="3">
        <v>0.09</v>
      </c>
      <c r="E420" s="3">
        <v>5</v>
      </c>
      <c r="F420" s="3">
        <v>47</v>
      </c>
      <c r="G420" s="3">
        <v>52</v>
      </c>
    </row>
    <row r="421" spans="1:7">
      <c r="A421" s="3">
        <v>420</v>
      </c>
      <c r="B421" s="3">
        <v>0.32</v>
      </c>
      <c r="C421" s="3">
        <v>0.81</v>
      </c>
      <c r="D421" s="3">
        <v>0.09</v>
      </c>
      <c r="E421" s="3">
        <v>5</v>
      </c>
      <c r="F421" s="3">
        <v>65</v>
      </c>
      <c r="G421" s="3">
        <v>70</v>
      </c>
    </row>
    <row r="422" spans="1:7">
      <c r="A422" s="3">
        <v>421</v>
      </c>
      <c r="B422" s="3">
        <v>0.41</v>
      </c>
      <c r="C422" s="3">
        <v>0.62</v>
      </c>
      <c r="D422" s="3">
        <v>0.28000000000000003</v>
      </c>
      <c r="E422" s="3">
        <v>11</v>
      </c>
      <c r="F422" s="3">
        <v>67</v>
      </c>
      <c r="G422" s="3">
        <v>78</v>
      </c>
    </row>
    <row r="423" spans="1:7">
      <c r="A423" s="3">
        <v>422</v>
      </c>
      <c r="B423" s="3">
        <v>0.41</v>
      </c>
      <c r="C423" s="3">
        <v>0.57999999999999996</v>
      </c>
      <c r="D423" s="3">
        <v>0.25</v>
      </c>
      <c r="E423" s="3">
        <v>7</v>
      </c>
      <c r="F423" s="3">
        <v>68</v>
      </c>
      <c r="G423" s="3">
        <v>75</v>
      </c>
    </row>
    <row r="424" spans="1:7">
      <c r="A424" s="3">
        <v>423</v>
      </c>
      <c r="B424" s="3">
        <v>0.41</v>
      </c>
      <c r="C424" s="3">
        <v>0.54</v>
      </c>
      <c r="D424" s="3">
        <v>0.28000000000000003</v>
      </c>
      <c r="E424" s="3">
        <v>4</v>
      </c>
      <c r="F424" s="3">
        <v>78</v>
      </c>
      <c r="G424" s="3">
        <v>82</v>
      </c>
    </row>
    <row r="425" spans="1:7">
      <c r="A425" s="3">
        <v>424</v>
      </c>
      <c r="B425" s="3">
        <v>0.39</v>
      </c>
      <c r="C425" s="3">
        <v>0.57999999999999996</v>
      </c>
      <c r="D425" s="3">
        <v>0.39</v>
      </c>
      <c r="E425" s="3">
        <v>10</v>
      </c>
      <c r="F425" s="3">
        <v>94</v>
      </c>
      <c r="G425" s="3">
        <v>104</v>
      </c>
    </row>
    <row r="426" spans="1:7">
      <c r="A426" s="3">
        <v>425</v>
      </c>
      <c r="B426" s="3">
        <v>0.33</v>
      </c>
      <c r="C426" s="3">
        <v>0.56999999999999995</v>
      </c>
      <c r="D426" s="3">
        <v>0.33</v>
      </c>
      <c r="E426" s="3">
        <v>7</v>
      </c>
      <c r="F426" s="3">
        <v>190</v>
      </c>
      <c r="G426" s="3">
        <v>197</v>
      </c>
    </row>
    <row r="427" spans="1:7">
      <c r="A427" s="3">
        <v>426</v>
      </c>
      <c r="B427" s="3">
        <v>0.32</v>
      </c>
      <c r="C427" s="3">
        <v>0.61</v>
      </c>
      <c r="D427" s="3">
        <v>0.28000000000000003</v>
      </c>
      <c r="E427" s="3">
        <v>5</v>
      </c>
      <c r="F427" s="3">
        <v>156</v>
      </c>
      <c r="G427" s="3">
        <v>161</v>
      </c>
    </row>
    <row r="428" spans="1:7">
      <c r="A428" s="3">
        <v>427</v>
      </c>
      <c r="B428" s="3">
        <v>0.28999999999999998</v>
      </c>
      <c r="C428" s="3">
        <v>0.56999999999999995</v>
      </c>
      <c r="D428" s="3">
        <v>0.42</v>
      </c>
      <c r="E428" s="3">
        <v>4</v>
      </c>
      <c r="F428" s="3">
        <v>108</v>
      </c>
      <c r="G428" s="3">
        <v>112</v>
      </c>
    </row>
    <row r="429" spans="1:7">
      <c r="A429" s="3">
        <v>428</v>
      </c>
      <c r="B429" s="3">
        <v>0.3</v>
      </c>
      <c r="C429" s="3">
        <v>0.49</v>
      </c>
      <c r="D429" s="3">
        <v>0.3</v>
      </c>
      <c r="E429" s="3">
        <v>2</v>
      </c>
      <c r="F429" s="3">
        <v>74</v>
      </c>
      <c r="G429" s="3">
        <v>76</v>
      </c>
    </row>
    <row r="430" spans="1:7">
      <c r="A430" s="3">
        <v>429</v>
      </c>
      <c r="B430" s="3">
        <v>0.28999999999999998</v>
      </c>
      <c r="C430" s="3">
        <v>0.49</v>
      </c>
      <c r="D430" s="3">
        <v>0.42</v>
      </c>
      <c r="E430" s="3">
        <v>4</v>
      </c>
      <c r="F430" s="3">
        <v>55</v>
      </c>
      <c r="G430" s="3">
        <v>59</v>
      </c>
    </row>
    <row r="431" spans="1:7">
      <c r="A431" s="3">
        <v>430</v>
      </c>
      <c r="B431" s="3">
        <v>0.3</v>
      </c>
      <c r="C431" s="3">
        <v>0.52</v>
      </c>
      <c r="D431" s="3">
        <v>0.16</v>
      </c>
      <c r="E431" s="3">
        <v>6</v>
      </c>
      <c r="F431" s="3">
        <v>53</v>
      </c>
      <c r="G431" s="3">
        <v>59</v>
      </c>
    </row>
    <row r="432" spans="1:7">
      <c r="A432" s="3">
        <v>431</v>
      </c>
      <c r="B432" s="3">
        <v>0.27</v>
      </c>
      <c r="C432" s="3">
        <v>0.52</v>
      </c>
      <c r="D432" s="3">
        <v>0.46</v>
      </c>
      <c r="E432" s="3">
        <v>1</v>
      </c>
      <c r="F432" s="3">
        <v>27</v>
      </c>
      <c r="G432" s="3">
        <v>28</v>
      </c>
    </row>
    <row r="433" spans="1:7">
      <c r="A433" s="3">
        <v>432</v>
      </c>
      <c r="B433" s="3">
        <v>0.23</v>
      </c>
      <c r="C433" s="3">
        <v>0.56000000000000005</v>
      </c>
      <c r="D433" s="3">
        <v>0.39</v>
      </c>
      <c r="E433" s="3">
        <v>5</v>
      </c>
      <c r="F433" s="3">
        <v>8</v>
      </c>
      <c r="G433" s="3">
        <v>13</v>
      </c>
    </row>
    <row r="434" spans="1:7">
      <c r="A434" s="3">
        <v>433</v>
      </c>
      <c r="B434" s="3">
        <v>0.27</v>
      </c>
      <c r="C434" s="3">
        <v>0.56000000000000005</v>
      </c>
      <c r="D434" s="3">
        <v>0</v>
      </c>
      <c r="E434" s="3">
        <v>2</v>
      </c>
      <c r="F434" s="3">
        <v>3</v>
      </c>
      <c r="G434" s="3">
        <v>5</v>
      </c>
    </row>
    <row r="435" spans="1:7">
      <c r="A435" s="3">
        <v>434</v>
      </c>
      <c r="B435" s="3">
        <v>0.27</v>
      </c>
      <c r="C435" s="3">
        <v>0.56000000000000005</v>
      </c>
      <c r="D435" s="3">
        <v>0</v>
      </c>
      <c r="E435" s="3">
        <v>0</v>
      </c>
      <c r="F435" s="3">
        <v>2</v>
      </c>
      <c r="G435" s="3">
        <v>2</v>
      </c>
    </row>
    <row r="436" spans="1:7">
      <c r="A436" s="3">
        <v>435</v>
      </c>
      <c r="B436" s="3">
        <v>0.26</v>
      </c>
      <c r="C436" s="3">
        <v>0.56000000000000005</v>
      </c>
      <c r="D436" s="3">
        <v>0.16</v>
      </c>
      <c r="E436" s="3">
        <v>0</v>
      </c>
      <c r="F436" s="3">
        <v>1</v>
      </c>
      <c r="G436" s="3">
        <v>1</v>
      </c>
    </row>
    <row r="437" spans="1:7">
      <c r="A437" s="3">
        <v>436</v>
      </c>
      <c r="B437" s="3">
        <v>0.26</v>
      </c>
      <c r="C437" s="3">
        <v>0.56000000000000005</v>
      </c>
      <c r="D437" s="3">
        <v>0.16</v>
      </c>
      <c r="E437" s="3">
        <v>0</v>
      </c>
      <c r="F437" s="3">
        <v>1</v>
      </c>
      <c r="G437" s="3">
        <v>1</v>
      </c>
    </row>
    <row r="438" spans="1:7">
      <c r="A438" s="3">
        <v>437</v>
      </c>
      <c r="B438" s="3">
        <v>0.23</v>
      </c>
      <c r="C438" s="3">
        <v>0.6</v>
      </c>
      <c r="D438" s="3">
        <v>0.22</v>
      </c>
      <c r="E438" s="3">
        <v>0</v>
      </c>
      <c r="F438" s="3">
        <v>6</v>
      </c>
      <c r="G438" s="3">
        <v>6</v>
      </c>
    </row>
    <row r="439" spans="1:7">
      <c r="A439" s="3">
        <v>438</v>
      </c>
      <c r="B439" s="3">
        <v>0.21</v>
      </c>
      <c r="C439" s="3">
        <v>0.6</v>
      </c>
      <c r="D439" s="3">
        <v>0.22</v>
      </c>
      <c r="E439" s="3">
        <v>0</v>
      </c>
      <c r="F439" s="3">
        <v>35</v>
      </c>
      <c r="G439" s="3">
        <v>35</v>
      </c>
    </row>
    <row r="440" spans="1:7">
      <c r="A440" s="3">
        <v>439</v>
      </c>
      <c r="B440" s="3">
        <v>0.21</v>
      </c>
      <c r="C440" s="3">
        <v>0.55000000000000004</v>
      </c>
      <c r="D440" s="3">
        <v>0.22</v>
      </c>
      <c r="E440" s="3">
        <v>1</v>
      </c>
      <c r="F440" s="3">
        <v>100</v>
      </c>
      <c r="G440" s="3">
        <v>101</v>
      </c>
    </row>
    <row r="441" spans="1:7">
      <c r="A441" s="3">
        <v>440</v>
      </c>
      <c r="B441" s="3">
        <v>0.21</v>
      </c>
      <c r="C441" s="3">
        <v>0.55000000000000004</v>
      </c>
      <c r="D441" s="3">
        <v>0.28000000000000003</v>
      </c>
      <c r="E441" s="3">
        <v>2</v>
      </c>
      <c r="F441" s="3">
        <v>247</v>
      </c>
      <c r="G441" s="3">
        <v>249</v>
      </c>
    </row>
    <row r="442" spans="1:7">
      <c r="A442" s="3">
        <v>441</v>
      </c>
      <c r="B442" s="3">
        <v>0.23</v>
      </c>
      <c r="C442" s="3">
        <v>0.52</v>
      </c>
      <c r="D442" s="3">
        <v>0.22</v>
      </c>
      <c r="E442" s="3">
        <v>3</v>
      </c>
      <c r="F442" s="3">
        <v>140</v>
      </c>
      <c r="G442" s="3">
        <v>143</v>
      </c>
    </row>
    <row r="443" spans="1:7">
      <c r="A443" s="3">
        <v>442</v>
      </c>
      <c r="B443" s="3">
        <v>0.23</v>
      </c>
      <c r="C443" s="3">
        <v>0.48</v>
      </c>
      <c r="D443" s="3">
        <v>0.3</v>
      </c>
      <c r="E443" s="3">
        <v>1</v>
      </c>
      <c r="F443" s="3">
        <v>56</v>
      </c>
      <c r="G443" s="3">
        <v>57</v>
      </c>
    </row>
    <row r="444" spans="1:7">
      <c r="A444" s="3">
        <v>443</v>
      </c>
      <c r="B444" s="3">
        <v>0.27</v>
      </c>
      <c r="C444" s="3">
        <v>0.45</v>
      </c>
      <c r="D444" s="3">
        <v>0.16</v>
      </c>
      <c r="E444" s="3">
        <v>5</v>
      </c>
      <c r="F444" s="3">
        <v>63</v>
      </c>
      <c r="G444" s="3">
        <v>68</v>
      </c>
    </row>
    <row r="445" spans="1:7">
      <c r="A445" s="3">
        <v>444</v>
      </c>
      <c r="B445" s="3">
        <v>0.33</v>
      </c>
      <c r="C445" s="3">
        <v>0.42</v>
      </c>
      <c r="D445" s="3">
        <v>0</v>
      </c>
      <c r="E445" s="3">
        <v>7</v>
      </c>
      <c r="F445" s="3">
        <v>77</v>
      </c>
      <c r="G445" s="3">
        <v>84</v>
      </c>
    </row>
    <row r="446" spans="1:7">
      <c r="A446" s="3">
        <v>445</v>
      </c>
      <c r="B446" s="3">
        <v>0.28999999999999998</v>
      </c>
      <c r="C446" s="3">
        <v>0.45</v>
      </c>
      <c r="D446" s="3">
        <v>0.1</v>
      </c>
      <c r="E446" s="3">
        <v>12</v>
      </c>
      <c r="F446" s="3">
        <v>86</v>
      </c>
      <c r="G446" s="3">
        <v>98</v>
      </c>
    </row>
    <row r="447" spans="1:7">
      <c r="A447" s="3">
        <v>446</v>
      </c>
      <c r="B447" s="3">
        <v>0.3</v>
      </c>
      <c r="C447" s="3">
        <v>0.45</v>
      </c>
      <c r="D447" s="3">
        <v>0.13</v>
      </c>
      <c r="E447" s="3">
        <v>6</v>
      </c>
      <c r="F447" s="3">
        <v>75</v>
      </c>
      <c r="G447" s="3">
        <v>81</v>
      </c>
    </row>
    <row r="448" spans="1:7">
      <c r="A448" s="3">
        <v>447</v>
      </c>
      <c r="B448" s="3">
        <v>0.32</v>
      </c>
      <c r="C448" s="3">
        <v>0.45</v>
      </c>
      <c r="D448" s="3">
        <v>0.19</v>
      </c>
      <c r="E448" s="3">
        <v>8</v>
      </c>
      <c r="F448" s="3">
        <v>62</v>
      </c>
      <c r="G448" s="3">
        <v>70</v>
      </c>
    </row>
    <row r="449" spans="1:7">
      <c r="A449" s="3">
        <v>448</v>
      </c>
      <c r="B449" s="3">
        <v>0.3</v>
      </c>
      <c r="C449" s="3">
        <v>0.49</v>
      </c>
      <c r="D449" s="3">
        <v>0.13</v>
      </c>
      <c r="E449" s="3">
        <v>8</v>
      </c>
      <c r="F449" s="3">
        <v>83</v>
      </c>
      <c r="G449" s="3">
        <v>91</v>
      </c>
    </row>
    <row r="450" spans="1:7">
      <c r="A450" s="3">
        <v>449</v>
      </c>
      <c r="B450" s="3">
        <v>0.32</v>
      </c>
      <c r="C450" s="3">
        <v>0.49</v>
      </c>
      <c r="D450" s="3">
        <v>0.1</v>
      </c>
      <c r="E450" s="3">
        <v>8</v>
      </c>
      <c r="F450" s="3">
        <v>207</v>
      </c>
      <c r="G450" s="3">
        <v>215</v>
      </c>
    </row>
    <row r="451" spans="1:7">
      <c r="A451" s="3">
        <v>450</v>
      </c>
      <c r="B451" s="3">
        <v>0.26</v>
      </c>
      <c r="C451" s="3">
        <v>0.56000000000000005</v>
      </c>
      <c r="D451" s="3">
        <v>0.19</v>
      </c>
      <c r="E451" s="3">
        <v>1</v>
      </c>
      <c r="F451" s="3">
        <v>184</v>
      </c>
      <c r="G451" s="3">
        <v>185</v>
      </c>
    </row>
    <row r="452" spans="1:7">
      <c r="A452" s="3">
        <v>451</v>
      </c>
      <c r="B452" s="3">
        <v>0.23</v>
      </c>
      <c r="C452" s="3">
        <v>0.56000000000000005</v>
      </c>
      <c r="D452" s="3">
        <v>0.33</v>
      </c>
      <c r="E452" s="3">
        <v>6</v>
      </c>
      <c r="F452" s="3">
        <v>146</v>
      </c>
      <c r="G452" s="3">
        <v>152</v>
      </c>
    </row>
    <row r="453" spans="1:7">
      <c r="A453" s="3">
        <v>452</v>
      </c>
      <c r="B453" s="3">
        <v>0.24</v>
      </c>
      <c r="C453" s="3">
        <v>0.6</v>
      </c>
      <c r="D453" s="3">
        <v>0.28000000000000003</v>
      </c>
      <c r="E453" s="3">
        <v>2</v>
      </c>
      <c r="F453" s="3">
        <v>124</v>
      </c>
      <c r="G453" s="3">
        <v>126</v>
      </c>
    </row>
    <row r="454" spans="1:7">
      <c r="A454" s="3">
        <v>453</v>
      </c>
      <c r="B454" s="3">
        <v>0.23</v>
      </c>
      <c r="C454" s="3">
        <v>0.6</v>
      </c>
      <c r="D454" s="3">
        <v>0.25</v>
      </c>
      <c r="E454" s="3">
        <v>3</v>
      </c>
      <c r="F454" s="3">
        <v>54</v>
      </c>
      <c r="G454" s="3">
        <v>57</v>
      </c>
    </row>
    <row r="455" spans="1:7">
      <c r="A455" s="3">
        <v>454</v>
      </c>
      <c r="B455" s="3">
        <v>0.21</v>
      </c>
      <c r="C455" s="3">
        <v>0.65</v>
      </c>
      <c r="D455" s="3">
        <v>0.28000000000000003</v>
      </c>
      <c r="E455" s="3">
        <v>0</v>
      </c>
      <c r="F455" s="3">
        <v>56</v>
      </c>
      <c r="G455" s="3">
        <v>56</v>
      </c>
    </row>
    <row r="456" spans="1:7">
      <c r="A456" s="3">
        <v>455</v>
      </c>
      <c r="B456" s="3">
        <v>0.21</v>
      </c>
      <c r="C456" s="3">
        <v>0.65</v>
      </c>
      <c r="D456" s="3">
        <v>0.33</v>
      </c>
      <c r="E456" s="3">
        <v>3</v>
      </c>
      <c r="F456" s="3">
        <v>28</v>
      </c>
      <c r="G456" s="3">
        <v>31</v>
      </c>
    </row>
    <row r="457" spans="1:7">
      <c r="A457" s="3">
        <v>456</v>
      </c>
      <c r="B457" s="3">
        <v>0.23</v>
      </c>
      <c r="C457" s="3">
        <v>0.7</v>
      </c>
      <c r="D457" s="3">
        <v>0.25</v>
      </c>
      <c r="E457" s="3">
        <v>1</v>
      </c>
      <c r="F457" s="3">
        <v>20</v>
      </c>
      <c r="G457" s="3">
        <v>21</v>
      </c>
    </row>
    <row r="458" spans="1:7">
      <c r="A458" s="3">
        <v>457</v>
      </c>
      <c r="B458" s="3">
        <v>0.23</v>
      </c>
      <c r="C458" s="3">
        <v>0.7</v>
      </c>
      <c r="D458" s="3">
        <v>0.25</v>
      </c>
      <c r="E458" s="3">
        <v>0</v>
      </c>
      <c r="F458" s="3">
        <v>6</v>
      </c>
      <c r="G458" s="3">
        <v>6</v>
      </c>
    </row>
    <row r="459" spans="1:7">
      <c r="A459" s="3">
        <v>458</v>
      </c>
      <c r="B459" s="3">
        <v>0.24</v>
      </c>
      <c r="C459" s="3">
        <v>0.75</v>
      </c>
      <c r="D459" s="3">
        <v>0.16</v>
      </c>
      <c r="E459" s="3">
        <v>0</v>
      </c>
      <c r="F459" s="3">
        <v>2</v>
      </c>
      <c r="G459" s="3">
        <v>2</v>
      </c>
    </row>
    <row r="460" spans="1:7">
      <c r="A460" s="3">
        <v>459</v>
      </c>
      <c r="B460" s="3">
        <v>0.21</v>
      </c>
      <c r="C460" s="3">
        <v>0.8</v>
      </c>
      <c r="D460" s="3">
        <v>0.3</v>
      </c>
      <c r="E460" s="3">
        <v>0</v>
      </c>
      <c r="F460" s="3">
        <v>1</v>
      </c>
      <c r="G460" s="3">
        <v>1</v>
      </c>
    </row>
    <row r="461" spans="1:7">
      <c r="A461" s="3">
        <v>460</v>
      </c>
      <c r="B461" s="3">
        <v>0.26</v>
      </c>
      <c r="C461" s="3">
        <v>0.87</v>
      </c>
      <c r="D461" s="3">
        <v>0.09</v>
      </c>
      <c r="E461" s="3">
        <v>0</v>
      </c>
      <c r="F461" s="3">
        <v>1</v>
      </c>
      <c r="G461" s="3">
        <v>1</v>
      </c>
    </row>
    <row r="462" spans="1:7">
      <c r="A462" s="3">
        <v>461</v>
      </c>
      <c r="B462" s="3">
        <v>0.2</v>
      </c>
      <c r="C462" s="3">
        <v>0.6</v>
      </c>
      <c r="D462" s="3">
        <v>0.42</v>
      </c>
      <c r="E462" s="3">
        <v>1</v>
      </c>
      <c r="F462" s="3">
        <v>4</v>
      </c>
      <c r="G462" s="3">
        <v>5</v>
      </c>
    </row>
    <row r="463" spans="1:7">
      <c r="A463" s="3">
        <v>462</v>
      </c>
      <c r="B463" s="3">
        <v>0.21</v>
      </c>
      <c r="C463" s="3">
        <v>0.55000000000000004</v>
      </c>
      <c r="D463" s="3">
        <v>0.25</v>
      </c>
      <c r="E463" s="3">
        <v>0</v>
      </c>
      <c r="F463" s="3">
        <v>27</v>
      </c>
      <c r="G463" s="3">
        <v>27</v>
      </c>
    </row>
    <row r="464" spans="1:7">
      <c r="A464" s="3">
        <v>463</v>
      </c>
      <c r="B464" s="3">
        <v>0.18</v>
      </c>
      <c r="C464" s="3">
        <v>0.51</v>
      </c>
      <c r="D464" s="3">
        <v>0.28000000000000003</v>
      </c>
      <c r="E464" s="3">
        <v>2</v>
      </c>
      <c r="F464" s="3">
        <v>66</v>
      </c>
      <c r="G464" s="3">
        <v>68</v>
      </c>
    </row>
    <row r="465" spans="1:7">
      <c r="A465" s="3">
        <v>464</v>
      </c>
      <c r="B465" s="3">
        <v>0.18</v>
      </c>
      <c r="C465" s="3">
        <v>0.47</v>
      </c>
      <c r="D465" s="3">
        <v>0.33</v>
      </c>
      <c r="E465" s="3">
        <v>7</v>
      </c>
      <c r="F465" s="3">
        <v>210</v>
      </c>
      <c r="G465" s="3">
        <v>217</v>
      </c>
    </row>
    <row r="466" spans="1:7">
      <c r="A466" s="3">
        <v>465</v>
      </c>
      <c r="B466" s="3">
        <v>0.18</v>
      </c>
      <c r="C466" s="3">
        <v>0.51</v>
      </c>
      <c r="D466" s="3">
        <v>0.36</v>
      </c>
      <c r="E466" s="3">
        <v>7</v>
      </c>
      <c r="F466" s="3">
        <v>159</v>
      </c>
      <c r="G466" s="3">
        <v>166</v>
      </c>
    </row>
    <row r="467" spans="1:7">
      <c r="A467" s="3">
        <v>466</v>
      </c>
      <c r="B467" s="3">
        <v>0.17</v>
      </c>
      <c r="C467" s="3">
        <v>0.47</v>
      </c>
      <c r="D467" s="3">
        <v>0.46</v>
      </c>
      <c r="E467" s="3">
        <v>6</v>
      </c>
      <c r="F467" s="3">
        <v>57</v>
      </c>
      <c r="G467" s="3">
        <v>63</v>
      </c>
    </row>
    <row r="468" spans="1:7">
      <c r="A468" s="3">
        <v>467</v>
      </c>
      <c r="B468" s="3">
        <v>0.18</v>
      </c>
      <c r="C468" s="3">
        <v>0.41</v>
      </c>
      <c r="D468" s="3">
        <v>0.46</v>
      </c>
      <c r="E468" s="3">
        <v>6</v>
      </c>
      <c r="F468" s="3">
        <v>53</v>
      </c>
      <c r="G468" s="3">
        <v>59</v>
      </c>
    </row>
    <row r="469" spans="1:7">
      <c r="A469" s="3">
        <v>468</v>
      </c>
      <c r="B469" s="3">
        <v>0.18</v>
      </c>
      <c r="C469" s="3">
        <v>0.27</v>
      </c>
      <c r="D469" s="3">
        <v>0.57999999999999996</v>
      </c>
      <c r="E469" s="3">
        <v>11</v>
      </c>
      <c r="F469" s="3">
        <v>67</v>
      </c>
      <c r="G469" s="3">
        <v>78</v>
      </c>
    </row>
    <row r="470" spans="1:7">
      <c r="A470" s="3">
        <v>469</v>
      </c>
      <c r="B470" s="3">
        <v>0.15</v>
      </c>
      <c r="C470" s="3">
        <v>0.21</v>
      </c>
      <c r="D470" s="3">
        <v>0.57999999999999996</v>
      </c>
      <c r="E470" s="3">
        <v>8</v>
      </c>
      <c r="F470" s="3">
        <v>65</v>
      </c>
      <c r="G470" s="3">
        <v>73</v>
      </c>
    </row>
    <row r="471" spans="1:7">
      <c r="A471" s="3">
        <v>470</v>
      </c>
      <c r="B471" s="3">
        <v>0.15</v>
      </c>
      <c r="C471" s="3">
        <v>0.25</v>
      </c>
      <c r="D471" s="3">
        <v>0.52</v>
      </c>
      <c r="E471" s="3">
        <v>6</v>
      </c>
      <c r="F471" s="3">
        <v>56</v>
      </c>
      <c r="G471" s="3">
        <v>62</v>
      </c>
    </row>
    <row r="472" spans="1:7">
      <c r="A472" s="3">
        <v>471</v>
      </c>
      <c r="B472" s="3">
        <v>0.12</v>
      </c>
      <c r="C472" s="3">
        <v>0.26</v>
      </c>
      <c r="D472" s="3">
        <v>0.45</v>
      </c>
      <c r="E472" s="3">
        <v>4</v>
      </c>
      <c r="F472" s="3">
        <v>61</v>
      </c>
      <c r="G472" s="3">
        <v>65</v>
      </c>
    </row>
    <row r="473" spans="1:7">
      <c r="A473" s="3">
        <v>472</v>
      </c>
      <c r="B473" s="3">
        <v>0.14000000000000001</v>
      </c>
      <c r="C473" s="3">
        <v>0.26</v>
      </c>
      <c r="D473" s="3">
        <v>0.36</v>
      </c>
      <c r="E473" s="3">
        <v>0</v>
      </c>
      <c r="F473" s="3">
        <v>97</v>
      </c>
      <c r="G473" s="3">
        <v>97</v>
      </c>
    </row>
    <row r="474" spans="1:7">
      <c r="A474" s="3">
        <v>473</v>
      </c>
      <c r="B474" s="3">
        <v>0.12</v>
      </c>
      <c r="C474" s="3">
        <v>0.28000000000000003</v>
      </c>
      <c r="D474" s="3">
        <v>0.36</v>
      </c>
      <c r="E474" s="3">
        <v>10</v>
      </c>
      <c r="F474" s="3">
        <v>151</v>
      </c>
      <c r="G474" s="3">
        <v>161</v>
      </c>
    </row>
    <row r="475" spans="1:7">
      <c r="A475" s="3">
        <v>474</v>
      </c>
      <c r="B475" s="3">
        <v>0.12</v>
      </c>
      <c r="C475" s="3">
        <v>0.3</v>
      </c>
      <c r="D475" s="3">
        <v>0.25</v>
      </c>
      <c r="E475" s="3">
        <v>1</v>
      </c>
      <c r="F475" s="3">
        <v>119</v>
      </c>
      <c r="G475" s="3">
        <v>120</v>
      </c>
    </row>
    <row r="476" spans="1:7">
      <c r="A476" s="3">
        <v>475</v>
      </c>
      <c r="B476" s="3">
        <v>0.11</v>
      </c>
      <c r="C476" s="3">
        <v>0.3</v>
      </c>
      <c r="D476" s="3">
        <v>0.33</v>
      </c>
      <c r="E476" s="3">
        <v>3</v>
      </c>
      <c r="F476" s="3">
        <v>93</v>
      </c>
      <c r="G476" s="3">
        <v>96</v>
      </c>
    </row>
    <row r="477" spans="1:7">
      <c r="A477" s="3">
        <v>476</v>
      </c>
      <c r="B477" s="3">
        <v>0.08</v>
      </c>
      <c r="C477" s="3">
        <v>0.33</v>
      </c>
      <c r="D477" s="3">
        <v>0.42</v>
      </c>
      <c r="E477" s="3">
        <v>1</v>
      </c>
      <c r="F477" s="3">
        <v>52</v>
      </c>
      <c r="G477" s="3">
        <v>53</v>
      </c>
    </row>
    <row r="478" spans="1:7">
      <c r="A478" s="3">
        <v>477</v>
      </c>
      <c r="B478" s="3">
        <v>0.08</v>
      </c>
      <c r="C478" s="3">
        <v>0.38</v>
      </c>
      <c r="D478" s="3">
        <v>0.28000000000000003</v>
      </c>
      <c r="E478" s="3">
        <v>0</v>
      </c>
      <c r="F478" s="3">
        <v>41</v>
      </c>
      <c r="G478" s="3">
        <v>41</v>
      </c>
    </row>
    <row r="479" spans="1:7">
      <c r="A479" s="3">
        <v>478</v>
      </c>
      <c r="B479" s="3">
        <v>0.03</v>
      </c>
      <c r="C479" s="3">
        <v>0.41</v>
      </c>
      <c r="D479" s="3">
        <v>0.39</v>
      </c>
      <c r="E479" s="3">
        <v>1</v>
      </c>
      <c r="F479" s="3">
        <v>33</v>
      </c>
      <c r="G479" s="3">
        <v>34</v>
      </c>
    </row>
    <row r="480" spans="1:7">
      <c r="A480" s="3">
        <v>479</v>
      </c>
      <c r="B480" s="3">
        <v>0.05</v>
      </c>
      <c r="C480" s="3">
        <v>0.38</v>
      </c>
      <c r="D480" s="3">
        <v>0.33</v>
      </c>
      <c r="E480" s="3">
        <v>0</v>
      </c>
      <c r="F480" s="3">
        <v>27</v>
      </c>
      <c r="G480" s="3">
        <v>27</v>
      </c>
    </row>
    <row r="481" spans="1:7">
      <c r="A481" s="3">
        <v>480</v>
      </c>
      <c r="B481" s="3">
        <v>0.03</v>
      </c>
      <c r="C481" s="3">
        <v>0.45</v>
      </c>
      <c r="D481" s="3">
        <v>0.25</v>
      </c>
      <c r="E481" s="3">
        <v>0</v>
      </c>
      <c r="F481" s="3">
        <v>13</v>
      </c>
      <c r="G481" s="3">
        <v>13</v>
      </c>
    </row>
    <row r="482" spans="1:7">
      <c r="A482" s="3">
        <v>481</v>
      </c>
      <c r="B482" s="3">
        <v>0</v>
      </c>
      <c r="C482" s="3">
        <v>0.41</v>
      </c>
      <c r="D482" s="3">
        <v>0.39</v>
      </c>
      <c r="E482" s="3">
        <v>3</v>
      </c>
      <c r="F482" s="3">
        <v>9</v>
      </c>
      <c r="G482" s="3">
        <v>12</v>
      </c>
    </row>
    <row r="483" spans="1:7">
      <c r="A483" s="3">
        <v>482</v>
      </c>
      <c r="B483" s="3">
        <v>0.03</v>
      </c>
      <c r="C483" s="3">
        <v>0.41</v>
      </c>
      <c r="D483" s="3">
        <v>0.25</v>
      </c>
      <c r="E483" s="3">
        <v>0</v>
      </c>
      <c r="F483" s="3">
        <v>11</v>
      </c>
      <c r="G483" s="3">
        <v>11</v>
      </c>
    </row>
    <row r="484" spans="1:7">
      <c r="A484" s="3">
        <v>483</v>
      </c>
      <c r="B484" s="3">
        <v>0.03</v>
      </c>
      <c r="C484" s="3">
        <v>0.41</v>
      </c>
      <c r="D484" s="3">
        <v>0.28000000000000003</v>
      </c>
      <c r="E484" s="3">
        <v>1</v>
      </c>
      <c r="F484" s="3">
        <v>6</v>
      </c>
      <c r="G484" s="3">
        <v>7</v>
      </c>
    </row>
    <row r="485" spans="1:7">
      <c r="A485" s="3">
        <v>484</v>
      </c>
      <c r="B485" s="3">
        <v>0.02</v>
      </c>
      <c r="C485" s="3">
        <v>0.48</v>
      </c>
      <c r="D485" s="3">
        <v>0.3</v>
      </c>
      <c r="E485" s="3">
        <v>0</v>
      </c>
      <c r="F485" s="3">
        <v>3</v>
      </c>
      <c r="G485" s="3">
        <v>3</v>
      </c>
    </row>
    <row r="486" spans="1:7">
      <c r="A486" s="3">
        <v>485</v>
      </c>
      <c r="B486" s="3">
        <v>0.03</v>
      </c>
      <c r="C486" s="3">
        <v>0.44</v>
      </c>
      <c r="D486" s="3">
        <v>0.22</v>
      </c>
      <c r="E486" s="3">
        <v>0</v>
      </c>
      <c r="F486" s="3">
        <v>2</v>
      </c>
      <c r="G486" s="3">
        <v>2</v>
      </c>
    </row>
    <row r="487" spans="1:7">
      <c r="A487" s="3">
        <v>486</v>
      </c>
      <c r="B487" s="3">
        <v>0.02</v>
      </c>
      <c r="C487" s="3">
        <v>0.44</v>
      </c>
      <c r="D487" s="3">
        <v>0.28000000000000003</v>
      </c>
      <c r="E487" s="3">
        <v>0</v>
      </c>
      <c r="F487" s="3">
        <v>8</v>
      </c>
      <c r="G487" s="3">
        <v>8</v>
      </c>
    </row>
    <row r="488" spans="1:7">
      <c r="A488" s="3">
        <v>487</v>
      </c>
      <c r="B488" s="3">
        <v>0</v>
      </c>
      <c r="C488" s="3">
        <v>0.44</v>
      </c>
      <c r="D488" s="3">
        <v>0.33</v>
      </c>
      <c r="E488" s="3">
        <v>1</v>
      </c>
      <c r="F488" s="3">
        <v>26</v>
      </c>
      <c r="G488" s="3">
        <v>27</v>
      </c>
    </row>
    <row r="489" spans="1:7">
      <c r="A489" s="3">
        <v>488</v>
      </c>
      <c r="B489" s="3">
        <v>0.03</v>
      </c>
      <c r="C489" s="3">
        <v>0.41</v>
      </c>
      <c r="D489" s="3">
        <v>0.25</v>
      </c>
      <c r="E489" s="3">
        <v>3</v>
      </c>
      <c r="F489" s="3">
        <v>37</v>
      </c>
      <c r="G489" s="3">
        <v>40</v>
      </c>
    </row>
    <row r="490" spans="1:7">
      <c r="A490" s="3">
        <v>489</v>
      </c>
      <c r="B490" s="3">
        <v>0.06</v>
      </c>
      <c r="C490" s="3">
        <v>0.41</v>
      </c>
      <c r="D490" s="3">
        <v>0.16</v>
      </c>
      <c r="E490" s="3">
        <v>3</v>
      </c>
      <c r="F490" s="3">
        <v>50</v>
      </c>
      <c r="G490" s="3">
        <v>53</v>
      </c>
    </row>
    <row r="491" spans="1:7">
      <c r="A491" s="3">
        <v>490</v>
      </c>
      <c r="B491" s="3">
        <v>0.08</v>
      </c>
      <c r="C491" s="3">
        <v>0.38</v>
      </c>
      <c r="D491" s="3">
        <v>0.13</v>
      </c>
      <c r="E491" s="3">
        <v>4</v>
      </c>
      <c r="F491" s="3">
        <v>59</v>
      </c>
      <c r="G491" s="3">
        <v>63</v>
      </c>
    </row>
    <row r="492" spans="1:7">
      <c r="A492" s="3">
        <v>491</v>
      </c>
      <c r="B492" s="3">
        <v>0.11</v>
      </c>
      <c r="C492" s="3">
        <v>0.38</v>
      </c>
      <c r="D492" s="3">
        <v>0.1</v>
      </c>
      <c r="E492" s="3">
        <v>10</v>
      </c>
      <c r="F492" s="3">
        <v>60</v>
      </c>
      <c r="G492" s="3">
        <v>70</v>
      </c>
    </row>
    <row r="493" spans="1:7">
      <c r="A493" s="3">
        <v>492</v>
      </c>
      <c r="B493" s="3">
        <v>0.17</v>
      </c>
      <c r="C493" s="3">
        <v>0.35</v>
      </c>
      <c r="D493" s="3">
        <v>0</v>
      </c>
      <c r="E493" s="3">
        <v>12</v>
      </c>
      <c r="F493" s="3">
        <v>72</v>
      </c>
      <c r="G493" s="3">
        <v>84</v>
      </c>
    </row>
    <row r="494" spans="1:7">
      <c r="A494" s="3">
        <v>493</v>
      </c>
      <c r="B494" s="3">
        <v>0.14000000000000001</v>
      </c>
      <c r="C494" s="3">
        <v>0.33</v>
      </c>
      <c r="D494" s="3">
        <v>0.1</v>
      </c>
      <c r="E494" s="3">
        <v>11</v>
      </c>
      <c r="F494" s="3">
        <v>64</v>
      </c>
      <c r="G494" s="3">
        <v>75</v>
      </c>
    </row>
    <row r="495" spans="1:7">
      <c r="A495" s="3">
        <v>494</v>
      </c>
      <c r="B495" s="3">
        <v>0.15</v>
      </c>
      <c r="C495" s="3">
        <v>0.28000000000000003</v>
      </c>
      <c r="D495" s="3">
        <v>0</v>
      </c>
      <c r="E495" s="3">
        <v>10</v>
      </c>
      <c r="F495" s="3">
        <v>93</v>
      </c>
      <c r="G495" s="3">
        <v>103</v>
      </c>
    </row>
    <row r="496" spans="1:7">
      <c r="A496" s="3">
        <v>495</v>
      </c>
      <c r="B496" s="3">
        <v>0.14000000000000001</v>
      </c>
      <c r="C496" s="3">
        <v>0.28000000000000003</v>
      </c>
      <c r="D496" s="3">
        <v>0.19</v>
      </c>
      <c r="E496" s="3">
        <v>11</v>
      </c>
      <c r="F496" s="3">
        <v>72</v>
      </c>
      <c r="G496" s="3">
        <v>83</v>
      </c>
    </row>
    <row r="497" spans="1:7">
      <c r="A497" s="3">
        <v>496</v>
      </c>
      <c r="B497" s="3">
        <v>0.2</v>
      </c>
      <c r="C497" s="3">
        <v>0.28000000000000003</v>
      </c>
      <c r="D497" s="3">
        <v>0</v>
      </c>
      <c r="E497" s="3">
        <v>8</v>
      </c>
      <c r="F497" s="3">
        <v>59</v>
      </c>
      <c r="G497" s="3">
        <v>67</v>
      </c>
    </row>
    <row r="498" spans="1:7">
      <c r="A498" s="3">
        <v>497</v>
      </c>
      <c r="B498" s="3">
        <v>0.09</v>
      </c>
      <c r="C498" s="3">
        <v>0.35</v>
      </c>
      <c r="D498" s="3">
        <v>0.19</v>
      </c>
      <c r="E498" s="3">
        <v>0</v>
      </c>
      <c r="F498" s="3">
        <v>54</v>
      </c>
      <c r="G498" s="3">
        <v>54</v>
      </c>
    </row>
    <row r="499" spans="1:7">
      <c r="A499" s="3">
        <v>498</v>
      </c>
      <c r="B499" s="3">
        <v>0.11</v>
      </c>
      <c r="C499" s="3">
        <v>0.35</v>
      </c>
      <c r="D499" s="3">
        <v>0.13</v>
      </c>
      <c r="E499" s="3">
        <v>6</v>
      </c>
      <c r="F499" s="3">
        <v>53</v>
      </c>
      <c r="G499" s="3">
        <v>59</v>
      </c>
    </row>
    <row r="500" spans="1:7">
      <c r="A500" s="3">
        <v>499</v>
      </c>
      <c r="B500" s="3">
        <v>0.08</v>
      </c>
      <c r="C500" s="3">
        <v>0.45</v>
      </c>
      <c r="D500" s="3">
        <v>0.16</v>
      </c>
      <c r="E500" s="3">
        <v>1</v>
      </c>
      <c r="F500" s="3">
        <v>44</v>
      </c>
      <c r="G500" s="3">
        <v>45</v>
      </c>
    </row>
    <row r="501" spans="1:7">
      <c r="A501" s="3">
        <v>500</v>
      </c>
      <c r="B501" s="3">
        <v>0.11</v>
      </c>
      <c r="C501" s="3">
        <v>0.41</v>
      </c>
      <c r="D501" s="3">
        <v>0.09</v>
      </c>
      <c r="E501" s="3">
        <v>0</v>
      </c>
      <c r="F501" s="3">
        <v>39</v>
      </c>
      <c r="G501" s="3">
        <v>39</v>
      </c>
    </row>
    <row r="502" spans="1:7">
      <c r="A502" s="3">
        <v>501</v>
      </c>
      <c r="B502" s="3">
        <v>0.15</v>
      </c>
      <c r="C502" s="3">
        <v>0.49</v>
      </c>
      <c r="D502" s="3">
        <v>0</v>
      </c>
      <c r="E502" s="3">
        <v>7</v>
      </c>
      <c r="F502" s="3">
        <v>23</v>
      </c>
      <c r="G502" s="3">
        <v>30</v>
      </c>
    </row>
    <row r="503" spans="1:7">
      <c r="A503" s="3">
        <v>502</v>
      </c>
      <c r="B503" s="3">
        <v>0.08</v>
      </c>
      <c r="C503" s="3">
        <v>0.56999999999999995</v>
      </c>
      <c r="D503" s="3">
        <v>0.1</v>
      </c>
      <c r="E503" s="3">
        <v>2</v>
      </c>
      <c r="F503" s="3">
        <v>31</v>
      </c>
      <c r="G503" s="3">
        <v>33</v>
      </c>
    </row>
    <row r="504" spans="1:7">
      <c r="A504" s="3">
        <v>503</v>
      </c>
      <c r="B504" s="3">
        <v>0.08</v>
      </c>
      <c r="C504" s="3">
        <v>0.56999999999999995</v>
      </c>
      <c r="D504" s="3">
        <v>0.1</v>
      </c>
      <c r="E504" s="3">
        <v>2</v>
      </c>
      <c r="F504" s="3">
        <v>20</v>
      </c>
      <c r="G504" s="3">
        <v>22</v>
      </c>
    </row>
    <row r="505" spans="1:7">
      <c r="A505" s="3">
        <v>504</v>
      </c>
      <c r="B505" s="3">
        <v>0.08</v>
      </c>
      <c r="C505" s="3">
        <v>0.56999999999999995</v>
      </c>
      <c r="D505" s="3">
        <v>0.1</v>
      </c>
      <c r="E505" s="3">
        <v>1</v>
      </c>
      <c r="F505" s="3">
        <v>12</v>
      </c>
      <c r="G505" s="3">
        <v>13</v>
      </c>
    </row>
    <row r="506" spans="1:7">
      <c r="A506" s="3">
        <v>505</v>
      </c>
      <c r="B506" s="3">
        <v>0.06</v>
      </c>
      <c r="C506" s="3">
        <v>0.62</v>
      </c>
      <c r="D506" s="3">
        <v>0.13</v>
      </c>
      <c r="E506" s="3">
        <v>3</v>
      </c>
      <c r="F506" s="3">
        <v>15</v>
      </c>
      <c r="G506" s="3">
        <v>18</v>
      </c>
    </row>
    <row r="507" spans="1:7">
      <c r="A507" s="3">
        <v>506</v>
      </c>
      <c r="B507" s="3">
        <v>0.06</v>
      </c>
      <c r="C507" s="3">
        <v>0.62</v>
      </c>
      <c r="D507" s="3">
        <v>0.13</v>
      </c>
      <c r="E507" s="3">
        <v>1</v>
      </c>
      <c r="F507" s="3">
        <v>4</v>
      </c>
      <c r="G507" s="3">
        <v>5</v>
      </c>
    </row>
    <row r="508" spans="1:7">
      <c r="A508" s="3">
        <v>507</v>
      </c>
      <c r="B508" s="3">
        <v>0.08</v>
      </c>
      <c r="C508" s="3">
        <v>0.56999999999999995</v>
      </c>
      <c r="D508" s="3">
        <v>0.1</v>
      </c>
      <c r="E508" s="3">
        <v>0</v>
      </c>
      <c r="F508" s="3">
        <v>3</v>
      </c>
      <c r="G508" s="3">
        <v>3</v>
      </c>
    </row>
    <row r="509" spans="1:7">
      <c r="A509" s="3">
        <v>508</v>
      </c>
      <c r="B509" s="3">
        <v>0.08</v>
      </c>
      <c r="C509" s="3">
        <v>0.56999999999999995</v>
      </c>
      <c r="D509" s="3">
        <v>0.1</v>
      </c>
      <c r="E509" s="3">
        <v>0</v>
      </c>
      <c r="F509" s="3">
        <v>1</v>
      </c>
      <c r="G509" s="3">
        <v>1</v>
      </c>
    </row>
    <row r="510" spans="1:7">
      <c r="A510" s="3">
        <v>509</v>
      </c>
      <c r="B510" s="3">
        <v>0.11</v>
      </c>
      <c r="C510" s="3">
        <v>0.57999999999999996</v>
      </c>
      <c r="D510" s="3">
        <v>0.16</v>
      </c>
      <c r="E510" s="3">
        <v>1</v>
      </c>
      <c r="F510" s="3">
        <v>1</v>
      </c>
      <c r="G510" s="3">
        <v>2</v>
      </c>
    </row>
    <row r="511" spans="1:7">
      <c r="A511" s="3">
        <v>510</v>
      </c>
      <c r="B511" s="3">
        <v>0.08</v>
      </c>
      <c r="C511" s="3">
        <v>0.62</v>
      </c>
      <c r="D511" s="3">
        <v>0.16</v>
      </c>
      <c r="E511" s="3">
        <v>2</v>
      </c>
      <c r="F511" s="3">
        <v>17</v>
      </c>
      <c r="G511" s="3">
        <v>19</v>
      </c>
    </row>
    <row r="512" spans="1:7">
      <c r="A512" s="3">
        <v>511</v>
      </c>
      <c r="B512" s="3">
        <v>0.08</v>
      </c>
      <c r="C512" s="3">
        <v>0.54</v>
      </c>
      <c r="D512" s="3">
        <v>0.36</v>
      </c>
      <c r="E512" s="3">
        <v>3</v>
      </c>
      <c r="F512" s="3">
        <v>25</v>
      </c>
      <c r="G512" s="3">
        <v>28</v>
      </c>
    </row>
    <row r="513" spans="1:7">
      <c r="A513" s="3">
        <v>512</v>
      </c>
      <c r="B513" s="3">
        <v>0.11</v>
      </c>
      <c r="C513" s="3">
        <v>0.46</v>
      </c>
      <c r="D513" s="3">
        <v>0.39</v>
      </c>
      <c r="E513" s="3">
        <v>7</v>
      </c>
      <c r="F513" s="3">
        <v>51</v>
      </c>
      <c r="G513" s="3">
        <v>58</v>
      </c>
    </row>
    <row r="514" spans="1:7">
      <c r="A514" s="3">
        <v>513</v>
      </c>
      <c r="B514" s="3">
        <v>0.14000000000000001</v>
      </c>
      <c r="C514" s="3">
        <v>0.43</v>
      </c>
      <c r="D514" s="3">
        <v>0.22</v>
      </c>
      <c r="E514" s="3">
        <v>22</v>
      </c>
      <c r="F514" s="3">
        <v>77</v>
      </c>
      <c r="G514" s="3">
        <v>99</v>
      </c>
    </row>
    <row r="515" spans="1:7">
      <c r="A515" s="3">
        <v>514</v>
      </c>
      <c r="B515" s="3">
        <v>0.12</v>
      </c>
      <c r="C515" s="3">
        <v>0.37</v>
      </c>
      <c r="D515" s="3">
        <v>0.46</v>
      </c>
      <c r="E515" s="3">
        <v>24</v>
      </c>
      <c r="F515" s="3">
        <v>92</v>
      </c>
      <c r="G515" s="3">
        <v>116</v>
      </c>
    </row>
    <row r="516" spans="1:7">
      <c r="A516" s="3">
        <v>515</v>
      </c>
      <c r="B516" s="3">
        <v>0.11</v>
      </c>
      <c r="C516" s="3">
        <v>0.33</v>
      </c>
      <c r="D516" s="3">
        <v>0.39</v>
      </c>
      <c r="E516" s="3">
        <v>12</v>
      </c>
      <c r="F516" s="3">
        <v>75</v>
      </c>
      <c r="G516" s="3">
        <v>87</v>
      </c>
    </row>
    <row r="517" spans="1:7">
      <c r="A517" s="3">
        <v>516</v>
      </c>
      <c r="B517" s="3">
        <v>0.14000000000000001</v>
      </c>
      <c r="C517" s="3">
        <v>0.28000000000000003</v>
      </c>
      <c r="D517" s="3">
        <v>0.36</v>
      </c>
      <c r="E517" s="3">
        <v>17</v>
      </c>
      <c r="F517" s="3">
        <v>93</v>
      </c>
      <c r="G517" s="3">
        <v>110</v>
      </c>
    </row>
    <row r="518" spans="1:7">
      <c r="A518" s="3">
        <v>517</v>
      </c>
      <c r="B518" s="3">
        <v>0.14000000000000001</v>
      </c>
      <c r="C518" s="3">
        <v>0.28000000000000003</v>
      </c>
      <c r="D518" s="3">
        <v>0.36</v>
      </c>
      <c r="E518" s="3">
        <v>13</v>
      </c>
      <c r="F518" s="3">
        <v>64</v>
      </c>
      <c r="G518" s="3">
        <v>77</v>
      </c>
    </row>
    <row r="519" spans="1:7">
      <c r="A519" s="3">
        <v>518</v>
      </c>
      <c r="B519" s="3">
        <v>0.14000000000000001</v>
      </c>
      <c r="C519" s="3">
        <v>0.26</v>
      </c>
      <c r="D519" s="3">
        <v>0.33</v>
      </c>
      <c r="E519" s="3">
        <v>9</v>
      </c>
      <c r="F519" s="3">
        <v>56</v>
      </c>
      <c r="G519" s="3">
        <v>65</v>
      </c>
    </row>
    <row r="520" spans="1:7">
      <c r="A520" s="3">
        <v>519</v>
      </c>
      <c r="B520" s="3">
        <v>0.11</v>
      </c>
      <c r="C520" s="3">
        <v>0.26</v>
      </c>
      <c r="D520" s="3">
        <v>0.39</v>
      </c>
      <c r="E520" s="3">
        <v>5</v>
      </c>
      <c r="F520" s="3">
        <v>50</v>
      </c>
      <c r="G520" s="3">
        <v>55</v>
      </c>
    </row>
    <row r="521" spans="1:7">
      <c r="A521" s="3">
        <v>520</v>
      </c>
      <c r="B521" s="3">
        <v>0.12</v>
      </c>
      <c r="C521" s="3">
        <v>0.3</v>
      </c>
      <c r="D521" s="3">
        <v>0.25</v>
      </c>
      <c r="E521" s="3">
        <v>5</v>
      </c>
      <c r="F521" s="3">
        <v>44</v>
      </c>
      <c r="G521" s="3">
        <v>49</v>
      </c>
    </row>
    <row r="522" spans="1:7">
      <c r="A522" s="3">
        <v>521</v>
      </c>
      <c r="B522" s="3">
        <v>0.12</v>
      </c>
      <c r="C522" s="3">
        <v>0.3</v>
      </c>
      <c r="D522" s="3">
        <v>0.28000000000000003</v>
      </c>
      <c r="E522" s="3">
        <v>5</v>
      </c>
      <c r="F522" s="3">
        <v>45</v>
      </c>
      <c r="G522" s="3">
        <v>50</v>
      </c>
    </row>
    <row r="523" spans="1:7">
      <c r="A523" s="3">
        <v>522</v>
      </c>
      <c r="B523" s="3">
        <v>0.11</v>
      </c>
      <c r="C523" s="3">
        <v>0.36</v>
      </c>
      <c r="D523" s="3">
        <v>0.25</v>
      </c>
      <c r="E523" s="3">
        <v>4</v>
      </c>
      <c r="F523" s="3">
        <v>31</v>
      </c>
      <c r="G523" s="3">
        <v>35</v>
      </c>
    </row>
    <row r="524" spans="1:7">
      <c r="A524" s="3">
        <v>523</v>
      </c>
      <c r="B524" s="3">
        <v>0.11</v>
      </c>
      <c r="C524" s="3">
        <v>0.36</v>
      </c>
      <c r="D524" s="3">
        <v>0.19</v>
      </c>
      <c r="E524" s="3">
        <v>5</v>
      </c>
      <c r="F524" s="3">
        <v>20</v>
      </c>
      <c r="G524" s="3">
        <v>25</v>
      </c>
    </row>
    <row r="525" spans="1:7">
      <c r="A525" s="3">
        <v>524</v>
      </c>
      <c r="B525" s="3">
        <v>0.09</v>
      </c>
      <c r="C525" s="3">
        <v>0.38</v>
      </c>
      <c r="D525" s="3">
        <v>0.19</v>
      </c>
      <c r="E525" s="3">
        <v>5</v>
      </c>
      <c r="F525" s="3">
        <v>23</v>
      </c>
      <c r="G525" s="3">
        <v>28</v>
      </c>
    </row>
    <row r="526" spans="1:7">
      <c r="A526" s="3">
        <v>525</v>
      </c>
      <c r="B526" s="3">
        <v>0.06</v>
      </c>
      <c r="C526" s="3">
        <v>0.41</v>
      </c>
      <c r="D526" s="3">
        <v>0.22</v>
      </c>
      <c r="E526" s="3">
        <v>4</v>
      </c>
      <c r="F526" s="3">
        <v>17</v>
      </c>
      <c r="G526" s="3">
        <v>21</v>
      </c>
    </row>
    <row r="527" spans="1:7">
      <c r="A527" s="3">
        <v>526</v>
      </c>
      <c r="B527" s="3">
        <v>0.06</v>
      </c>
      <c r="C527" s="3">
        <v>0.41</v>
      </c>
      <c r="D527" s="3">
        <v>0.19</v>
      </c>
      <c r="E527" s="3">
        <v>0</v>
      </c>
      <c r="F527" s="3">
        <v>7</v>
      </c>
      <c r="G527" s="3">
        <v>7</v>
      </c>
    </row>
    <row r="528" spans="1:7">
      <c r="A528" s="3">
        <v>527</v>
      </c>
      <c r="B528" s="3">
        <v>0.05</v>
      </c>
      <c r="C528" s="3">
        <v>0.45</v>
      </c>
      <c r="D528" s="3">
        <v>0.19</v>
      </c>
      <c r="E528" s="3">
        <v>0</v>
      </c>
      <c r="F528" s="3">
        <v>1</v>
      </c>
      <c r="G528" s="3">
        <v>1</v>
      </c>
    </row>
    <row r="529" spans="1:7">
      <c r="A529" s="3">
        <v>528</v>
      </c>
      <c r="B529" s="3">
        <v>0.03</v>
      </c>
      <c r="C529" s="3">
        <v>0.45</v>
      </c>
      <c r="D529" s="3">
        <v>0.25</v>
      </c>
      <c r="E529" s="3">
        <v>0</v>
      </c>
      <c r="F529" s="3">
        <v>1</v>
      </c>
      <c r="G529" s="3">
        <v>1</v>
      </c>
    </row>
    <row r="530" spans="1:7">
      <c r="A530" s="3">
        <v>529</v>
      </c>
      <c r="B530" s="3">
        <v>0.06</v>
      </c>
      <c r="C530" s="3">
        <v>0.48</v>
      </c>
      <c r="D530" s="3">
        <v>0.13</v>
      </c>
      <c r="E530" s="3">
        <v>0</v>
      </c>
      <c r="F530" s="3">
        <v>1</v>
      </c>
      <c r="G530" s="3">
        <v>1</v>
      </c>
    </row>
    <row r="531" spans="1:7">
      <c r="A531" s="3">
        <v>530</v>
      </c>
      <c r="B531" s="3">
        <v>0.06</v>
      </c>
      <c r="C531" s="3">
        <v>0.48</v>
      </c>
      <c r="D531" s="3">
        <v>0.13</v>
      </c>
      <c r="E531" s="3">
        <v>0</v>
      </c>
      <c r="F531" s="3">
        <v>5</v>
      </c>
      <c r="G531" s="3">
        <v>5</v>
      </c>
    </row>
    <row r="532" spans="1:7">
      <c r="A532" s="3">
        <v>531</v>
      </c>
      <c r="B532" s="3">
        <v>0.08</v>
      </c>
      <c r="C532" s="3">
        <v>0.48</v>
      </c>
      <c r="D532" s="3">
        <v>0.09</v>
      </c>
      <c r="E532" s="3">
        <v>0</v>
      </c>
      <c r="F532" s="3">
        <v>15</v>
      </c>
      <c r="G532" s="3">
        <v>15</v>
      </c>
    </row>
    <row r="533" spans="1:7">
      <c r="A533" s="3">
        <v>532</v>
      </c>
      <c r="B533" s="3">
        <v>0.12</v>
      </c>
      <c r="C533" s="3">
        <v>0.48</v>
      </c>
      <c r="D533" s="3">
        <v>0</v>
      </c>
      <c r="E533" s="3">
        <v>5</v>
      </c>
      <c r="F533" s="3">
        <v>79</v>
      </c>
      <c r="G533" s="3">
        <v>84</v>
      </c>
    </row>
    <row r="534" spans="1:7">
      <c r="A534" s="3">
        <v>533</v>
      </c>
      <c r="B534" s="3">
        <v>0.14000000000000001</v>
      </c>
      <c r="C534" s="3">
        <v>0.49</v>
      </c>
      <c r="D534" s="3">
        <v>0</v>
      </c>
      <c r="E534" s="3">
        <v>6</v>
      </c>
      <c r="F534" s="3">
        <v>171</v>
      </c>
      <c r="G534" s="3">
        <v>177</v>
      </c>
    </row>
    <row r="535" spans="1:7">
      <c r="A535" s="3">
        <v>534</v>
      </c>
      <c r="B535" s="3">
        <v>0.15</v>
      </c>
      <c r="C535" s="3">
        <v>0.41</v>
      </c>
      <c r="D535" s="3">
        <v>0</v>
      </c>
      <c r="E535" s="3">
        <v>4</v>
      </c>
      <c r="F535" s="3">
        <v>98</v>
      </c>
      <c r="G535" s="3">
        <v>102</v>
      </c>
    </row>
    <row r="536" spans="1:7">
      <c r="A536" s="3">
        <v>535</v>
      </c>
      <c r="B536" s="3">
        <v>0.14000000000000001</v>
      </c>
      <c r="C536" s="3">
        <v>0.42</v>
      </c>
      <c r="D536" s="3">
        <v>0</v>
      </c>
      <c r="E536" s="3">
        <v>6</v>
      </c>
      <c r="F536" s="3">
        <v>34</v>
      </c>
      <c r="G536" s="3">
        <v>40</v>
      </c>
    </row>
    <row r="537" spans="1:7">
      <c r="A537" s="3">
        <v>536</v>
      </c>
      <c r="B537" s="3">
        <v>0.12</v>
      </c>
      <c r="C537" s="3">
        <v>0.46</v>
      </c>
      <c r="D537" s="3">
        <v>0.13</v>
      </c>
      <c r="E537" s="3">
        <v>3</v>
      </c>
      <c r="F537" s="3">
        <v>43</v>
      </c>
      <c r="G537" s="3">
        <v>46</v>
      </c>
    </row>
    <row r="538" spans="1:7">
      <c r="A538" s="3">
        <v>537</v>
      </c>
      <c r="B538" s="3">
        <v>0.14000000000000001</v>
      </c>
      <c r="C538" s="3">
        <v>0.42</v>
      </c>
      <c r="D538" s="3">
        <v>0.19</v>
      </c>
      <c r="E538" s="3">
        <v>11</v>
      </c>
      <c r="F538" s="3">
        <v>52</v>
      </c>
      <c r="G538" s="3">
        <v>63</v>
      </c>
    </row>
    <row r="539" spans="1:7">
      <c r="A539" s="3">
        <v>538</v>
      </c>
      <c r="B539" s="3">
        <v>0.14000000000000001</v>
      </c>
      <c r="C539" s="3">
        <v>0.43</v>
      </c>
      <c r="D539" s="3">
        <v>0.22</v>
      </c>
      <c r="E539" s="3">
        <v>6</v>
      </c>
      <c r="F539" s="3">
        <v>54</v>
      </c>
      <c r="G539" s="3">
        <v>60</v>
      </c>
    </row>
    <row r="540" spans="1:7">
      <c r="A540" s="3">
        <v>539</v>
      </c>
      <c r="B540" s="3">
        <v>0.14000000000000001</v>
      </c>
      <c r="C540" s="3">
        <v>0.46</v>
      </c>
      <c r="D540" s="3">
        <v>0.22</v>
      </c>
      <c r="E540" s="3">
        <v>2</v>
      </c>
      <c r="F540" s="3">
        <v>43</v>
      </c>
      <c r="G540" s="3">
        <v>45</v>
      </c>
    </row>
    <row r="541" spans="1:7">
      <c r="A541" s="3">
        <v>540</v>
      </c>
      <c r="B541" s="3">
        <v>0.17</v>
      </c>
      <c r="C541" s="3">
        <v>0.4</v>
      </c>
      <c r="D541" s="3">
        <v>0.16</v>
      </c>
      <c r="E541" s="3">
        <v>7</v>
      </c>
      <c r="F541" s="3">
        <v>50</v>
      </c>
      <c r="G541" s="3">
        <v>57</v>
      </c>
    </row>
    <row r="542" spans="1:7">
      <c r="A542" s="3">
        <v>541</v>
      </c>
      <c r="B542" s="3">
        <v>0.15</v>
      </c>
      <c r="C542" s="3">
        <v>0.47</v>
      </c>
      <c r="D542" s="3">
        <v>0.25</v>
      </c>
      <c r="E542" s="3">
        <v>4</v>
      </c>
      <c r="F542" s="3">
        <v>66</v>
      </c>
      <c r="G542" s="3">
        <v>70</v>
      </c>
    </row>
    <row r="543" spans="1:7">
      <c r="A543" s="3">
        <v>542</v>
      </c>
      <c r="B543" s="3">
        <v>0.12</v>
      </c>
      <c r="C543" s="3">
        <v>0.5</v>
      </c>
      <c r="D543" s="3">
        <v>0.25</v>
      </c>
      <c r="E543" s="3">
        <v>6</v>
      </c>
      <c r="F543" s="3">
        <v>178</v>
      </c>
      <c r="G543" s="3">
        <v>184</v>
      </c>
    </row>
    <row r="544" spans="1:7">
      <c r="A544" s="3">
        <v>543</v>
      </c>
      <c r="B544" s="3">
        <v>0.14000000000000001</v>
      </c>
      <c r="C544" s="3">
        <v>0.59</v>
      </c>
      <c r="D544" s="3">
        <v>0.19</v>
      </c>
      <c r="E544" s="3">
        <v>8</v>
      </c>
      <c r="F544" s="3">
        <v>145</v>
      </c>
      <c r="G544" s="3">
        <v>153</v>
      </c>
    </row>
    <row r="545" spans="1:7">
      <c r="A545" s="3">
        <v>544</v>
      </c>
      <c r="B545" s="3">
        <v>0.15</v>
      </c>
      <c r="C545" s="3">
        <v>0.54</v>
      </c>
      <c r="D545" s="3">
        <v>0.16</v>
      </c>
      <c r="E545" s="3">
        <v>5</v>
      </c>
      <c r="F545" s="3">
        <v>101</v>
      </c>
      <c r="G545" s="3">
        <v>106</v>
      </c>
    </row>
    <row r="546" spans="1:7">
      <c r="A546" s="3">
        <v>545</v>
      </c>
      <c r="B546" s="3">
        <v>0.14000000000000001</v>
      </c>
      <c r="C546" s="3">
        <v>0.59</v>
      </c>
      <c r="D546" s="3">
        <v>0.19</v>
      </c>
      <c r="E546" s="3">
        <v>1</v>
      </c>
      <c r="F546" s="3">
        <v>80</v>
      </c>
      <c r="G546" s="3">
        <v>81</v>
      </c>
    </row>
    <row r="547" spans="1:7">
      <c r="A547" s="3">
        <v>546</v>
      </c>
      <c r="B547" s="3">
        <v>0.15</v>
      </c>
      <c r="C547" s="3">
        <v>0.63</v>
      </c>
      <c r="D547" s="3">
        <v>0.16</v>
      </c>
      <c r="E547" s="3">
        <v>6</v>
      </c>
      <c r="F547" s="3">
        <v>53</v>
      </c>
      <c r="G547" s="3">
        <v>59</v>
      </c>
    </row>
    <row r="548" spans="1:7">
      <c r="A548" s="3">
        <v>547</v>
      </c>
      <c r="B548" s="3">
        <v>0.14000000000000001</v>
      </c>
      <c r="C548" s="3">
        <v>0.63</v>
      </c>
      <c r="D548" s="3">
        <v>0.22</v>
      </c>
      <c r="E548" s="3">
        <v>3</v>
      </c>
      <c r="F548" s="3">
        <v>32</v>
      </c>
      <c r="G548" s="3">
        <v>35</v>
      </c>
    </row>
    <row r="549" spans="1:7">
      <c r="A549" s="3">
        <v>548</v>
      </c>
      <c r="B549" s="3">
        <v>0.15</v>
      </c>
      <c r="C549" s="3">
        <v>0.64</v>
      </c>
      <c r="D549" s="3">
        <v>0.25</v>
      </c>
      <c r="E549" s="3">
        <v>3</v>
      </c>
      <c r="F549" s="3">
        <v>21</v>
      </c>
      <c r="G549" s="3">
        <v>24</v>
      </c>
    </row>
    <row r="550" spans="1:7">
      <c r="A550" s="3">
        <v>549</v>
      </c>
      <c r="B550" s="3">
        <v>0.14000000000000001</v>
      </c>
      <c r="C550" s="3">
        <v>0.69</v>
      </c>
      <c r="D550" s="3">
        <v>0.28000000000000003</v>
      </c>
      <c r="E550" s="3">
        <v>3</v>
      </c>
      <c r="F550" s="3">
        <v>6</v>
      </c>
      <c r="G550" s="3">
        <v>9</v>
      </c>
    </row>
    <row r="551" spans="1:7">
      <c r="A551" s="3">
        <v>550</v>
      </c>
      <c r="B551" s="3">
        <v>0.17</v>
      </c>
      <c r="C551" s="3">
        <v>0.69</v>
      </c>
      <c r="D551" s="3">
        <v>0.16</v>
      </c>
      <c r="E551" s="3">
        <v>0</v>
      </c>
      <c r="F551" s="3">
        <v>5</v>
      </c>
      <c r="G551" s="3">
        <v>5</v>
      </c>
    </row>
    <row r="552" spans="1:7">
      <c r="A552" s="3">
        <v>551</v>
      </c>
      <c r="B552" s="3">
        <v>0.15</v>
      </c>
      <c r="C552" s="3">
        <v>0.69</v>
      </c>
      <c r="D552" s="3">
        <v>0.22</v>
      </c>
      <c r="E552" s="3">
        <v>0</v>
      </c>
      <c r="F552" s="3">
        <v>2</v>
      </c>
      <c r="G552" s="3">
        <v>2</v>
      </c>
    </row>
    <row r="553" spans="1:7">
      <c r="A553" s="3">
        <v>552</v>
      </c>
      <c r="B553" s="3">
        <v>0.17</v>
      </c>
      <c r="C553" s="3">
        <v>0.74</v>
      </c>
      <c r="D553" s="3">
        <v>0.1</v>
      </c>
      <c r="E553" s="3">
        <v>0</v>
      </c>
      <c r="F553" s="3">
        <v>1</v>
      </c>
      <c r="G553" s="3">
        <v>1</v>
      </c>
    </row>
    <row r="554" spans="1:7">
      <c r="A554" s="3">
        <v>553</v>
      </c>
      <c r="B554" s="3">
        <v>0.14000000000000001</v>
      </c>
      <c r="C554" s="3">
        <v>0.74</v>
      </c>
      <c r="D554" s="3">
        <v>0.22</v>
      </c>
      <c r="E554" s="3">
        <v>0</v>
      </c>
      <c r="F554" s="3">
        <v>9</v>
      </c>
      <c r="G554" s="3">
        <v>9</v>
      </c>
    </row>
    <row r="555" spans="1:7">
      <c r="A555" s="3">
        <v>554</v>
      </c>
      <c r="B555" s="3">
        <v>0.18</v>
      </c>
      <c r="C555" s="3">
        <v>0.74</v>
      </c>
      <c r="D555" s="3">
        <v>0.1</v>
      </c>
      <c r="E555" s="3">
        <v>1</v>
      </c>
      <c r="F555" s="3">
        <v>35</v>
      </c>
      <c r="G555" s="3">
        <v>36</v>
      </c>
    </row>
    <row r="556" spans="1:7">
      <c r="A556" s="3">
        <v>555</v>
      </c>
      <c r="B556" s="3">
        <v>0.15</v>
      </c>
      <c r="C556" s="3">
        <v>0.74</v>
      </c>
      <c r="D556" s="3">
        <v>0.22</v>
      </c>
      <c r="E556" s="3">
        <v>5</v>
      </c>
      <c r="F556" s="3">
        <v>103</v>
      </c>
      <c r="G556" s="3">
        <v>108</v>
      </c>
    </row>
    <row r="557" spans="1:7">
      <c r="A557" s="3">
        <v>556</v>
      </c>
      <c r="B557" s="3">
        <v>0.18</v>
      </c>
      <c r="C557" s="3">
        <v>0.74</v>
      </c>
      <c r="D557" s="3">
        <v>0.13</v>
      </c>
      <c r="E557" s="3">
        <v>5</v>
      </c>
      <c r="F557" s="3">
        <v>233</v>
      </c>
      <c r="G557" s="3">
        <v>238</v>
      </c>
    </row>
    <row r="558" spans="1:7">
      <c r="A558" s="3">
        <v>557</v>
      </c>
      <c r="B558" s="3">
        <v>0.23</v>
      </c>
      <c r="C558" s="3">
        <v>0.64</v>
      </c>
      <c r="D558" s="3">
        <v>0.09</v>
      </c>
      <c r="E558" s="3">
        <v>10</v>
      </c>
      <c r="F558" s="3">
        <v>134</v>
      </c>
      <c r="G558" s="3">
        <v>144</v>
      </c>
    </row>
    <row r="559" spans="1:7">
      <c r="A559" s="3">
        <v>558</v>
      </c>
      <c r="B559" s="3">
        <v>0.24</v>
      </c>
      <c r="C559" s="3">
        <v>0.6</v>
      </c>
      <c r="D559" s="3">
        <v>0.1</v>
      </c>
      <c r="E559" s="3">
        <v>6</v>
      </c>
      <c r="F559" s="3">
        <v>49</v>
      </c>
      <c r="G559" s="3">
        <v>55</v>
      </c>
    </row>
    <row r="560" spans="1:7">
      <c r="A560" s="3">
        <v>559</v>
      </c>
      <c r="B560" s="3">
        <v>0.24</v>
      </c>
      <c r="C560" s="3">
        <v>0.6</v>
      </c>
      <c r="D560" s="3">
        <v>0.13</v>
      </c>
      <c r="E560" s="3">
        <v>6</v>
      </c>
      <c r="F560" s="3">
        <v>55</v>
      </c>
      <c r="G560" s="3">
        <v>61</v>
      </c>
    </row>
    <row r="561" spans="1:7">
      <c r="A561" s="3">
        <v>560</v>
      </c>
      <c r="B561" s="3">
        <v>0.28999999999999998</v>
      </c>
      <c r="C561" s="3">
        <v>0.56000000000000005</v>
      </c>
      <c r="D561" s="3">
        <v>0.09</v>
      </c>
      <c r="E561" s="3">
        <v>21</v>
      </c>
      <c r="F561" s="3">
        <v>85</v>
      </c>
      <c r="G561" s="3">
        <v>106</v>
      </c>
    </row>
    <row r="562" spans="1:7">
      <c r="A562" s="3">
        <v>561</v>
      </c>
      <c r="B562" s="3">
        <v>0.27</v>
      </c>
      <c r="C562" s="3">
        <v>0.56000000000000005</v>
      </c>
      <c r="D562" s="3">
        <v>0.13</v>
      </c>
      <c r="E562" s="3">
        <v>21</v>
      </c>
      <c r="F562" s="3">
        <v>72</v>
      </c>
      <c r="G562" s="3">
        <v>93</v>
      </c>
    </row>
    <row r="563" spans="1:7">
      <c r="A563" s="3">
        <v>562</v>
      </c>
      <c r="B563" s="3">
        <v>0.33</v>
      </c>
      <c r="C563" s="3">
        <v>0.45</v>
      </c>
      <c r="D563" s="3">
        <v>0</v>
      </c>
      <c r="E563" s="3">
        <v>11</v>
      </c>
      <c r="F563" s="3">
        <v>57</v>
      </c>
      <c r="G563" s="3">
        <v>68</v>
      </c>
    </row>
    <row r="564" spans="1:7">
      <c r="A564" s="3">
        <v>563</v>
      </c>
      <c r="B564" s="3">
        <v>0.35</v>
      </c>
      <c r="C564" s="3">
        <v>0.42</v>
      </c>
      <c r="D564" s="3">
        <v>0</v>
      </c>
      <c r="E564" s="3">
        <v>21</v>
      </c>
      <c r="F564" s="3">
        <v>63</v>
      </c>
      <c r="G564" s="3">
        <v>84</v>
      </c>
    </row>
    <row r="565" spans="1:7">
      <c r="A565" s="3">
        <v>564</v>
      </c>
      <c r="B565" s="3">
        <v>0.35</v>
      </c>
      <c r="C565" s="3">
        <v>0.42</v>
      </c>
      <c r="D565" s="3">
        <v>0</v>
      </c>
      <c r="E565" s="3">
        <v>14</v>
      </c>
      <c r="F565" s="3">
        <v>102</v>
      </c>
      <c r="G565" s="3">
        <v>116</v>
      </c>
    </row>
    <row r="566" spans="1:7">
      <c r="A566" s="3">
        <v>565</v>
      </c>
      <c r="B566" s="3">
        <v>0.33</v>
      </c>
      <c r="C566" s="3">
        <v>0.45</v>
      </c>
      <c r="D566" s="3">
        <v>0</v>
      </c>
      <c r="E566" s="3">
        <v>14</v>
      </c>
      <c r="F566" s="3">
        <v>208</v>
      </c>
      <c r="G566" s="3">
        <v>222</v>
      </c>
    </row>
    <row r="567" spans="1:7">
      <c r="A567" s="3">
        <v>566</v>
      </c>
      <c r="B567" s="3">
        <v>0.32</v>
      </c>
      <c r="C567" s="3">
        <v>0.49</v>
      </c>
      <c r="D567" s="3">
        <v>0.09</v>
      </c>
      <c r="E567" s="3">
        <v>7</v>
      </c>
      <c r="F567" s="3">
        <v>218</v>
      </c>
      <c r="G567" s="3">
        <v>225</v>
      </c>
    </row>
    <row r="568" spans="1:7">
      <c r="A568" s="3">
        <v>567</v>
      </c>
      <c r="B568" s="3">
        <v>0.26</v>
      </c>
      <c r="C568" s="3">
        <v>0.65</v>
      </c>
      <c r="D568" s="3">
        <v>0.16</v>
      </c>
      <c r="E568" s="3">
        <v>13</v>
      </c>
      <c r="F568" s="3">
        <v>133</v>
      </c>
      <c r="G568" s="3">
        <v>146</v>
      </c>
    </row>
    <row r="569" spans="1:7">
      <c r="A569" s="3">
        <v>568</v>
      </c>
      <c r="B569" s="3">
        <v>0.23</v>
      </c>
      <c r="C569" s="3">
        <v>0.65</v>
      </c>
      <c r="D569" s="3">
        <v>0.19</v>
      </c>
      <c r="E569" s="3">
        <v>16</v>
      </c>
      <c r="F569" s="3">
        <v>103</v>
      </c>
      <c r="G569" s="3">
        <v>119</v>
      </c>
    </row>
    <row r="570" spans="1:7">
      <c r="A570" s="3">
        <v>569</v>
      </c>
      <c r="B570" s="3">
        <v>0.23</v>
      </c>
      <c r="C570" s="3">
        <v>0.65</v>
      </c>
      <c r="D570" s="3">
        <v>0.19</v>
      </c>
      <c r="E570" s="3">
        <v>5</v>
      </c>
      <c r="F570" s="3">
        <v>40</v>
      </c>
      <c r="G570" s="3">
        <v>45</v>
      </c>
    </row>
    <row r="571" spans="1:7">
      <c r="A571" s="3">
        <v>570</v>
      </c>
      <c r="B571" s="3">
        <v>0.23</v>
      </c>
      <c r="C571" s="3">
        <v>0.64</v>
      </c>
      <c r="D571" s="3">
        <v>0.16</v>
      </c>
      <c r="E571" s="3">
        <v>4</v>
      </c>
      <c r="F571" s="3">
        <v>49</v>
      </c>
      <c r="G571" s="3">
        <v>53</v>
      </c>
    </row>
    <row r="572" spans="1:7">
      <c r="A572" s="3">
        <v>571</v>
      </c>
      <c r="B572" s="3">
        <v>0.23</v>
      </c>
      <c r="C572" s="3">
        <v>0.64</v>
      </c>
      <c r="D572" s="3">
        <v>0.16</v>
      </c>
      <c r="E572" s="3">
        <v>3</v>
      </c>
      <c r="F572" s="3">
        <v>37</v>
      </c>
      <c r="G572" s="3">
        <v>40</v>
      </c>
    </row>
    <row r="573" spans="1:7">
      <c r="A573" s="3">
        <v>572</v>
      </c>
      <c r="B573" s="3">
        <v>0.23</v>
      </c>
      <c r="C573" s="3">
        <v>0.69</v>
      </c>
      <c r="D573" s="3">
        <v>0.13</v>
      </c>
      <c r="E573" s="3">
        <v>3</v>
      </c>
      <c r="F573" s="3">
        <v>14</v>
      </c>
      <c r="G573" s="3">
        <v>17</v>
      </c>
    </row>
    <row r="574" spans="1:7">
      <c r="A574" s="3">
        <v>573</v>
      </c>
      <c r="B574" s="3">
        <v>0.24</v>
      </c>
      <c r="C574" s="3">
        <v>0.65</v>
      </c>
      <c r="D574" s="3">
        <v>0.13</v>
      </c>
      <c r="E574" s="3">
        <v>0</v>
      </c>
      <c r="F574" s="3">
        <v>5</v>
      </c>
      <c r="G574" s="3">
        <v>5</v>
      </c>
    </row>
    <row r="575" spans="1:7">
      <c r="A575" s="3">
        <v>574</v>
      </c>
      <c r="B575" s="3">
        <v>0.23</v>
      </c>
      <c r="C575" s="3">
        <v>0.69</v>
      </c>
      <c r="D575" s="3">
        <v>0.19</v>
      </c>
      <c r="E575" s="3">
        <v>3</v>
      </c>
      <c r="F575" s="3">
        <v>7</v>
      </c>
      <c r="G575" s="3">
        <v>10</v>
      </c>
    </row>
    <row r="576" spans="1:7">
      <c r="A576" s="3">
        <v>575</v>
      </c>
      <c r="B576" s="3">
        <v>0.18</v>
      </c>
      <c r="C576" s="3">
        <v>0.86</v>
      </c>
      <c r="D576" s="3">
        <v>0.28000000000000003</v>
      </c>
      <c r="E576" s="3">
        <v>0</v>
      </c>
      <c r="F576" s="3">
        <v>1</v>
      </c>
      <c r="G576" s="3">
        <v>1</v>
      </c>
    </row>
    <row r="577" spans="1:7">
      <c r="A577" s="3">
        <v>576</v>
      </c>
      <c r="B577" s="3">
        <v>0.18</v>
      </c>
      <c r="C577" s="3">
        <v>0.86</v>
      </c>
      <c r="D577" s="3">
        <v>0.28000000000000003</v>
      </c>
      <c r="E577" s="3">
        <v>0</v>
      </c>
      <c r="F577" s="3">
        <v>8</v>
      </c>
      <c r="G577" s="3">
        <v>8</v>
      </c>
    </row>
    <row r="578" spans="1:7">
      <c r="A578" s="3">
        <v>577</v>
      </c>
      <c r="B578" s="3">
        <v>0.21</v>
      </c>
      <c r="C578" s="3">
        <v>0.87</v>
      </c>
      <c r="D578" s="3">
        <v>0.3</v>
      </c>
      <c r="E578" s="3">
        <v>1</v>
      </c>
      <c r="F578" s="3">
        <v>29</v>
      </c>
      <c r="G578" s="3">
        <v>30</v>
      </c>
    </row>
    <row r="579" spans="1:7">
      <c r="A579" s="3">
        <v>578</v>
      </c>
      <c r="B579" s="3">
        <v>0.21</v>
      </c>
      <c r="C579" s="3">
        <v>0.87</v>
      </c>
      <c r="D579" s="3">
        <v>0.3</v>
      </c>
      <c r="E579" s="3">
        <v>3</v>
      </c>
      <c r="F579" s="3">
        <v>69</v>
      </c>
      <c r="G579" s="3">
        <v>72</v>
      </c>
    </row>
    <row r="580" spans="1:7">
      <c r="A580" s="3">
        <v>579</v>
      </c>
      <c r="B580" s="3">
        <v>0.21</v>
      </c>
      <c r="C580" s="3">
        <v>0.87</v>
      </c>
      <c r="D580" s="3">
        <v>0.3</v>
      </c>
      <c r="E580" s="3">
        <v>3</v>
      </c>
      <c r="F580" s="3">
        <v>55</v>
      </c>
      <c r="G580" s="3">
        <v>58</v>
      </c>
    </row>
    <row r="581" spans="1:7">
      <c r="A581" s="3">
        <v>580</v>
      </c>
      <c r="B581" s="3">
        <v>0.21</v>
      </c>
      <c r="C581" s="3">
        <v>0.93</v>
      </c>
      <c r="D581" s="3">
        <v>0.28000000000000003</v>
      </c>
      <c r="E581" s="3">
        <v>2</v>
      </c>
      <c r="F581" s="3">
        <v>26</v>
      </c>
      <c r="G581" s="3">
        <v>28</v>
      </c>
    </row>
    <row r="582" spans="1:7">
      <c r="A582" s="3">
        <v>581</v>
      </c>
      <c r="B582" s="3">
        <v>0.2</v>
      </c>
      <c r="C582" s="3">
        <v>0.93</v>
      </c>
      <c r="D582" s="3">
        <v>0.33</v>
      </c>
      <c r="E582" s="3">
        <v>6</v>
      </c>
      <c r="F582" s="3">
        <v>35</v>
      </c>
      <c r="G582" s="3">
        <v>41</v>
      </c>
    </row>
    <row r="583" spans="1:7">
      <c r="A583" s="3">
        <v>582</v>
      </c>
      <c r="B583" s="3">
        <v>0.2</v>
      </c>
      <c r="C583" s="3">
        <v>0.93</v>
      </c>
      <c r="D583" s="3">
        <v>0.33</v>
      </c>
      <c r="E583" s="3">
        <v>7</v>
      </c>
      <c r="F583" s="3">
        <v>41</v>
      </c>
      <c r="G583" s="3">
        <v>48</v>
      </c>
    </row>
    <row r="584" spans="1:7">
      <c r="A584" s="3">
        <v>583</v>
      </c>
      <c r="B584" s="3">
        <v>0.2</v>
      </c>
      <c r="C584" s="3">
        <v>0.93</v>
      </c>
      <c r="D584" s="3">
        <v>0.33</v>
      </c>
      <c r="E584" s="3">
        <v>4</v>
      </c>
      <c r="F584" s="3">
        <v>43</v>
      </c>
      <c r="G584" s="3">
        <v>47</v>
      </c>
    </row>
    <row r="585" spans="1:7">
      <c r="A585" s="3">
        <v>584</v>
      </c>
      <c r="B585" s="3">
        <v>0.2</v>
      </c>
      <c r="C585" s="3">
        <v>0.93</v>
      </c>
      <c r="D585" s="3">
        <v>0.36</v>
      </c>
      <c r="E585" s="3">
        <v>0</v>
      </c>
      <c r="F585" s="3">
        <v>36</v>
      </c>
      <c r="G585" s="3">
        <v>36</v>
      </c>
    </row>
    <row r="586" spans="1:7">
      <c r="A586" s="3">
        <v>585</v>
      </c>
      <c r="B586" s="3">
        <v>0.18</v>
      </c>
      <c r="C586" s="3">
        <v>0.93</v>
      </c>
      <c r="D586" s="3">
        <v>0.46</v>
      </c>
      <c r="E586" s="3">
        <v>1</v>
      </c>
      <c r="F586" s="3">
        <v>42</v>
      </c>
      <c r="G586" s="3">
        <v>43</v>
      </c>
    </row>
    <row r="587" spans="1:7">
      <c r="A587" s="3">
        <v>586</v>
      </c>
      <c r="B587" s="3">
        <v>0.2</v>
      </c>
      <c r="C587" s="3">
        <v>0.93</v>
      </c>
      <c r="D587" s="3">
        <v>0.33</v>
      </c>
      <c r="E587" s="3">
        <v>1</v>
      </c>
      <c r="F587" s="3">
        <v>35</v>
      </c>
      <c r="G587" s="3">
        <v>36</v>
      </c>
    </row>
    <row r="588" spans="1:7">
      <c r="A588" s="3">
        <v>587</v>
      </c>
      <c r="B588" s="3">
        <v>0.18</v>
      </c>
      <c r="C588" s="3">
        <v>0.93</v>
      </c>
      <c r="D588" s="3">
        <v>0.36</v>
      </c>
      <c r="E588" s="3">
        <v>0</v>
      </c>
      <c r="F588" s="3">
        <v>26</v>
      </c>
      <c r="G588" s="3">
        <v>26</v>
      </c>
    </row>
    <row r="589" spans="1:7">
      <c r="A589" s="3">
        <v>588</v>
      </c>
      <c r="B589" s="3">
        <v>0.23</v>
      </c>
      <c r="C589" s="3">
        <v>0.55000000000000004</v>
      </c>
      <c r="D589" s="3">
        <v>0.19</v>
      </c>
      <c r="E589" s="3">
        <v>1</v>
      </c>
      <c r="F589" s="3">
        <v>23</v>
      </c>
      <c r="G589" s="3">
        <v>24</v>
      </c>
    </row>
    <row r="590" spans="1:7">
      <c r="A590" s="3">
        <v>589</v>
      </c>
      <c r="B590" s="3">
        <v>0.24</v>
      </c>
      <c r="C590" s="3">
        <v>0.55000000000000004</v>
      </c>
      <c r="D590" s="3">
        <v>0.1</v>
      </c>
      <c r="E590" s="3">
        <v>2</v>
      </c>
      <c r="F590" s="3">
        <v>82</v>
      </c>
      <c r="G590" s="3">
        <v>84</v>
      </c>
    </row>
    <row r="591" spans="1:7">
      <c r="A591" s="3">
        <v>590</v>
      </c>
      <c r="B591" s="3">
        <v>0.23</v>
      </c>
      <c r="C591" s="3">
        <v>0.69</v>
      </c>
      <c r="D591" s="3">
        <v>0.09</v>
      </c>
      <c r="E591" s="3">
        <v>3</v>
      </c>
      <c r="F591" s="3">
        <v>101</v>
      </c>
      <c r="G591" s="3">
        <v>104</v>
      </c>
    </row>
    <row r="592" spans="1:7">
      <c r="A592" s="3">
        <v>591</v>
      </c>
      <c r="B592" s="3">
        <v>0.23</v>
      </c>
      <c r="C592" s="3">
        <v>0.69</v>
      </c>
      <c r="D592" s="3">
        <v>0.09</v>
      </c>
      <c r="E592" s="3">
        <v>3</v>
      </c>
      <c r="F592" s="3">
        <v>76</v>
      </c>
      <c r="G592" s="3">
        <v>79</v>
      </c>
    </row>
    <row r="593" spans="1:7">
      <c r="A593" s="3">
        <v>592</v>
      </c>
      <c r="B593" s="3">
        <v>0.21</v>
      </c>
      <c r="C593" s="3">
        <v>0.74</v>
      </c>
      <c r="D593" s="3">
        <v>0.09</v>
      </c>
      <c r="E593" s="3">
        <v>4</v>
      </c>
      <c r="F593" s="3">
        <v>55</v>
      </c>
      <c r="G593" s="3">
        <v>59</v>
      </c>
    </row>
    <row r="594" spans="1:7">
      <c r="A594" s="3">
        <v>593</v>
      </c>
      <c r="B594" s="3">
        <v>0.21</v>
      </c>
      <c r="C594" s="3">
        <v>0.74</v>
      </c>
      <c r="D594" s="3">
        <v>0.09</v>
      </c>
      <c r="E594" s="3">
        <v>2</v>
      </c>
      <c r="F594" s="3">
        <v>36</v>
      </c>
      <c r="G594" s="3">
        <v>38</v>
      </c>
    </row>
    <row r="595" spans="1:7">
      <c r="A595" s="3">
        <v>594</v>
      </c>
      <c r="B595" s="3">
        <v>0.21</v>
      </c>
      <c r="C595" s="3">
        <v>0.74</v>
      </c>
      <c r="D595" s="3">
        <v>0.09</v>
      </c>
      <c r="E595" s="3">
        <v>0</v>
      </c>
      <c r="F595" s="3">
        <v>27</v>
      </c>
      <c r="G595" s="3">
        <v>27</v>
      </c>
    </row>
    <row r="596" spans="1:7">
      <c r="A596" s="3">
        <v>595</v>
      </c>
      <c r="B596" s="3">
        <v>0.2</v>
      </c>
      <c r="C596" s="3">
        <v>0.8</v>
      </c>
      <c r="D596" s="3">
        <v>0.16</v>
      </c>
      <c r="E596" s="3">
        <v>0</v>
      </c>
      <c r="F596" s="3">
        <v>16</v>
      </c>
      <c r="G596" s="3">
        <v>16</v>
      </c>
    </row>
    <row r="597" spans="1:7">
      <c r="A597" s="3">
        <v>596</v>
      </c>
      <c r="B597" s="3">
        <v>0.21</v>
      </c>
      <c r="C597" s="3">
        <v>0.75</v>
      </c>
      <c r="D597" s="3">
        <v>0.13</v>
      </c>
      <c r="E597" s="3">
        <v>0</v>
      </c>
      <c r="F597" s="3">
        <v>9</v>
      </c>
      <c r="G597" s="3">
        <v>9</v>
      </c>
    </row>
    <row r="598" spans="1:7">
      <c r="A598" s="3">
        <v>597</v>
      </c>
      <c r="B598" s="3">
        <v>0.21</v>
      </c>
      <c r="C598" s="3">
        <v>0.75</v>
      </c>
      <c r="D598" s="3">
        <v>0.13</v>
      </c>
      <c r="E598" s="3">
        <v>1</v>
      </c>
      <c r="F598" s="3">
        <v>2</v>
      </c>
      <c r="G598" s="3">
        <v>3</v>
      </c>
    </row>
    <row r="599" spans="1:7">
      <c r="A599" s="3">
        <v>598</v>
      </c>
      <c r="B599" s="3">
        <v>0.21</v>
      </c>
      <c r="C599" s="3">
        <v>0.75</v>
      </c>
      <c r="D599" s="3">
        <v>0.16</v>
      </c>
      <c r="E599" s="3">
        <v>0</v>
      </c>
      <c r="F599" s="3">
        <v>2</v>
      </c>
      <c r="G599" s="3">
        <v>2</v>
      </c>
    </row>
    <row r="600" spans="1:7">
      <c r="A600" s="3">
        <v>599</v>
      </c>
      <c r="B600" s="3">
        <v>0.23</v>
      </c>
      <c r="C600" s="3">
        <v>0.75</v>
      </c>
      <c r="D600" s="3">
        <v>0.1</v>
      </c>
      <c r="E600" s="3">
        <v>1</v>
      </c>
      <c r="F600" s="3">
        <v>0</v>
      </c>
      <c r="G600" s="3">
        <v>1</v>
      </c>
    </row>
    <row r="601" spans="1:7">
      <c r="A601" s="3">
        <v>600</v>
      </c>
      <c r="B601" s="3">
        <v>0.21</v>
      </c>
      <c r="C601" s="3">
        <v>0.8</v>
      </c>
      <c r="D601" s="3">
        <v>0.1</v>
      </c>
      <c r="E601" s="3">
        <v>0</v>
      </c>
      <c r="F601" s="3">
        <v>4</v>
      </c>
      <c r="G601" s="3">
        <v>4</v>
      </c>
    </row>
    <row r="602" spans="1:7">
      <c r="A602" s="3">
        <v>601</v>
      </c>
      <c r="B602" s="3">
        <v>0.2</v>
      </c>
      <c r="C602" s="3">
        <v>0.8</v>
      </c>
      <c r="D602" s="3">
        <v>0.13</v>
      </c>
      <c r="E602" s="3">
        <v>0</v>
      </c>
      <c r="F602" s="3">
        <v>16</v>
      </c>
      <c r="G602" s="3">
        <v>16</v>
      </c>
    </row>
    <row r="603" spans="1:7">
      <c r="A603" s="3">
        <v>602</v>
      </c>
      <c r="B603" s="3">
        <v>0.2</v>
      </c>
      <c r="C603" s="3">
        <v>0.86</v>
      </c>
      <c r="D603" s="3">
        <v>0.09</v>
      </c>
      <c r="E603" s="3">
        <v>2</v>
      </c>
      <c r="F603" s="3">
        <v>58</v>
      </c>
      <c r="G603" s="3">
        <v>60</v>
      </c>
    </row>
    <row r="604" spans="1:7">
      <c r="A604" s="3">
        <v>603</v>
      </c>
      <c r="B604" s="3">
        <v>0.2</v>
      </c>
      <c r="C604" s="3">
        <v>0.86</v>
      </c>
      <c r="D604" s="3">
        <v>0.09</v>
      </c>
      <c r="E604" s="3">
        <v>2</v>
      </c>
      <c r="F604" s="3">
        <v>155</v>
      </c>
      <c r="G604" s="3">
        <v>157</v>
      </c>
    </row>
    <row r="605" spans="1:7">
      <c r="A605" s="3">
        <v>604</v>
      </c>
      <c r="B605" s="3">
        <v>0.21</v>
      </c>
      <c r="C605" s="3">
        <v>0.86</v>
      </c>
      <c r="D605" s="3">
        <v>0.09</v>
      </c>
      <c r="E605" s="3">
        <v>6</v>
      </c>
      <c r="F605" s="3">
        <v>95</v>
      </c>
      <c r="G605" s="3">
        <v>101</v>
      </c>
    </row>
    <row r="606" spans="1:7">
      <c r="A606" s="3">
        <v>605</v>
      </c>
      <c r="B606" s="3">
        <v>0.21</v>
      </c>
      <c r="C606" s="3">
        <v>0.86</v>
      </c>
      <c r="D606" s="3">
        <v>0.1</v>
      </c>
      <c r="E606" s="3">
        <v>0</v>
      </c>
      <c r="F606" s="3">
        <v>49</v>
      </c>
      <c r="G606" s="3">
        <v>49</v>
      </c>
    </row>
    <row r="607" spans="1:7">
      <c r="A607" s="3">
        <v>606</v>
      </c>
      <c r="B607" s="3">
        <v>0.21</v>
      </c>
      <c r="C607" s="3">
        <v>0.93</v>
      </c>
      <c r="D607" s="3">
        <v>0.1</v>
      </c>
      <c r="E607" s="3">
        <v>0</v>
      </c>
      <c r="F607" s="3">
        <v>30</v>
      </c>
      <c r="G607" s="3">
        <v>30</v>
      </c>
    </row>
    <row r="608" spans="1:7">
      <c r="A608" s="3">
        <v>607</v>
      </c>
      <c r="B608" s="3">
        <v>0.21</v>
      </c>
      <c r="C608" s="3">
        <v>0.93</v>
      </c>
      <c r="D608" s="3">
        <v>0.1</v>
      </c>
      <c r="E608" s="3">
        <v>1</v>
      </c>
      <c r="F608" s="3">
        <v>28</v>
      </c>
      <c r="G608" s="3">
        <v>29</v>
      </c>
    </row>
    <row r="609" spans="1:7">
      <c r="A609" s="3">
        <v>608</v>
      </c>
      <c r="B609" s="3">
        <v>0.21</v>
      </c>
      <c r="C609" s="3">
        <v>0.93</v>
      </c>
      <c r="D609" s="3">
        <v>0.1</v>
      </c>
      <c r="E609" s="3">
        <v>0</v>
      </c>
      <c r="F609" s="3">
        <v>31</v>
      </c>
      <c r="G609" s="3">
        <v>31</v>
      </c>
    </row>
    <row r="610" spans="1:7">
      <c r="A610" s="3">
        <v>609</v>
      </c>
      <c r="B610" s="3">
        <v>0.27</v>
      </c>
      <c r="C610" s="3">
        <v>0.8</v>
      </c>
      <c r="D610" s="3">
        <v>0</v>
      </c>
      <c r="E610" s="3">
        <v>2</v>
      </c>
      <c r="F610" s="3">
        <v>36</v>
      </c>
      <c r="G610" s="3">
        <v>38</v>
      </c>
    </row>
    <row r="611" spans="1:7">
      <c r="A611" s="3">
        <v>610</v>
      </c>
      <c r="B611" s="3">
        <v>0.26</v>
      </c>
      <c r="C611" s="3">
        <v>0.86</v>
      </c>
      <c r="D611" s="3">
        <v>0</v>
      </c>
      <c r="E611" s="3">
        <v>1</v>
      </c>
      <c r="F611" s="3">
        <v>40</v>
      </c>
      <c r="G611" s="3">
        <v>41</v>
      </c>
    </row>
  </sheetData>
  <mergeCells count="1">
    <mergeCell ref="I2:K6"/>
  </mergeCell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outlinePr summaryBelow="0" summaryRight="0"/>
  </sheetPr>
  <dimension ref="A1:L611"/>
  <sheetViews>
    <sheetView workbookViewId="0">
      <selection activeCell="J1" sqref="J1"/>
    </sheetView>
  </sheetViews>
  <sheetFormatPr defaultColWidth="12.6328125" defaultRowHeight="15.75" customHeight="1"/>
  <cols>
    <col min="2" max="2" width="12.6328125" style="1"/>
    <col min="4" max="4" width="18.26953125" customWidth="1"/>
    <col min="7" max="7" width="12.6328125" customWidth="1"/>
    <col min="8" max="8" width="12.6328125" style="2"/>
    <col min="9" max="9" width="9.36328125" customWidth="1"/>
    <col min="10" max="10" width="19.453125" customWidth="1"/>
    <col min="11" max="11" width="18" customWidth="1"/>
    <col min="12" max="12" width="21.453125" customWidth="1"/>
    <col min="13" max="13" width="21" customWidth="1"/>
  </cols>
  <sheetData>
    <row r="1" spans="1:12" ht="15.75" customHeight="1">
      <c r="A1" s="34" t="s">
        <v>7</v>
      </c>
      <c r="B1" s="4" t="s">
        <v>32</v>
      </c>
      <c r="C1" s="35" t="s">
        <v>33</v>
      </c>
      <c r="D1" s="35" t="s">
        <v>26</v>
      </c>
      <c r="E1" s="35" t="s">
        <v>34</v>
      </c>
      <c r="F1" s="35" t="s">
        <v>35</v>
      </c>
      <c r="G1" s="5" t="s">
        <v>36</v>
      </c>
      <c r="H1" s="6" t="s">
        <v>37</v>
      </c>
      <c r="I1" s="40"/>
      <c r="J1" s="25"/>
      <c r="K1" s="25"/>
      <c r="L1" s="25"/>
    </row>
    <row r="2" spans="1:12" ht="15.75" customHeight="1">
      <c r="A2" s="16">
        <v>1</v>
      </c>
      <c r="B2" s="18">
        <v>40544</v>
      </c>
      <c r="C2" s="20">
        <v>0</v>
      </c>
      <c r="D2" s="36" t="str">
        <f>IF(Table1[[#This Row],[Hour]]&lt;6,"Night",IF(Table1[[#This Row],[Hour]]&lt;12,"Morning",IF(Table1[[#This Row],[Hour]]&lt;18,"Afternoon","Evening")))</f>
        <v>Night</v>
      </c>
      <c r="E2" s="9" t="b">
        <v>0</v>
      </c>
      <c r="F2" s="19" t="s">
        <v>25</v>
      </c>
      <c r="G2" s="19" t="s">
        <v>8</v>
      </c>
      <c r="H2" s="10">
        <v>0.24</v>
      </c>
      <c r="I2" s="41"/>
      <c r="J2" s="33"/>
      <c r="K2" s="33"/>
      <c r="L2" s="33"/>
    </row>
    <row r="3" spans="1:12" ht="15.75" customHeight="1">
      <c r="A3" s="15">
        <v>2</v>
      </c>
      <c r="B3" s="17">
        <v>40544</v>
      </c>
      <c r="C3" s="19">
        <v>1</v>
      </c>
      <c r="D3" s="19" t="str">
        <f>IF(Table1[[#This Row],[Hour]]&lt;6,"Night",IF(Table1[[#This Row],[Hour]]&lt;12,"Morning",IF(Table1[[#This Row],[Hour]]&lt;18,"Afternoon","Evening")))</f>
        <v>Night</v>
      </c>
      <c r="E3" s="9" t="b">
        <v>0</v>
      </c>
      <c r="F3" s="9" t="s">
        <v>25</v>
      </c>
      <c r="G3" s="19" t="s">
        <v>8</v>
      </c>
      <c r="H3" s="10">
        <v>0.22</v>
      </c>
      <c r="I3" s="42"/>
      <c r="J3" s="27" t="s">
        <v>3</v>
      </c>
      <c r="K3" s="27" t="s">
        <v>4</v>
      </c>
      <c r="L3" s="27" t="s">
        <v>5</v>
      </c>
    </row>
    <row r="4" spans="1:12" ht="15.75" customHeight="1">
      <c r="A4" s="15">
        <v>3</v>
      </c>
      <c r="B4" s="17">
        <v>40544</v>
      </c>
      <c r="C4" s="19">
        <v>2</v>
      </c>
      <c r="D4" s="19" t="str">
        <f>IF(Table1[[#This Row],[Hour]]&lt;6,"Night",IF(Table1[[#This Row],[Hour]]&lt;12,"Morning",IF(Table1[[#This Row],[Hour]]&lt;18,"Afternoon","Evening")))</f>
        <v>Night</v>
      </c>
      <c r="E4" s="9" t="b">
        <v>0</v>
      </c>
      <c r="F4" s="9" t="s">
        <v>25</v>
      </c>
      <c r="G4" s="9" t="s">
        <v>8</v>
      </c>
      <c r="H4" s="10">
        <v>0.22</v>
      </c>
      <c r="I4" s="42"/>
      <c r="J4" s="28" t="s">
        <v>0</v>
      </c>
      <c r="K4" s="29">
        <v>1</v>
      </c>
      <c r="L4" s="28" t="s">
        <v>6</v>
      </c>
    </row>
    <row r="5" spans="1:12" ht="15.75" customHeight="1">
      <c r="A5" s="15">
        <v>4</v>
      </c>
      <c r="B5" s="17">
        <v>40544</v>
      </c>
      <c r="C5" s="19">
        <v>3</v>
      </c>
      <c r="D5" s="19" t="str">
        <f>IF(Table1[[#This Row],[Hour]]&lt;6,"Night",IF(Table1[[#This Row],[Hour]]&lt;12,"Morning",IF(Table1[[#This Row],[Hour]]&lt;18,"Afternoon","Evening")))</f>
        <v>Night</v>
      </c>
      <c r="E5" s="9" t="b">
        <v>0</v>
      </c>
      <c r="F5" s="9" t="s">
        <v>25</v>
      </c>
      <c r="G5" s="9" t="s">
        <v>8</v>
      </c>
      <c r="H5" s="10">
        <v>0.24</v>
      </c>
      <c r="I5" s="42"/>
      <c r="J5" s="28" t="s">
        <v>1</v>
      </c>
      <c r="K5" s="29">
        <v>0</v>
      </c>
      <c r="L5" s="28" t="s">
        <v>6</v>
      </c>
    </row>
    <row r="6" spans="1:12" ht="15.75" customHeight="1">
      <c r="A6" s="15">
        <v>5</v>
      </c>
      <c r="B6" s="17">
        <v>40544</v>
      </c>
      <c r="C6" s="19">
        <v>4</v>
      </c>
      <c r="D6" s="19" t="str">
        <f>IF(Table1[[#This Row],[Hour]]&lt;6,"Night",IF(Table1[[#This Row],[Hour]]&lt;12,"Morning",IF(Table1[[#This Row],[Hour]]&lt;18,"Afternoon","Evening")))</f>
        <v>Night</v>
      </c>
      <c r="E6" s="9" t="b">
        <v>0</v>
      </c>
      <c r="F6" s="9" t="s">
        <v>25</v>
      </c>
      <c r="G6" s="9" t="s">
        <v>8</v>
      </c>
      <c r="H6" s="10">
        <v>0.24</v>
      </c>
      <c r="I6" s="42"/>
      <c r="J6" s="28" t="s">
        <v>2</v>
      </c>
      <c r="K6" s="29">
        <v>1</v>
      </c>
      <c r="L6" s="28" t="s">
        <v>6</v>
      </c>
    </row>
    <row r="7" spans="1:12" ht="15.75" customHeight="1">
      <c r="A7" s="7">
        <v>6</v>
      </c>
      <c r="B7" s="8">
        <v>40544</v>
      </c>
      <c r="C7" s="9">
        <v>5</v>
      </c>
      <c r="D7" s="9" t="str">
        <f>IF(Table1[[#This Row],[Hour]]&lt;6,"Night",IF(Table1[[#This Row],[Hour]]&lt;12,"Morning",IF(Table1[[#This Row],[Hour]]&lt;18,"Afternoon","Evening")))</f>
        <v>Night</v>
      </c>
      <c r="E7" s="9" t="b">
        <v>0</v>
      </c>
      <c r="F7" s="9" t="s">
        <v>25</v>
      </c>
      <c r="G7" s="9" t="s">
        <v>9</v>
      </c>
      <c r="H7" s="10">
        <v>0.24</v>
      </c>
      <c r="I7" s="42"/>
    </row>
    <row r="8" spans="1:12" ht="15.75" customHeight="1">
      <c r="A8" s="7">
        <v>7</v>
      </c>
      <c r="B8" s="8">
        <v>40544</v>
      </c>
      <c r="C8" s="9">
        <v>6</v>
      </c>
      <c r="D8" s="9" t="str">
        <f>IF(Table1[[#This Row],[Hour]]&lt;6,"Night",IF(Table1[[#This Row],[Hour]]&lt;12,"Morning",IF(Table1[[#This Row],[Hour]]&lt;18,"Afternoon","Evening")))</f>
        <v>Morning</v>
      </c>
      <c r="E8" s="9" t="b">
        <v>0</v>
      </c>
      <c r="F8" s="9" t="s">
        <v>25</v>
      </c>
      <c r="G8" s="9" t="s">
        <v>8</v>
      </c>
      <c r="H8" s="10">
        <v>0.22</v>
      </c>
      <c r="I8" s="41"/>
      <c r="J8" s="43" t="s">
        <v>31</v>
      </c>
    </row>
    <row r="9" spans="1:12" ht="15.75" customHeight="1">
      <c r="A9" s="7">
        <v>8</v>
      </c>
      <c r="B9" s="8">
        <v>40544</v>
      </c>
      <c r="C9" s="9">
        <v>7</v>
      </c>
      <c r="D9" s="9" t="str">
        <f>IF(Table1[[#This Row],[Hour]]&lt;6,"Night",IF(Table1[[#This Row],[Hour]]&lt;12,"Morning",IF(Table1[[#This Row],[Hour]]&lt;18,"Afternoon","Evening")))</f>
        <v>Morning</v>
      </c>
      <c r="E9" s="9" t="b">
        <v>0</v>
      </c>
      <c r="F9" s="9" t="s">
        <v>25</v>
      </c>
      <c r="G9" s="9" t="s">
        <v>8</v>
      </c>
      <c r="H9" s="10">
        <v>0.2</v>
      </c>
      <c r="I9" s="41"/>
      <c r="J9" s="44">
        <f>AVERAGE(Table1[Temperature])</f>
        <v>0.19688524590163942</v>
      </c>
    </row>
    <row r="10" spans="1:12" ht="15.75" customHeight="1">
      <c r="A10" s="7">
        <v>9</v>
      </c>
      <c r="B10" s="8">
        <v>40544</v>
      </c>
      <c r="C10" s="9">
        <v>8</v>
      </c>
      <c r="D10" s="9" t="str">
        <f>IF(Table1[[#This Row],[Hour]]&lt;6,"Night",IF(Table1[[#This Row],[Hour]]&lt;12,"Morning",IF(Table1[[#This Row],[Hour]]&lt;18,"Afternoon","Evening")))</f>
        <v>Morning</v>
      </c>
      <c r="E10" s="9" t="b">
        <v>0</v>
      </c>
      <c r="F10" s="9" t="s">
        <v>25</v>
      </c>
      <c r="G10" s="9" t="s">
        <v>8</v>
      </c>
      <c r="H10" s="10">
        <v>0.24</v>
      </c>
      <c r="I10" s="41"/>
    </row>
    <row r="11" spans="1:12" ht="15.75" customHeight="1">
      <c r="A11" s="7">
        <v>10</v>
      </c>
      <c r="B11" s="8">
        <v>40544</v>
      </c>
      <c r="C11" s="9">
        <v>9</v>
      </c>
      <c r="D11" s="9" t="str">
        <f>IF(Table1[[#This Row],[Hour]]&lt;6,"Night",IF(Table1[[#This Row],[Hour]]&lt;12,"Morning",IF(Table1[[#This Row],[Hour]]&lt;18,"Afternoon","Evening")))</f>
        <v>Morning</v>
      </c>
      <c r="E11" s="9" t="b">
        <v>0</v>
      </c>
      <c r="F11" s="9" t="s">
        <v>25</v>
      </c>
      <c r="G11" s="9" t="s">
        <v>8</v>
      </c>
      <c r="H11" s="10">
        <v>0.32</v>
      </c>
      <c r="I11" s="41"/>
    </row>
    <row r="12" spans="1:12" ht="15.75" customHeight="1">
      <c r="A12" s="7">
        <v>11</v>
      </c>
      <c r="B12" s="8">
        <v>40544</v>
      </c>
      <c r="C12" s="9">
        <v>10</v>
      </c>
      <c r="D12" s="9" t="str">
        <f>IF(Table1[[#This Row],[Hour]]&lt;6,"Night",IF(Table1[[#This Row],[Hour]]&lt;12,"Morning",IF(Table1[[#This Row],[Hour]]&lt;18,"Afternoon","Evening")))</f>
        <v>Morning</v>
      </c>
      <c r="E12" s="9" t="b">
        <v>0</v>
      </c>
      <c r="F12" s="9" t="s">
        <v>25</v>
      </c>
      <c r="G12" s="9" t="s">
        <v>8</v>
      </c>
      <c r="H12" s="10">
        <v>0.38</v>
      </c>
      <c r="I12" s="41"/>
    </row>
    <row r="13" spans="1:12" ht="15.75" customHeight="1">
      <c r="A13" s="7">
        <v>12</v>
      </c>
      <c r="B13" s="8">
        <v>40544</v>
      </c>
      <c r="C13" s="9">
        <v>11</v>
      </c>
      <c r="D13" s="9" t="str">
        <f>IF(Table1[[#This Row],[Hour]]&lt;6,"Night",IF(Table1[[#This Row],[Hour]]&lt;12,"Morning",IF(Table1[[#This Row],[Hour]]&lt;18,"Afternoon","Evening")))</f>
        <v>Morning</v>
      </c>
      <c r="E13" s="9" t="b">
        <v>0</v>
      </c>
      <c r="F13" s="9" t="s">
        <v>25</v>
      </c>
      <c r="G13" s="9" t="s">
        <v>8</v>
      </c>
      <c r="H13" s="10">
        <v>0.36</v>
      </c>
      <c r="I13" s="41"/>
    </row>
    <row r="14" spans="1:12" ht="15.75" customHeight="1">
      <c r="A14" s="7">
        <v>13</v>
      </c>
      <c r="B14" s="8">
        <v>40544</v>
      </c>
      <c r="C14" s="9">
        <v>12</v>
      </c>
      <c r="D14" s="9" t="str">
        <f>IF(Table1[[#This Row],[Hour]]&lt;6,"Night",IF(Table1[[#This Row],[Hour]]&lt;12,"Morning",IF(Table1[[#This Row],[Hour]]&lt;18,"Afternoon","Evening")))</f>
        <v>Afternoon</v>
      </c>
      <c r="E14" s="9" t="b">
        <v>0</v>
      </c>
      <c r="F14" s="9" t="s">
        <v>25</v>
      </c>
      <c r="G14" s="9" t="s">
        <v>8</v>
      </c>
      <c r="H14" s="10">
        <v>0.42</v>
      </c>
      <c r="I14" s="41"/>
    </row>
    <row r="15" spans="1:12" ht="15.75" customHeight="1">
      <c r="A15" s="7">
        <v>14</v>
      </c>
      <c r="B15" s="8">
        <v>40544</v>
      </c>
      <c r="C15" s="9">
        <v>13</v>
      </c>
      <c r="D15" s="9" t="str">
        <f>IF(Table1[[#This Row],[Hour]]&lt;6,"Night",IF(Table1[[#This Row],[Hour]]&lt;12,"Morning",IF(Table1[[#This Row],[Hour]]&lt;18,"Afternoon","Evening")))</f>
        <v>Afternoon</v>
      </c>
      <c r="E15" s="9" t="b">
        <v>0</v>
      </c>
      <c r="F15" s="9" t="s">
        <v>25</v>
      </c>
      <c r="G15" s="9" t="s">
        <v>9</v>
      </c>
      <c r="H15" s="10">
        <v>0.46</v>
      </c>
      <c r="I15" s="41"/>
    </row>
    <row r="16" spans="1:12" ht="15.75" customHeight="1">
      <c r="A16" s="7">
        <v>15</v>
      </c>
      <c r="B16" s="8">
        <v>40544</v>
      </c>
      <c r="C16" s="9">
        <v>14</v>
      </c>
      <c r="D16" s="9" t="str">
        <f>IF(Table1[[#This Row],[Hour]]&lt;6,"Night",IF(Table1[[#This Row],[Hour]]&lt;12,"Morning",IF(Table1[[#This Row],[Hour]]&lt;18,"Afternoon","Evening")))</f>
        <v>Afternoon</v>
      </c>
      <c r="E16" s="9" t="b">
        <v>0</v>
      </c>
      <c r="F16" s="9" t="s">
        <v>25</v>
      </c>
      <c r="G16" s="9" t="s">
        <v>9</v>
      </c>
      <c r="H16" s="10">
        <v>0.46</v>
      </c>
      <c r="I16" s="41"/>
    </row>
    <row r="17" spans="1:9" ht="15.75" customHeight="1">
      <c r="A17" s="7">
        <v>16</v>
      </c>
      <c r="B17" s="8">
        <v>40544</v>
      </c>
      <c r="C17" s="9">
        <v>15</v>
      </c>
      <c r="D17" s="9" t="str">
        <f>IF(Table1[[#This Row],[Hour]]&lt;6,"Night",IF(Table1[[#This Row],[Hour]]&lt;12,"Morning",IF(Table1[[#This Row],[Hour]]&lt;18,"Afternoon","Evening")))</f>
        <v>Afternoon</v>
      </c>
      <c r="E17" s="9" t="b">
        <v>0</v>
      </c>
      <c r="F17" s="9" t="s">
        <v>25</v>
      </c>
      <c r="G17" s="9" t="s">
        <v>9</v>
      </c>
      <c r="H17" s="10">
        <v>0.44</v>
      </c>
      <c r="I17" s="41"/>
    </row>
    <row r="18" spans="1:9" ht="15.75" customHeight="1">
      <c r="A18" s="7">
        <v>17</v>
      </c>
      <c r="B18" s="8">
        <v>40544</v>
      </c>
      <c r="C18" s="9">
        <v>16</v>
      </c>
      <c r="D18" s="9" t="str">
        <f>IF(Table1[[#This Row],[Hour]]&lt;6,"Night",IF(Table1[[#This Row],[Hour]]&lt;12,"Morning",IF(Table1[[#This Row],[Hour]]&lt;18,"Afternoon","Evening")))</f>
        <v>Afternoon</v>
      </c>
      <c r="E18" s="9" t="b">
        <v>0</v>
      </c>
      <c r="F18" s="9" t="s">
        <v>25</v>
      </c>
      <c r="G18" s="9" t="s">
        <v>9</v>
      </c>
      <c r="H18" s="10">
        <v>0.42</v>
      </c>
      <c r="I18" s="41"/>
    </row>
    <row r="19" spans="1:9" ht="15.75" customHeight="1">
      <c r="A19" s="7">
        <v>18</v>
      </c>
      <c r="B19" s="8">
        <v>40544</v>
      </c>
      <c r="C19" s="9">
        <v>17</v>
      </c>
      <c r="D19" s="9" t="str">
        <f>IF(Table1[[#This Row],[Hour]]&lt;6,"Night",IF(Table1[[#This Row],[Hour]]&lt;12,"Morning",IF(Table1[[#This Row],[Hour]]&lt;18,"Afternoon","Evening")))</f>
        <v>Afternoon</v>
      </c>
      <c r="E19" s="9" t="b">
        <v>0</v>
      </c>
      <c r="F19" s="9" t="s">
        <v>25</v>
      </c>
      <c r="G19" s="9" t="s">
        <v>9</v>
      </c>
      <c r="H19" s="10">
        <v>0.44</v>
      </c>
      <c r="I19" s="41"/>
    </row>
    <row r="20" spans="1:9" ht="15.75" customHeight="1">
      <c r="A20" s="7">
        <v>19</v>
      </c>
      <c r="B20" s="8">
        <v>40544</v>
      </c>
      <c r="C20" s="9">
        <v>18</v>
      </c>
      <c r="D20" s="9" t="str">
        <f>IF(Table1[[#This Row],[Hour]]&lt;6,"Night",IF(Table1[[#This Row],[Hour]]&lt;12,"Morning",IF(Table1[[#This Row],[Hour]]&lt;18,"Afternoon","Evening")))</f>
        <v>Evening</v>
      </c>
      <c r="E20" s="9" t="b">
        <v>0</v>
      </c>
      <c r="F20" s="9" t="s">
        <v>25</v>
      </c>
      <c r="G20" s="9" t="s">
        <v>10</v>
      </c>
      <c r="H20" s="10">
        <v>0.42</v>
      </c>
      <c r="I20" s="41"/>
    </row>
    <row r="21" spans="1:9" ht="12.5">
      <c r="A21" s="7">
        <v>20</v>
      </c>
      <c r="B21" s="8">
        <v>40544</v>
      </c>
      <c r="C21" s="9">
        <v>19</v>
      </c>
      <c r="D21" s="9" t="str">
        <f>IF(Table1[[#This Row],[Hour]]&lt;6,"Night",IF(Table1[[#This Row],[Hour]]&lt;12,"Morning",IF(Table1[[#This Row],[Hour]]&lt;18,"Afternoon","Evening")))</f>
        <v>Evening</v>
      </c>
      <c r="E21" s="9" t="b">
        <v>0</v>
      </c>
      <c r="F21" s="9" t="s">
        <v>25</v>
      </c>
      <c r="G21" s="9" t="s">
        <v>10</v>
      </c>
      <c r="H21" s="10">
        <v>0.42</v>
      </c>
      <c r="I21" s="41"/>
    </row>
    <row r="22" spans="1:9" ht="12.5">
      <c r="A22" s="7">
        <v>21</v>
      </c>
      <c r="B22" s="8">
        <v>40544</v>
      </c>
      <c r="C22" s="9">
        <v>20</v>
      </c>
      <c r="D22" s="9" t="str">
        <f>IF(Table1[[#This Row],[Hour]]&lt;6,"Night",IF(Table1[[#This Row],[Hour]]&lt;12,"Morning",IF(Table1[[#This Row],[Hour]]&lt;18,"Afternoon","Evening")))</f>
        <v>Evening</v>
      </c>
      <c r="E22" s="9" t="b">
        <v>0</v>
      </c>
      <c r="F22" s="9" t="s">
        <v>25</v>
      </c>
      <c r="G22" s="9" t="s">
        <v>9</v>
      </c>
      <c r="H22" s="10">
        <v>0.4</v>
      </c>
      <c r="I22" s="41"/>
    </row>
    <row r="23" spans="1:9" ht="12.5">
      <c r="A23" s="7">
        <v>22</v>
      </c>
      <c r="B23" s="8">
        <v>40544</v>
      </c>
      <c r="C23" s="9">
        <v>21</v>
      </c>
      <c r="D23" s="9" t="str">
        <f>IF(Table1[[#This Row],[Hour]]&lt;6,"Night",IF(Table1[[#This Row],[Hour]]&lt;12,"Morning",IF(Table1[[#This Row],[Hour]]&lt;18,"Afternoon","Evening")))</f>
        <v>Evening</v>
      </c>
      <c r="E23" s="9" t="b">
        <v>0</v>
      </c>
      <c r="F23" s="9" t="s">
        <v>25</v>
      </c>
      <c r="G23" s="9" t="s">
        <v>9</v>
      </c>
      <c r="H23" s="10">
        <v>0.4</v>
      </c>
      <c r="I23" s="41"/>
    </row>
    <row r="24" spans="1:9" ht="12.5">
      <c r="A24" s="7">
        <v>23</v>
      </c>
      <c r="B24" s="8">
        <v>40544</v>
      </c>
      <c r="C24" s="9">
        <v>22</v>
      </c>
      <c r="D24" s="9" t="str">
        <f>IF(Table1[[#This Row],[Hour]]&lt;6,"Night",IF(Table1[[#This Row],[Hour]]&lt;12,"Morning",IF(Table1[[#This Row],[Hour]]&lt;18,"Afternoon","Evening")))</f>
        <v>Evening</v>
      </c>
      <c r="E24" s="9" t="b">
        <v>0</v>
      </c>
      <c r="F24" s="9" t="s">
        <v>25</v>
      </c>
      <c r="G24" s="9" t="s">
        <v>9</v>
      </c>
      <c r="H24" s="10">
        <v>0.4</v>
      </c>
      <c r="I24" s="41"/>
    </row>
    <row r="25" spans="1:9" ht="12.5">
      <c r="A25" s="7">
        <v>24</v>
      </c>
      <c r="B25" s="8">
        <v>40544</v>
      </c>
      <c r="C25" s="9">
        <v>23</v>
      </c>
      <c r="D25" s="9" t="str">
        <f>IF(Table1[[#This Row],[Hour]]&lt;6,"Night",IF(Table1[[#This Row],[Hour]]&lt;12,"Morning",IF(Table1[[#This Row],[Hour]]&lt;18,"Afternoon","Evening")))</f>
        <v>Evening</v>
      </c>
      <c r="E25" s="9" t="b">
        <v>0</v>
      </c>
      <c r="F25" s="9" t="s">
        <v>25</v>
      </c>
      <c r="G25" s="9" t="s">
        <v>9</v>
      </c>
      <c r="H25" s="10">
        <v>0.46</v>
      </c>
      <c r="I25" s="41"/>
    </row>
    <row r="26" spans="1:9" ht="12.5">
      <c r="A26" s="7">
        <v>25</v>
      </c>
      <c r="B26" s="8">
        <v>40545</v>
      </c>
      <c r="C26" s="9">
        <v>0</v>
      </c>
      <c r="D26" s="9" t="str">
        <f>IF(Table1[[#This Row],[Hour]]&lt;6,"Night",IF(Table1[[#This Row],[Hour]]&lt;12,"Morning",IF(Table1[[#This Row],[Hour]]&lt;18,"Afternoon","Evening")))</f>
        <v>Night</v>
      </c>
      <c r="E26" s="9" t="b">
        <v>0</v>
      </c>
      <c r="F26" s="9" t="s">
        <v>19</v>
      </c>
      <c r="G26" s="9" t="s">
        <v>9</v>
      </c>
      <c r="H26" s="10">
        <v>0.46</v>
      </c>
      <c r="I26" s="41"/>
    </row>
    <row r="27" spans="1:9" ht="12.5">
      <c r="A27" s="7">
        <v>26</v>
      </c>
      <c r="B27" s="8">
        <v>40545</v>
      </c>
      <c r="C27" s="9">
        <v>1</v>
      </c>
      <c r="D27" s="9" t="str">
        <f>IF(Table1[[#This Row],[Hour]]&lt;6,"Night",IF(Table1[[#This Row],[Hour]]&lt;12,"Morning",IF(Table1[[#This Row],[Hour]]&lt;18,"Afternoon","Evening")))</f>
        <v>Night</v>
      </c>
      <c r="E27" s="9" t="b">
        <v>0</v>
      </c>
      <c r="F27" s="9" t="s">
        <v>19</v>
      </c>
      <c r="G27" s="9" t="s">
        <v>9</v>
      </c>
      <c r="H27" s="10">
        <v>0.44</v>
      </c>
      <c r="I27" s="41"/>
    </row>
    <row r="28" spans="1:9" ht="12.5">
      <c r="A28" s="7">
        <v>27</v>
      </c>
      <c r="B28" s="8">
        <v>40545</v>
      </c>
      <c r="C28" s="9">
        <v>2</v>
      </c>
      <c r="D28" s="9" t="str">
        <f>IF(Table1[[#This Row],[Hour]]&lt;6,"Night",IF(Table1[[#This Row],[Hour]]&lt;12,"Morning",IF(Table1[[#This Row],[Hour]]&lt;18,"Afternoon","Evening")))</f>
        <v>Night</v>
      </c>
      <c r="E28" s="9" t="b">
        <v>0</v>
      </c>
      <c r="F28" s="9" t="s">
        <v>19</v>
      </c>
      <c r="G28" s="9" t="s">
        <v>9</v>
      </c>
      <c r="H28" s="10">
        <v>0.42</v>
      </c>
      <c r="I28" s="41"/>
    </row>
    <row r="29" spans="1:9" ht="12.5">
      <c r="A29" s="7">
        <v>28</v>
      </c>
      <c r="B29" s="8">
        <v>40545</v>
      </c>
      <c r="C29" s="9">
        <v>3</v>
      </c>
      <c r="D29" s="9" t="str">
        <f>IF(Table1[[#This Row],[Hour]]&lt;6,"Night",IF(Table1[[#This Row],[Hour]]&lt;12,"Morning",IF(Table1[[#This Row],[Hour]]&lt;18,"Afternoon","Evening")))</f>
        <v>Night</v>
      </c>
      <c r="E29" s="9" t="b">
        <v>0</v>
      </c>
      <c r="F29" s="9" t="s">
        <v>19</v>
      </c>
      <c r="G29" s="9" t="s">
        <v>9</v>
      </c>
      <c r="H29" s="10">
        <v>0.46</v>
      </c>
      <c r="I29" s="41"/>
    </row>
    <row r="30" spans="1:9" ht="12.5">
      <c r="A30" s="7">
        <v>29</v>
      </c>
      <c r="B30" s="8">
        <v>40545</v>
      </c>
      <c r="C30" s="9">
        <v>4</v>
      </c>
      <c r="D30" s="9" t="str">
        <f>IF(Table1[[#This Row],[Hour]]&lt;6,"Night",IF(Table1[[#This Row],[Hour]]&lt;12,"Morning",IF(Table1[[#This Row],[Hour]]&lt;18,"Afternoon","Evening")))</f>
        <v>Night</v>
      </c>
      <c r="E30" s="9" t="b">
        <v>0</v>
      </c>
      <c r="F30" s="9" t="s">
        <v>19</v>
      </c>
      <c r="G30" s="9" t="s">
        <v>9</v>
      </c>
      <c r="H30" s="10">
        <v>0.46</v>
      </c>
      <c r="I30" s="41"/>
    </row>
    <row r="31" spans="1:9" ht="12.5">
      <c r="A31" s="7">
        <v>30</v>
      </c>
      <c r="B31" s="8">
        <v>40545</v>
      </c>
      <c r="C31" s="9">
        <v>6</v>
      </c>
      <c r="D31" s="9" t="str">
        <f>IF(Table1[[#This Row],[Hour]]&lt;6,"Night",IF(Table1[[#This Row],[Hour]]&lt;12,"Morning",IF(Table1[[#This Row],[Hour]]&lt;18,"Afternoon","Evening")))</f>
        <v>Morning</v>
      </c>
      <c r="E31" s="9" t="b">
        <v>0</v>
      </c>
      <c r="F31" s="9" t="s">
        <v>19</v>
      </c>
      <c r="G31" s="9" t="s">
        <v>10</v>
      </c>
      <c r="H31" s="10">
        <v>0.42</v>
      </c>
      <c r="I31" s="41"/>
    </row>
    <row r="32" spans="1:9" ht="12.5">
      <c r="A32" s="7">
        <v>31</v>
      </c>
      <c r="B32" s="8">
        <v>40545</v>
      </c>
      <c r="C32" s="9">
        <v>7</v>
      </c>
      <c r="D32" s="9" t="str">
        <f>IF(Table1[[#This Row],[Hour]]&lt;6,"Night",IF(Table1[[#This Row],[Hour]]&lt;12,"Morning",IF(Table1[[#This Row],[Hour]]&lt;18,"Afternoon","Evening")))</f>
        <v>Morning</v>
      </c>
      <c r="E32" s="9" t="b">
        <v>0</v>
      </c>
      <c r="F32" s="9" t="s">
        <v>19</v>
      </c>
      <c r="G32" s="9" t="s">
        <v>9</v>
      </c>
      <c r="H32" s="10">
        <v>0.4</v>
      </c>
      <c r="I32" s="41"/>
    </row>
    <row r="33" spans="1:9" ht="12.5">
      <c r="A33" s="7">
        <v>32</v>
      </c>
      <c r="B33" s="8">
        <v>40545</v>
      </c>
      <c r="C33" s="9">
        <v>8</v>
      </c>
      <c r="D33" s="9" t="str">
        <f>IF(Table1[[#This Row],[Hour]]&lt;6,"Night",IF(Table1[[#This Row],[Hour]]&lt;12,"Morning",IF(Table1[[#This Row],[Hour]]&lt;18,"Afternoon","Evening")))</f>
        <v>Morning</v>
      </c>
      <c r="E33" s="9" t="b">
        <v>0</v>
      </c>
      <c r="F33" s="9" t="s">
        <v>19</v>
      </c>
      <c r="G33" s="9" t="s">
        <v>10</v>
      </c>
      <c r="H33" s="10">
        <v>0.4</v>
      </c>
      <c r="I33" s="41"/>
    </row>
    <row r="34" spans="1:9" ht="12.5">
      <c r="A34" s="7">
        <v>33</v>
      </c>
      <c r="B34" s="8">
        <v>40545</v>
      </c>
      <c r="C34" s="9">
        <v>9</v>
      </c>
      <c r="D34" s="9" t="str">
        <f>IF(Table1[[#This Row],[Hour]]&lt;6,"Night",IF(Table1[[#This Row],[Hour]]&lt;12,"Morning",IF(Table1[[#This Row],[Hour]]&lt;18,"Afternoon","Evening")))</f>
        <v>Morning</v>
      </c>
      <c r="E34" s="9" t="b">
        <v>0</v>
      </c>
      <c r="F34" s="9" t="s">
        <v>19</v>
      </c>
      <c r="G34" s="9" t="s">
        <v>9</v>
      </c>
      <c r="H34" s="10">
        <v>0.38</v>
      </c>
      <c r="I34" s="41"/>
    </row>
    <row r="35" spans="1:9" ht="12.5">
      <c r="A35" s="7">
        <v>34</v>
      </c>
      <c r="B35" s="8">
        <v>40545</v>
      </c>
      <c r="C35" s="9">
        <v>10</v>
      </c>
      <c r="D35" s="9" t="str">
        <f>IF(Table1[[#This Row],[Hour]]&lt;6,"Night",IF(Table1[[#This Row],[Hour]]&lt;12,"Morning",IF(Table1[[#This Row],[Hour]]&lt;18,"Afternoon","Evening")))</f>
        <v>Morning</v>
      </c>
      <c r="E35" s="9" t="b">
        <v>0</v>
      </c>
      <c r="F35" s="9" t="s">
        <v>19</v>
      </c>
      <c r="G35" s="9" t="s">
        <v>9</v>
      </c>
      <c r="H35" s="10">
        <v>0.36</v>
      </c>
      <c r="I35" s="41"/>
    </row>
    <row r="36" spans="1:9" ht="12.5">
      <c r="A36" s="7">
        <v>35</v>
      </c>
      <c r="B36" s="8">
        <v>40545</v>
      </c>
      <c r="C36" s="9">
        <v>11</v>
      </c>
      <c r="D36" s="9" t="str">
        <f>IF(Table1[[#This Row],[Hour]]&lt;6,"Night",IF(Table1[[#This Row],[Hour]]&lt;12,"Morning",IF(Table1[[#This Row],[Hour]]&lt;18,"Afternoon","Evening")))</f>
        <v>Morning</v>
      </c>
      <c r="E36" s="9" t="b">
        <v>0</v>
      </c>
      <c r="F36" s="9" t="s">
        <v>19</v>
      </c>
      <c r="G36" s="9" t="s">
        <v>9</v>
      </c>
      <c r="H36" s="10">
        <v>0.36</v>
      </c>
      <c r="I36" s="41"/>
    </row>
    <row r="37" spans="1:9" ht="12.5">
      <c r="A37" s="7">
        <v>36</v>
      </c>
      <c r="B37" s="8">
        <v>40545</v>
      </c>
      <c r="C37" s="9">
        <v>12</v>
      </c>
      <c r="D37" s="9" t="str">
        <f>IF(Table1[[#This Row],[Hour]]&lt;6,"Night",IF(Table1[[#This Row],[Hour]]&lt;12,"Morning",IF(Table1[[#This Row],[Hour]]&lt;18,"Afternoon","Evening")))</f>
        <v>Afternoon</v>
      </c>
      <c r="E37" s="9" t="b">
        <v>0</v>
      </c>
      <c r="F37" s="9" t="s">
        <v>19</v>
      </c>
      <c r="G37" s="9" t="s">
        <v>9</v>
      </c>
      <c r="H37" s="10">
        <v>0.36</v>
      </c>
      <c r="I37" s="41"/>
    </row>
    <row r="38" spans="1:9" ht="12.5">
      <c r="A38" s="7">
        <v>37</v>
      </c>
      <c r="B38" s="8">
        <v>40545</v>
      </c>
      <c r="C38" s="9">
        <v>13</v>
      </c>
      <c r="D38" s="9" t="str">
        <f>IF(Table1[[#This Row],[Hour]]&lt;6,"Night",IF(Table1[[#This Row],[Hour]]&lt;12,"Morning",IF(Table1[[#This Row],[Hour]]&lt;18,"Afternoon","Evening")))</f>
        <v>Afternoon</v>
      </c>
      <c r="E38" s="9" t="b">
        <v>0</v>
      </c>
      <c r="F38" s="9" t="s">
        <v>19</v>
      </c>
      <c r="G38" s="9" t="s">
        <v>9</v>
      </c>
      <c r="H38" s="10">
        <v>0.36</v>
      </c>
      <c r="I38" s="41"/>
    </row>
    <row r="39" spans="1:9" ht="12.5">
      <c r="A39" s="7">
        <v>38</v>
      </c>
      <c r="B39" s="8">
        <v>40545</v>
      </c>
      <c r="C39" s="9">
        <v>14</v>
      </c>
      <c r="D39" s="9" t="str">
        <f>IF(Table1[[#This Row],[Hour]]&lt;6,"Night",IF(Table1[[#This Row],[Hour]]&lt;12,"Morning",IF(Table1[[#This Row],[Hour]]&lt;18,"Afternoon","Evening")))</f>
        <v>Afternoon</v>
      </c>
      <c r="E39" s="9" t="b">
        <v>0</v>
      </c>
      <c r="F39" s="9" t="s">
        <v>19</v>
      </c>
      <c r="G39" s="9" t="s">
        <v>10</v>
      </c>
      <c r="H39" s="10">
        <v>0.36</v>
      </c>
      <c r="I39" s="41"/>
    </row>
    <row r="40" spans="1:9" ht="12.5">
      <c r="A40" s="7">
        <v>39</v>
      </c>
      <c r="B40" s="8">
        <v>40545</v>
      </c>
      <c r="C40" s="9">
        <v>15</v>
      </c>
      <c r="D40" s="9" t="str">
        <f>IF(Table1[[#This Row],[Hour]]&lt;6,"Night",IF(Table1[[#This Row],[Hour]]&lt;12,"Morning",IF(Table1[[#This Row],[Hour]]&lt;18,"Afternoon","Evening")))</f>
        <v>Afternoon</v>
      </c>
      <c r="E40" s="9" t="b">
        <v>0</v>
      </c>
      <c r="F40" s="9" t="s">
        <v>19</v>
      </c>
      <c r="G40" s="9" t="s">
        <v>10</v>
      </c>
      <c r="H40" s="10">
        <v>0.34</v>
      </c>
      <c r="I40" s="41"/>
    </row>
    <row r="41" spans="1:9" ht="12.5">
      <c r="A41" s="7">
        <v>40</v>
      </c>
      <c r="B41" s="8">
        <v>40545</v>
      </c>
      <c r="C41" s="9">
        <v>16</v>
      </c>
      <c r="D41" s="9" t="str">
        <f>IF(Table1[[#This Row],[Hour]]&lt;6,"Night",IF(Table1[[#This Row],[Hour]]&lt;12,"Morning",IF(Table1[[#This Row],[Hour]]&lt;18,"Afternoon","Evening")))</f>
        <v>Afternoon</v>
      </c>
      <c r="E41" s="9" t="b">
        <v>0</v>
      </c>
      <c r="F41" s="9" t="s">
        <v>19</v>
      </c>
      <c r="G41" s="9" t="s">
        <v>10</v>
      </c>
      <c r="H41" s="10">
        <v>0.34</v>
      </c>
      <c r="I41" s="41"/>
    </row>
    <row r="42" spans="1:9" ht="12.5">
      <c r="A42" s="7">
        <v>41</v>
      </c>
      <c r="B42" s="8">
        <v>40545</v>
      </c>
      <c r="C42" s="9">
        <v>17</v>
      </c>
      <c r="D42" s="9" t="str">
        <f>IF(Table1[[#This Row],[Hour]]&lt;6,"Night",IF(Table1[[#This Row],[Hour]]&lt;12,"Morning",IF(Table1[[#This Row],[Hour]]&lt;18,"Afternoon","Evening")))</f>
        <v>Afternoon</v>
      </c>
      <c r="E42" s="9" t="b">
        <v>0</v>
      </c>
      <c r="F42" s="9" t="s">
        <v>19</v>
      </c>
      <c r="G42" s="9" t="s">
        <v>8</v>
      </c>
      <c r="H42" s="10">
        <v>0.34</v>
      </c>
      <c r="I42" s="41"/>
    </row>
    <row r="43" spans="1:9" ht="12.5">
      <c r="A43" s="7">
        <v>42</v>
      </c>
      <c r="B43" s="8">
        <v>40545</v>
      </c>
      <c r="C43" s="9">
        <v>18</v>
      </c>
      <c r="D43" s="9" t="str">
        <f>IF(Table1[[#This Row],[Hour]]&lt;6,"Night",IF(Table1[[#This Row],[Hour]]&lt;12,"Morning",IF(Table1[[#This Row],[Hour]]&lt;18,"Afternoon","Evening")))</f>
        <v>Evening</v>
      </c>
      <c r="E43" s="9" t="b">
        <v>0</v>
      </c>
      <c r="F43" s="9" t="s">
        <v>19</v>
      </c>
      <c r="G43" s="9" t="s">
        <v>9</v>
      </c>
      <c r="H43" s="10">
        <v>0.36</v>
      </c>
      <c r="I43" s="41"/>
    </row>
    <row r="44" spans="1:9" ht="12.5">
      <c r="A44" s="7">
        <v>43</v>
      </c>
      <c r="B44" s="8">
        <v>40545</v>
      </c>
      <c r="C44" s="9">
        <v>19</v>
      </c>
      <c r="D44" s="9" t="str">
        <f>IF(Table1[[#This Row],[Hour]]&lt;6,"Night",IF(Table1[[#This Row],[Hour]]&lt;12,"Morning",IF(Table1[[#This Row],[Hour]]&lt;18,"Afternoon","Evening")))</f>
        <v>Evening</v>
      </c>
      <c r="E44" s="9" t="b">
        <v>0</v>
      </c>
      <c r="F44" s="9" t="s">
        <v>19</v>
      </c>
      <c r="G44" s="9" t="s">
        <v>8</v>
      </c>
      <c r="H44" s="10">
        <v>0.32</v>
      </c>
      <c r="I44" s="41"/>
    </row>
    <row r="45" spans="1:9" ht="12.5">
      <c r="A45" s="7">
        <v>44</v>
      </c>
      <c r="B45" s="8">
        <v>40545</v>
      </c>
      <c r="C45" s="9">
        <v>20</v>
      </c>
      <c r="D45" s="9" t="str">
        <f>IF(Table1[[#This Row],[Hour]]&lt;6,"Night",IF(Table1[[#This Row],[Hour]]&lt;12,"Morning",IF(Table1[[#This Row],[Hour]]&lt;18,"Afternoon","Evening")))</f>
        <v>Evening</v>
      </c>
      <c r="E45" s="9" t="b">
        <v>0</v>
      </c>
      <c r="F45" s="9" t="s">
        <v>19</v>
      </c>
      <c r="G45" s="9" t="s">
        <v>8</v>
      </c>
      <c r="H45" s="10">
        <v>0.3</v>
      </c>
      <c r="I45" s="41"/>
    </row>
    <row r="46" spans="1:9" ht="12.5">
      <c r="A46" s="7">
        <v>45</v>
      </c>
      <c r="B46" s="8">
        <v>40545</v>
      </c>
      <c r="C46" s="9">
        <v>21</v>
      </c>
      <c r="D46" s="9" t="str">
        <f>IF(Table1[[#This Row],[Hour]]&lt;6,"Night",IF(Table1[[#This Row],[Hour]]&lt;12,"Morning",IF(Table1[[#This Row],[Hour]]&lt;18,"Afternoon","Evening")))</f>
        <v>Evening</v>
      </c>
      <c r="E46" s="9" t="b">
        <v>0</v>
      </c>
      <c r="F46" s="9" t="s">
        <v>19</v>
      </c>
      <c r="G46" s="9" t="s">
        <v>8</v>
      </c>
      <c r="H46" s="10">
        <v>0.26</v>
      </c>
      <c r="I46" s="41"/>
    </row>
    <row r="47" spans="1:9" ht="12.5">
      <c r="A47" s="7">
        <v>46</v>
      </c>
      <c r="B47" s="8">
        <v>40545</v>
      </c>
      <c r="C47" s="9">
        <v>22</v>
      </c>
      <c r="D47" s="9" t="str">
        <f>IF(Table1[[#This Row],[Hour]]&lt;6,"Night",IF(Table1[[#This Row],[Hour]]&lt;12,"Morning",IF(Table1[[#This Row],[Hour]]&lt;18,"Afternoon","Evening")))</f>
        <v>Evening</v>
      </c>
      <c r="E47" s="9" t="b">
        <v>0</v>
      </c>
      <c r="F47" s="9" t="s">
        <v>19</v>
      </c>
      <c r="G47" s="9" t="s">
        <v>8</v>
      </c>
      <c r="H47" s="10">
        <v>0.24</v>
      </c>
      <c r="I47" s="41"/>
    </row>
    <row r="48" spans="1:9" ht="12.5">
      <c r="A48" s="7">
        <v>47</v>
      </c>
      <c r="B48" s="8">
        <v>40545</v>
      </c>
      <c r="C48" s="9">
        <v>23</v>
      </c>
      <c r="D48" s="9" t="str">
        <f>IF(Table1[[#This Row],[Hour]]&lt;6,"Night",IF(Table1[[#This Row],[Hour]]&lt;12,"Morning",IF(Table1[[#This Row],[Hour]]&lt;18,"Afternoon","Evening")))</f>
        <v>Evening</v>
      </c>
      <c r="E48" s="9" t="b">
        <v>0</v>
      </c>
      <c r="F48" s="9" t="s">
        <v>19</v>
      </c>
      <c r="G48" s="9" t="s">
        <v>8</v>
      </c>
      <c r="H48" s="10">
        <v>0.22</v>
      </c>
      <c r="I48" s="41"/>
    </row>
    <row r="49" spans="1:9" ht="12.5">
      <c r="A49" s="7">
        <v>48</v>
      </c>
      <c r="B49" s="8">
        <v>40546</v>
      </c>
      <c r="C49" s="9">
        <v>0</v>
      </c>
      <c r="D49" s="9" t="str">
        <f>IF(Table1[[#This Row],[Hour]]&lt;6,"Night",IF(Table1[[#This Row],[Hour]]&lt;12,"Morning",IF(Table1[[#This Row],[Hour]]&lt;18,"Afternoon","Evening")))</f>
        <v>Night</v>
      </c>
      <c r="E49" s="9" t="b">
        <v>0</v>
      </c>
      <c r="F49" s="9" t="s">
        <v>20</v>
      </c>
      <c r="G49" s="9" t="s">
        <v>8</v>
      </c>
      <c r="H49" s="10">
        <v>0.22</v>
      </c>
      <c r="I49" s="41"/>
    </row>
    <row r="50" spans="1:9" ht="12.5">
      <c r="A50" s="7">
        <v>49</v>
      </c>
      <c r="B50" s="8">
        <v>40546</v>
      </c>
      <c r="C50" s="9">
        <v>1</v>
      </c>
      <c r="D50" s="9" t="str">
        <f>IF(Table1[[#This Row],[Hour]]&lt;6,"Night",IF(Table1[[#This Row],[Hour]]&lt;12,"Morning",IF(Table1[[#This Row],[Hour]]&lt;18,"Afternoon","Evening")))</f>
        <v>Night</v>
      </c>
      <c r="E50" s="9" t="b">
        <v>0</v>
      </c>
      <c r="F50" s="9" t="s">
        <v>20</v>
      </c>
      <c r="G50" s="9" t="s">
        <v>8</v>
      </c>
      <c r="H50" s="10">
        <v>0.2</v>
      </c>
      <c r="I50" s="41"/>
    </row>
    <row r="51" spans="1:9" ht="12.5">
      <c r="A51" s="7">
        <v>50</v>
      </c>
      <c r="B51" s="8">
        <v>40546</v>
      </c>
      <c r="C51" s="9">
        <v>4</v>
      </c>
      <c r="D51" s="9" t="str">
        <f>IF(Table1[[#This Row],[Hour]]&lt;6,"Night",IF(Table1[[#This Row],[Hour]]&lt;12,"Morning",IF(Table1[[#This Row],[Hour]]&lt;18,"Afternoon","Evening")))</f>
        <v>Night</v>
      </c>
      <c r="E51" s="9" t="b">
        <v>0</v>
      </c>
      <c r="F51" s="9" t="s">
        <v>20</v>
      </c>
      <c r="G51" s="9" t="s">
        <v>8</v>
      </c>
      <c r="H51" s="10">
        <v>0.16</v>
      </c>
      <c r="I51" s="41"/>
    </row>
    <row r="52" spans="1:9" ht="12.5">
      <c r="A52" s="7">
        <v>51</v>
      </c>
      <c r="B52" s="8">
        <v>40546</v>
      </c>
      <c r="C52" s="9">
        <v>5</v>
      </c>
      <c r="D52" s="9" t="str">
        <f>IF(Table1[[#This Row],[Hour]]&lt;6,"Night",IF(Table1[[#This Row],[Hour]]&lt;12,"Morning",IF(Table1[[#This Row],[Hour]]&lt;18,"Afternoon","Evening")))</f>
        <v>Night</v>
      </c>
      <c r="E52" s="9" t="b">
        <v>0</v>
      </c>
      <c r="F52" s="9" t="s">
        <v>20</v>
      </c>
      <c r="G52" s="9" t="s">
        <v>8</v>
      </c>
      <c r="H52" s="10">
        <v>0.16</v>
      </c>
      <c r="I52" s="41"/>
    </row>
    <row r="53" spans="1:9" ht="12.5">
      <c r="A53" s="7">
        <v>52</v>
      </c>
      <c r="B53" s="8">
        <v>40546</v>
      </c>
      <c r="C53" s="9">
        <v>6</v>
      </c>
      <c r="D53" s="9" t="str">
        <f>IF(Table1[[#This Row],[Hour]]&lt;6,"Night",IF(Table1[[#This Row],[Hour]]&lt;12,"Morning",IF(Table1[[#This Row],[Hour]]&lt;18,"Afternoon","Evening")))</f>
        <v>Morning</v>
      </c>
      <c r="E53" s="9" t="b">
        <v>0</v>
      </c>
      <c r="F53" s="9" t="s">
        <v>20</v>
      </c>
      <c r="G53" s="9" t="s">
        <v>8</v>
      </c>
      <c r="H53" s="10">
        <v>0.14000000000000001</v>
      </c>
      <c r="I53" s="41"/>
    </row>
    <row r="54" spans="1:9" ht="12.5">
      <c r="A54" s="7">
        <v>53</v>
      </c>
      <c r="B54" s="8">
        <v>40546</v>
      </c>
      <c r="C54" s="9">
        <v>7</v>
      </c>
      <c r="D54" s="9" t="str">
        <f>IF(Table1[[#This Row],[Hour]]&lt;6,"Night",IF(Table1[[#This Row],[Hour]]&lt;12,"Morning",IF(Table1[[#This Row],[Hour]]&lt;18,"Afternoon","Evening")))</f>
        <v>Morning</v>
      </c>
      <c r="E54" s="9" t="b">
        <v>0</v>
      </c>
      <c r="F54" s="9" t="s">
        <v>20</v>
      </c>
      <c r="G54" s="9" t="s">
        <v>8</v>
      </c>
      <c r="H54" s="10">
        <v>0.14000000000000001</v>
      </c>
      <c r="I54" s="41"/>
    </row>
    <row r="55" spans="1:9" ht="12.5">
      <c r="A55" s="7">
        <v>54</v>
      </c>
      <c r="B55" s="8">
        <v>40546</v>
      </c>
      <c r="C55" s="9">
        <v>8</v>
      </c>
      <c r="D55" s="9" t="str">
        <f>IF(Table1[[#This Row],[Hour]]&lt;6,"Night",IF(Table1[[#This Row],[Hour]]&lt;12,"Morning",IF(Table1[[#This Row],[Hour]]&lt;18,"Afternoon","Evening")))</f>
        <v>Morning</v>
      </c>
      <c r="E55" s="9" t="b">
        <v>0</v>
      </c>
      <c r="F55" s="9" t="s">
        <v>20</v>
      </c>
      <c r="G55" s="9" t="s">
        <v>8</v>
      </c>
      <c r="H55" s="10">
        <v>0.14000000000000001</v>
      </c>
      <c r="I55" s="41"/>
    </row>
    <row r="56" spans="1:9" ht="12.5">
      <c r="A56" s="7">
        <v>55</v>
      </c>
      <c r="B56" s="8">
        <v>40546</v>
      </c>
      <c r="C56" s="9">
        <v>9</v>
      </c>
      <c r="D56" s="9" t="str">
        <f>IF(Table1[[#This Row],[Hour]]&lt;6,"Night",IF(Table1[[#This Row],[Hour]]&lt;12,"Morning",IF(Table1[[#This Row],[Hour]]&lt;18,"Afternoon","Evening")))</f>
        <v>Morning</v>
      </c>
      <c r="E56" s="9" t="b">
        <v>0</v>
      </c>
      <c r="F56" s="9" t="s">
        <v>20</v>
      </c>
      <c r="G56" s="9" t="s">
        <v>8</v>
      </c>
      <c r="H56" s="10">
        <v>0.16</v>
      </c>
      <c r="I56" s="41"/>
    </row>
    <row r="57" spans="1:9" ht="12.5">
      <c r="A57" s="7">
        <v>56</v>
      </c>
      <c r="B57" s="8">
        <v>40546</v>
      </c>
      <c r="C57" s="9">
        <v>10</v>
      </c>
      <c r="D57" s="9" t="str">
        <f>IF(Table1[[#This Row],[Hour]]&lt;6,"Night",IF(Table1[[#This Row],[Hour]]&lt;12,"Morning",IF(Table1[[#This Row],[Hour]]&lt;18,"Afternoon","Evening")))</f>
        <v>Morning</v>
      </c>
      <c r="E57" s="9" t="b">
        <v>0</v>
      </c>
      <c r="F57" s="9" t="s">
        <v>20</v>
      </c>
      <c r="G57" s="9" t="s">
        <v>8</v>
      </c>
      <c r="H57" s="10">
        <v>0.18</v>
      </c>
      <c r="I57" s="41"/>
    </row>
    <row r="58" spans="1:9" ht="12.5">
      <c r="A58" s="7">
        <v>57</v>
      </c>
      <c r="B58" s="8">
        <v>40546</v>
      </c>
      <c r="C58" s="9">
        <v>11</v>
      </c>
      <c r="D58" s="9" t="str">
        <f>IF(Table1[[#This Row],[Hour]]&lt;6,"Night",IF(Table1[[#This Row],[Hour]]&lt;12,"Morning",IF(Table1[[#This Row],[Hour]]&lt;18,"Afternoon","Evening")))</f>
        <v>Morning</v>
      </c>
      <c r="E58" s="9" t="b">
        <v>0</v>
      </c>
      <c r="F58" s="9" t="s">
        <v>20</v>
      </c>
      <c r="G58" s="9" t="s">
        <v>8</v>
      </c>
      <c r="H58" s="10">
        <v>0.2</v>
      </c>
      <c r="I58" s="41"/>
    </row>
    <row r="59" spans="1:9" ht="12.5">
      <c r="A59" s="7">
        <v>58</v>
      </c>
      <c r="B59" s="8">
        <v>40546</v>
      </c>
      <c r="C59" s="9">
        <v>12</v>
      </c>
      <c r="D59" s="9" t="str">
        <f>IF(Table1[[#This Row],[Hour]]&lt;6,"Night",IF(Table1[[#This Row],[Hour]]&lt;12,"Morning",IF(Table1[[#This Row],[Hour]]&lt;18,"Afternoon","Evening")))</f>
        <v>Afternoon</v>
      </c>
      <c r="E59" s="9" t="b">
        <v>0</v>
      </c>
      <c r="F59" s="9" t="s">
        <v>20</v>
      </c>
      <c r="G59" s="9" t="s">
        <v>8</v>
      </c>
      <c r="H59" s="10">
        <v>0.22</v>
      </c>
      <c r="I59" s="41"/>
    </row>
    <row r="60" spans="1:9" ht="12.5">
      <c r="A60" s="7">
        <v>59</v>
      </c>
      <c r="B60" s="8">
        <v>40546</v>
      </c>
      <c r="C60" s="9">
        <v>13</v>
      </c>
      <c r="D60" s="9" t="str">
        <f>IF(Table1[[#This Row],[Hour]]&lt;6,"Night",IF(Table1[[#This Row],[Hour]]&lt;12,"Morning",IF(Table1[[#This Row],[Hour]]&lt;18,"Afternoon","Evening")))</f>
        <v>Afternoon</v>
      </c>
      <c r="E60" s="9" t="b">
        <v>0</v>
      </c>
      <c r="F60" s="9" t="s">
        <v>20</v>
      </c>
      <c r="G60" s="9" t="s">
        <v>8</v>
      </c>
      <c r="H60" s="10">
        <v>0.24</v>
      </c>
      <c r="I60" s="41"/>
    </row>
    <row r="61" spans="1:9" ht="12.5">
      <c r="A61" s="7">
        <v>60</v>
      </c>
      <c r="B61" s="8">
        <v>40546</v>
      </c>
      <c r="C61" s="9">
        <v>14</v>
      </c>
      <c r="D61" s="9" t="str">
        <f>IF(Table1[[#This Row],[Hour]]&lt;6,"Night",IF(Table1[[#This Row],[Hour]]&lt;12,"Morning",IF(Table1[[#This Row],[Hour]]&lt;18,"Afternoon","Evening")))</f>
        <v>Afternoon</v>
      </c>
      <c r="E61" s="9" t="b">
        <v>0</v>
      </c>
      <c r="F61" s="9" t="s">
        <v>20</v>
      </c>
      <c r="G61" s="9" t="s">
        <v>8</v>
      </c>
      <c r="H61" s="10">
        <v>0.26</v>
      </c>
      <c r="I61" s="41"/>
    </row>
    <row r="62" spans="1:9" ht="12.5">
      <c r="A62" s="7">
        <v>61</v>
      </c>
      <c r="B62" s="8">
        <v>40546</v>
      </c>
      <c r="C62" s="9">
        <v>15</v>
      </c>
      <c r="D62" s="9" t="str">
        <f>IF(Table1[[#This Row],[Hour]]&lt;6,"Night",IF(Table1[[#This Row],[Hour]]&lt;12,"Morning",IF(Table1[[#This Row],[Hour]]&lt;18,"Afternoon","Evening")))</f>
        <v>Afternoon</v>
      </c>
      <c r="E62" s="9" t="b">
        <v>0</v>
      </c>
      <c r="F62" s="9" t="s">
        <v>20</v>
      </c>
      <c r="G62" s="9" t="s">
        <v>8</v>
      </c>
      <c r="H62" s="10">
        <v>0.26</v>
      </c>
      <c r="I62" s="41"/>
    </row>
    <row r="63" spans="1:9" ht="12.5">
      <c r="A63" s="7">
        <v>62</v>
      </c>
      <c r="B63" s="8">
        <v>40546</v>
      </c>
      <c r="C63" s="9">
        <v>16</v>
      </c>
      <c r="D63" s="9" t="str">
        <f>IF(Table1[[#This Row],[Hour]]&lt;6,"Night",IF(Table1[[#This Row],[Hour]]&lt;12,"Morning",IF(Table1[[#This Row],[Hour]]&lt;18,"Afternoon","Evening")))</f>
        <v>Afternoon</v>
      </c>
      <c r="E63" s="9" t="b">
        <v>0</v>
      </c>
      <c r="F63" s="9" t="s">
        <v>20</v>
      </c>
      <c r="G63" s="9" t="s">
        <v>8</v>
      </c>
      <c r="H63" s="10">
        <v>0.26</v>
      </c>
      <c r="I63" s="41"/>
    </row>
    <row r="64" spans="1:9" ht="12.5">
      <c r="A64" s="7">
        <v>63</v>
      </c>
      <c r="B64" s="8">
        <v>40546</v>
      </c>
      <c r="C64" s="9">
        <v>17</v>
      </c>
      <c r="D64" s="9" t="str">
        <f>IF(Table1[[#This Row],[Hour]]&lt;6,"Night",IF(Table1[[#This Row],[Hour]]&lt;12,"Morning",IF(Table1[[#This Row],[Hour]]&lt;18,"Afternoon","Evening")))</f>
        <v>Afternoon</v>
      </c>
      <c r="E64" s="9" t="b">
        <v>0</v>
      </c>
      <c r="F64" s="9" t="s">
        <v>20</v>
      </c>
      <c r="G64" s="9" t="s">
        <v>8</v>
      </c>
      <c r="H64" s="10">
        <v>0.24</v>
      </c>
      <c r="I64" s="41"/>
    </row>
    <row r="65" spans="1:9" ht="12.5">
      <c r="A65" s="7">
        <v>64</v>
      </c>
      <c r="B65" s="8">
        <v>40546</v>
      </c>
      <c r="C65" s="9">
        <v>18</v>
      </c>
      <c r="D65" s="9" t="str">
        <f>IF(Table1[[#This Row],[Hour]]&lt;6,"Night",IF(Table1[[#This Row],[Hour]]&lt;12,"Morning",IF(Table1[[#This Row],[Hour]]&lt;18,"Afternoon","Evening")))</f>
        <v>Evening</v>
      </c>
      <c r="E65" s="9" t="b">
        <v>0</v>
      </c>
      <c r="F65" s="9" t="s">
        <v>20</v>
      </c>
      <c r="G65" s="9" t="s">
        <v>8</v>
      </c>
      <c r="H65" s="10">
        <v>0.24</v>
      </c>
      <c r="I65" s="41"/>
    </row>
    <row r="66" spans="1:9" ht="12.5">
      <c r="A66" s="7">
        <v>65</v>
      </c>
      <c r="B66" s="8">
        <v>40546</v>
      </c>
      <c r="C66" s="9">
        <v>19</v>
      </c>
      <c r="D66" s="9" t="str">
        <f>IF(Table1[[#This Row],[Hour]]&lt;6,"Night",IF(Table1[[#This Row],[Hour]]&lt;12,"Morning",IF(Table1[[#This Row],[Hour]]&lt;18,"Afternoon","Evening")))</f>
        <v>Evening</v>
      </c>
      <c r="E66" s="9" t="b">
        <v>0</v>
      </c>
      <c r="F66" s="9" t="s">
        <v>20</v>
      </c>
      <c r="G66" s="9" t="s">
        <v>8</v>
      </c>
      <c r="H66" s="10">
        <v>0.2</v>
      </c>
      <c r="I66" s="41"/>
    </row>
    <row r="67" spans="1:9" ht="12.5">
      <c r="A67" s="7">
        <v>66</v>
      </c>
      <c r="B67" s="8">
        <v>40546</v>
      </c>
      <c r="C67" s="9">
        <v>20</v>
      </c>
      <c r="D67" s="9" t="str">
        <f>IF(Table1[[#This Row],[Hour]]&lt;6,"Night",IF(Table1[[#This Row],[Hour]]&lt;12,"Morning",IF(Table1[[#This Row],[Hour]]&lt;18,"Afternoon","Evening")))</f>
        <v>Evening</v>
      </c>
      <c r="E67" s="9" t="b">
        <v>0</v>
      </c>
      <c r="F67" s="9" t="s">
        <v>20</v>
      </c>
      <c r="G67" s="9" t="s">
        <v>8</v>
      </c>
      <c r="H67" s="10">
        <v>0.2</v>
      </c>
      <c r="I67" s="41"/>
    </row>
    <row r="68" spans="1:9" ht="12.5">
      <c r="A68" s="7">
        <v>67</v>
      </c>
      <c r="B68" s="8">
        <v>40546</v>
      </c>
      <c r="C68" s="9">
        <v>21</v>
      </c>
      <c r="D68" s="9" t="str">
        <f>IF(Table1[[#This Row],[Hour]]&lt;6,"Night",IF(Table1[[#This Row],[Hour]]&lt;12,"Morning",IF(Table1[[#This Row],[Hour]]&lt;18,"Afternoon","Evening")))</f>
        <v>Evening</v>
      </c>
      <c r="E68" s="9" t="b">
        <v>0</v>
      </c>
      <c r="F68" s="9" t="s">
        <v>20</v>
      </c>
      <c r="G68" s="9" t="s">
        <v>8</v>
      </c>
      <c r="H68" s="10">
        <v>0.18</v>
      </c>
      <c r="I68" s="41"/>
    </row>
    <row r="69" spans="1:9" ht="12.5">
      <c r="A69" s="7">
        <v>68</v>
      </c>
      <c r="B69" s="8">
        <v>40546</v>
      </c>
      <c r="C69" s="9">
        <v>22</v>
      </c>
      <c r="D69" s="9" t="str">
        <f>IF(Table1[[#This Row],[Hour]]&lt;6,"Night",IF(Table1[[#This Row],[Hour]]&lt;12,"Morning",IF(Table1[[#This Row],[Hour]]&lt;18,"Afternoon","Evening")))</f>
        <v>Evening</v>
      </c>
      <c r="E69" s="9" t="b">
        <v>0</v>
      </c>
      <c r="F69" s="9" t="s">
        <v>20</v>
      </c>
      <c r="G69" s="9" t="s">
        <v>8</v>
      </c>
      <c r="H69" s="10">
        <v>0.14000000000000001</v>
      </c>
      <c r="I69" s="41"/>
    </row>
    <row r="70" spans="1:9" ht="12.5">
      <c r="A70" s="7">
        <v>69</v>
      </c>
      <c r="B70" s="8">
        <v>40546</v>
      </c>
      <c r="C70" s="9">
        <v>23</v>
      </c>
      <c r="D70" s="9" t="str">
        <f>IF(Table1[[#This Row],[Hour]]&lt;6,"Night",IF(Table1[[#This Row],[Hour]]&lt;12,"Morning",IF(Table1[[#This Row],[Hour]]&lt;18,"Afternoon","Evening")))</f>
        <v>Evening</v>
      </c>
      <c r="E70" s="9" t="b">
        <v>0</v>
      </c>
      <c r="F70" s="9" t="s">
        <v>20</v>
      </c>
      <c r="G70" s="9" t="s">
        <v>8</v>
      </c>
      <c r="H70" s="10">
        <v>0.18</v>
      </c>
      <c r="I70" s="41"/>
    </row>
    <row r="71" spans="1:9" ht="12.5">
      <c r="A71" s="7">
        <v>70</v>
      </c>
      <c r="B71" s="8">
        <v>40547</v>
      </c>
      <c r="C71" s="9">
        <v>0</v>
      </c>
      <c r="D71" s="9" t="str">
        <f>IF(Table1[[#This Row],[Hour]]&lt;6,"Night",IF(Table1[[#This Row],[Hour]]&lt;12,"Morning",IF(Table1[[#This Row],[Hour]]&lt;18,"Afternoon","Evening")))</f>
        <v>Night</v>
      </c>
      <c r="E71" s="9" t="b">
        <v>0</v>
      </c>
      <c r="F71" s="9" t="s">
        <v>21</v>
      </c>
      <c r="G71" s="9" t="s">
        <v>8</v>
      </c>
      <c r="H71" s="10">
        <v>0.16</v>
      </c>
      <c r="I71" s="41"/>
    </row>
    <row r="72" spans="1:9" ht="12.5">
      <c r="A72" s="7">
        <v>71</v>
      </c>
      <c r="B72" s="8">
        <v>40547</v>
      </c>
      <c r="C72" s="9">
        <v>1</v>
      </c>
      <c r="D72" s="9" t="str">
        <f>IF(Table1[[#This Row],[Hour]]&lt;6,"Night",IF(Table1[[#This Row],[Hour]]&lt;12,"Morning",IF(Table1[[#This Row],[Hour]]&lt;18,"Afternoon","Evening")))</f>
        <v>Night</v>
      </c>
      <c r="E72" s="9" t="b">
        <v>0</v>
      </c>
      <c r="F72" s="9" t="s">
        <v>21</v>
      </c>
      <c r="G72" s="9" t="s">
        <v>8</v>
      </c>
      <c r="H72" s="10">
        <v>0.16</v>
      </c>
      <c r="I72" s="41"/>
    </row>
    <row r="73" spans="1:9" ht="12.5">
      <c r="A73" s="7">
        <v>72</v>
      </c>
      <c r="B73" s="8">
        <v>40547</v>
      </c>
      <c r="C73" s="9">
        <v>2</v>
      </c>
      <c r="D73" s="9" t="str">
        <f>IF(Table1[[#This Row],[Hour]]&lt;6,"Night",IF(Table1[[#This Row],[Hour]]&lt;12,"Morning",IF(Table1[[#This Row],[Hour]]&lt;18,"Afternoon","Evening")))</f>
        <v>Night</v>
      </c>
      <c r="E73" s="9" t="b">
        <v>0</v>
      </c>
      <c r="F73" s="9" t="s">
        <v>21</v>
      </c>
      <c r="G73" s="9" t="s">
        <v>8</v>
      </c>
      <c r="H73" s="10">
        <v>0.14000000000000001</v>
      </c>
      <c r="I73" s="41"/>
    </row>
    <row r="74" spans="1:9" ht="12.5">
      <c r="A74" s="7">
        <v>73</v>
      </c>
      <c r="B74" s="8">
        <v>40547</v>
      </c>
      <c r="C74" s="9">
        <v>4</v>
      </c>
      <c r="D74" s="9" t="str">
        <f>IF(Table1[[#This Row],[Hour]]&lt;6,"Night",IF(Table1[[#This Row],[Hour]]&lt;12,"Morning",IF(Table1[[#This Row],[Hour]]&lt;18,"Afternoon","Evening")))</f>
        <v>Night</v>
      </c>
      <c r="E74" s="9" t="b">
        <v>0</v>
      </c>
      <c r="F74" s="9" t="s">
        <v>21</v>
      </c>
      <c r="G74" s="9" t="s">
        <v>8</v>
      </c>
      <c r="H74" s="10">
        <v>0.14000000000000001</v>
      </c>
      <c r="I74" s="41"/>
    </row>
    <row r="75" spans="1:9" ht="12.5">
      <c r="A75" s="7">
        <v>74</v>
      </c>
      <c r="B75" s="8">
        <v>40547</v>
      </c>
      <c r="C75" s="9">
        <v>5</v>
      </c>
      <c r="D75" s="9" t="str">
        <f>IF(Table1[[#This Row],[Hour]]&lt;6,"Night",IF(Table1[[#This Row],[Hour]]&lt;12,"Morning",IF(Table1[[#This Row],[Hour]]&lt;18,"Afternoon","Evening")))</f>
        <v>Night</v>
      </c>
      <c r="E75" s="9" t="b">
        <v>0</v>
      </c>
      <c r="F75" s="9" t="s">
        <v>21</v>
      </c>
      <c r="G75" s="9" t="s">
        <v>8</v>
      </c>
      <c r="H75" s="10">
        <v>0.12</v>
      </c>
      <c r="I75" s="41"/>
    </row>
    <row r="76" spans="1:9" ht="12.5">
      <c r="A76" s="7">
        <v>75</v>
      </c>
      <c r="B76" s="8">
        <v>40547</v>
      </c>
      <c r="C76" s="9">
        <v>6</v>
      </c>
      <c r="D76" s="9" t="str">
        <f>IF(Table1[[#This Row],[Hour]]&lt;6,"Night",IF(Table1[[#This Row],[Hour]]&lt;12,"Morning",IF(Table1[[#This Row],[Hour]]&lt;18,"Afternoon","Evening")))</f>
        <v>Morning</v>
      </c>
      <c r="E76" s="9" t="b">
        <v>0</v>
      </c>
      <c r="F76" s="9" t="s">
        <v>21</v>
      </c>
      <c r="G76" s="9" t="s">
        <v>8</v>
      </c>
      <c r="H76" s="10">
        <v>0.12</v>
      </c>
      <c r="I76" s="41"/>
    </row>
    <row r="77" spans="1:9" ht="12.5">
      <c r="A77" s="7">
        <v>76</v>
      </c>
      <c r="B77" s="8">
        <v>40547</v>
      </c>
      <c r="C77" s="9">
        <v>7</v>
      </c>
      <c r="D77" s="9" t="str">
        <f>IF(Table1[[#This Row],[Hour]]&lt;6,"Night",IF(Table1[[#This Row],[Hour]]&lt;12,"Morning",IF(Table1[[#This Row],[Hour]]&lt;18,"Afternoon","Evening")))</f>
        <v>Morning</v>
      </c>
      <c r="E77" s="9" t="b">
        <v>0</v>
      </c>
      <c r="F77" s="9" t="s">
        <v>21</v>
      </c>
      <c r="G77" s="9" t="s">
        <v>8</v>
      </c>
      <c r="H77" s="10">
        <v>0.12</v>
      </c>
      <c r="I77" s="41"/>
    </row>
    <row r="78" spans="1:9" ht="12.5">
      <c r="A78" s="7">
        <v>77</v>
      </c>
      <c r="B78" s="8">
        <v>40547</v>
      </c>
      <c r="C78" s="9">
        <v>8</v>
      </c>
      <c r="D78" s="9" t="str">
        <f>IF(Table1[[#This Row],[Hour]]&lt;6,"Night",IF(Table1[[#This Row],[Hour]]&lt;12,"Morning",IF(Table1[[#This Row],[Hour]]&lt;18,"Afternoon","Evening")))</f>
        <v>Morning</v>
      </c>
      <c r="E78" s="9" t="b">
        <v>0</v>
      </c>
      <c r="F78" s="9" t="s">
        <v>21</v>
      </c>
      <c r="G78" s="9" t="s">
        <v>8</v>
      </c>
      <c r="H78" s="10">
        <v>0.14000000000000001</v>
      </c>
      <c r="I78" s="41"/>
    </row>
    <row r="79" spans="1:9" ht="12.5">
      <c r="A79" s="7">
        <v>78</v>
      </c>
      <c r="B79" s="8">
        <v>40547</v>
      </c>
      <c r="C79" s="9">
        <v>9</v>
      </c>
      <c r="D79" s="9" t="str">
        <f>IF(Table1[[#This Row],[Hour]]&lt;6,"Night",IF(Table1[[#This Row],[Hour]]&lt;12,"Morning",IF(Table1[[#This Row],[Hour]]&lt;18,"Afternoon","Evening")))</f>
        <v>Morning</v>
      </c>
      <c r="E79" s="9" t="b">
        <v>0</v>
      </c>
      <c r="F79" s="9" t="s">
        <v>21</v>
      </c>
      <c r="G79" s="9" t="s">
        <v>8</v>
      </c>
      <c r="H79" s="10">
        <v>0.16</v>
      </c>
      <c r="I79" s="41"/>
    </row>
    <row r="80" spans="1:9" ht="12.5">
      <c r="A80" s="7">
        <v>79</v>
      </c>
      <c r="B80" s="8">
        <v>40547</v>
      </c>
      <c r="C80" s="9">
        <v>10</v>
      </c>
      <c r="D80" s="9" t="str">
        <f>IF(Table1[[#This Row],[Hour]]&lt;6,"Night",IF(Table1[[#This Row],[Hour]]&lt;12,"Morning",IF(Table1[[#This Row],[Hour]]&lt;18,"Afternoon","Evening")))</f>
        <v>Morning</v>
      </c>
      <c r="E80" s="9" t="b">
        <v>0</v>
      </c>
      <c r="F80" s="9" t="s">
        <v>21</v>
      </c>
      <c r="G80" s="9" t="s">
        <v>9</v>
      </c>
      <c r="H80" s="10">
        <v>0.16</v>
      </c>
      <c r="I80" s="41"/>
    </row>
    <row r="81" spans="1:9" ht="12.5">
      <c r="A81" s="7">
        <v>80</v>
      </c>
      <c r="B81" s="8">
        <v>40547</v>
      </c>
      <c r="C81" s="9">
        <v>11</v>
      </c>
      <c r="D81" s="9" t="str">
        <f>IF(Table1[[#This Row],[Hour]]&lt;6,"Night",IF(Table1[[#This Row],[Hour]]&lt;12,"Morning",IF(Table1[[#This Row],[Hour]]&lt;18,"Afternoon","Evening")))</f>
        <v>Morning</v>
      </c>
      <c r="E81" s="9" t="b">
        <v>0</v>
      </c>
      <c r="F81" s="9" t="s">
        <v>21</v>
      </c>
      <c r="G81" s="9" t="s">
        <v>8</v>
      </c>
      <c r="H81" s="10">
        <v>0.22</v>
      </c>
      <c r="I81" s="41"/>
    </row>
    <row r="82" spans="1:9" ht="12.5">
      <c r="A82" s="7">
        <v>81</v>
      </c>
      <c r="B82" s="8">
        <v>40547</v>
      </c>
      <c r="C82" s="9">
        <v>12</v>
      </c>
      <c r="D82" s="9" t="str">
        <f>IF(Table1[[#This Row],[Hour]]&lt;6,"Night",IF(Table1[[#This Row],[Hour]]&lt;12,"Morning",IF(Table1[[#This Row],[Hour]]&lt;18,"Afternoon","Evening")))</f>
        <v>Afternoon</v>
      </c>
      <c r="E82" s="9" t="b">
        <v>0</v>
      </c>
      <c r="F82" s="9" t="s">
        <v>21</v>
      </c>
      <c r="G82" s="9" t="s">
        <v>8</v>
      </c>
      <c r="H82" s="10">
        <v>0.22</v>
      </c>
      <c r="I82" s="41"/>
    </row>
    <row r="83" spans="1:9" ht="12.5">
      <c r="A83" s="7">
        <v>82</v>
      </c>
      <c r="B83" s="8">
        <v>40547</v>
      </c>
      <c r="C83" s="9">
        <v>13</v>
      </c>
      <c r="D83" s="9" t="str">
        <f>IF(Table1[[#This Row],[Hour]]&lt;6,"Night",IF(Table1[[#This Row],[Hour]]&lt;12,"Morning",IF(Table1[[#This Row],[Hour]]&lt;18,"Afternoon","Evening")))</f>
        <v>Afternoon</v>
      </c>
      <c r="E83" s="9" t="b">
        <v>0</v>
      </c>
      <c r="F83" s="9" t="s">
        <v>21</v>
      </c>
      <c r="G83" s="9" t="s">
        <v>8</v>
      </c>
      <c r="H83" s="10">
        <v>0.24</v>
      </c>
      <c r="I83" s="41"/>
    </row>
    <row r="84" spans="1:9" ht="12.5">
      <c r="A84" s="7">
        <v>83</v>
      </c>
      <c r="B84" s="8">
        <v>40547</v>
      </c>
      <c r="C84" s="9">
        <v>14</v>
      </c>
      <c r="D84" s="9" t="str">
        <f>IF(Table1[[#This Row],[Hour]]&lt;6,"Night",IF(Table1[[#This Row],[Hour]]&lt;12,"Morning",IF(Table1[[#This Row],[Hour]]&lt;18,"Afternoon","Evening")))</f>
        <v>Afternoon</v>
      </c>
      <c r="E84" s="9" t="b">
        <v>0</v>
      </c>
      <c r="F84" s="9" t="s">
        <v>21</v>
      </c>
      <c r="G84" s="9" t="s">
        <v>8</v>
      </c>
      <c r="H84" s="10">
        <v>0.26</v>
      </c>
      <c r="I84" s="41"/>
    </row>
    <row r="85" spans="1:9" ht="12.5">
      <c r="A85" s="7">
        <v>84</v>
      </c>
      <c r="B85" s="8">
        <v>40547</v>
      </c>
      <c r="C85" s="9">
        <v>15</v>
      </c>
      <c r="D85" s="9" t="str">
        <f>IF(Table1[[#This Row],[Hour]]&lt;6,"Night",IF(Table1[[#This Row],[Hour]]&lt;12,"Morning",IF(Table1[[#This Row],[Hour]]&lt;18,"Afternoon","Evening")))</f>
        <v>Afternoon</v>
      </c>
      <c r="E85" s="9" t="b">
        <v>0</v>
      </c>
      <c r="F85" s="9" t="s">
        <v>21</v>
      </c>
      <c r="G85" s="9" t="s">
        <v>8</v>
      </c>
      <c r="H85" s="10">
        <v>0.28000000000000003</v>
      </c>
      <c r="I85" s="41"/>
    </row>
    <row r="86" spans="1:9" ht="12.5">
      <c r="A86" s="7">
        <v>85</v>
      </c>
      <c r="B86" s="8">
        <v>40547</v>
      </c>
      <c r="C86" s="9">
        <v>16</v>
      </c>
      <c r="D86" s="9" t="str">
        <f>IF(Table1[[#This Row],[Hour]]&lt;6,"Night",IF(Table1[[#This Row],[Hour]]&lt;12,"Morning",IF(Table1[[#This Row],[Hour]]&lt;18,"Afternoon","Evening")))</f>
        <v>Afternoon</v>
      </c>
      <c r="E86" s="9" t="b">
        <v>0</v>
      </c>
      <c r="F86" s="9" t="s">
        <v>21</v>
      </c>
      <c r="G86" s="9" t="s">
        <v>8</v>
      </c>
      <c r="H86" s="10">
        <v>0.3</v>
      </c>
      <c r="I86" s="41"/>
    </row>
    <row r="87" spans="1:9" ht="12.5">
      <c r="A87" s="7">
        <v>86</v>
      </c>
      <c r="B87" s="8">
        <v>40547</v>
      </c>
      <c r="C87" s="9">
        <v>17</v>
      </c>
      <c r="D87" s="9" t="str">
        <f>IF(Table1[[#This Row],[Hour]]&lt;6,"Night",IF(Table1[[#This Row],[Hour]]&lt;12,"Morning",IF(Table1[[#This Row],[Hour]]&lt;18,"Afternoon","Evening")))</f>
        <v>Afternoon</v>
      </c>
      <c r="E87" s="9" t="b">
        <v>0</v>
      </c>
      <c r="F87" s="9" t="s">
        <v>21</v>
      </c>
      <c r="G87" s="9" t="s">
        <v>8</v>
      </c>
      <c r="H87" s="10">
        <v>0.28000000000000003</v>
      </c>
      <c r="I87" s="41"/>
    </row>
    <row r="88" spans="1:9" ht="12.5">
      <c r="A88" s="7">
        <v>87</v>
      </c>
      <c r="B88" s="8">
        <v>40547</v>
      </c>
      <c r="C88" s="9">
        <v>18</v>
      </c>
      <c r="D88" s="9" t="str">
        <f>IF(Table1[[#This Row],[Hour]]&lt;6,"Night",IF(Table1[[#This Row],[Hour]]&lt;12,"Morning",IF(Table1[[#This Row],[Hour]]&lt;18,"Afternoon","Evening")))</f>
        <v>Evening</v>
      </c>
      <c r="E88" s="9" t="b">
        <v>0</v>
      </c>
      <c r="F88" s="9" t="s">
        <v>21</v>
      </c>
      <c r="G88" s="9" t="s">
        <v>8</v>
      </c>
      <c r="H88" s="10">
        <v>0.26</v>
      </c>
      <c r="I88" s="41"/>
    </row>
    <row r="89" spans="1:9" ht="12.5">
      <c r="A89" s="7">
        <v>88</v>
      </c>
      <c r="B89" s="8">
        <v>40547</v>
      </c>
      <c r="C89" s="9">
        <v>19</v>
      </c>
      <c r="D89" s="9" t="str">
        <f>IF(Table1[[#This Row],[Hour]]&lt;6,"Night",IF(Table1[[#This Row],[Hour]]&lt;12,"Morning",IF(Table1[[#This Row],[Hour]]&lt;18,"Afternoon","Evening")))</f>
        <v>Evening</v>
      </c>
      <c r="E89" s="9" t="b">
        <v>0</v>
      </c>
      <c r="F89" s="9" t="s">
        <v>21</v>
      </c>
      <c r="G89" s="9" t="s">
        <v>8</v>
      </c>
      <c r="H89" s="10">
        <v>0.24</v>
      </c>
      <c r="I89" s="41"/>
    </row>
    <row r="90" spans="1:9" ht="12.5">
      <c r="A90" s="7">
        <v>89</v>
      </c>
      <c r="B90" s="8">
        <v>40547</v>
      </c>
      <c r="C90" s="9">
        <v>20</v>
      </c>
      <c r="D90" s="9" t="str">
        <f>IF(Table1[[#This Row],[Hour]]&lt;6,"Night",IF(Table1[[#This Row],[Hour]]&lt;12,"Morning",IF(Table1[[#This Row],[Hour]]&lt;18,"Afternoon","Evening")))</f>
        <v>Evening</v>
      </c>
      <c r="E90" s="9" t="b">
        <v>0</v>
      </c>
      <c r="F90" s="9" t="s">
        <v>21</v>
      </c>
      <c r="G90" s="9" t="s">
        <v>8</v>
      </c>
      <c r="H90" s="10">
        <v>0.24</v>
      </c>
      <c r="I90" s="41"/>
    </row>
    <row r="91" spans="1:9" ht="12.5">
      <c r="A91" s="7">
        <v>90</v>
      </c>
      <c r="B91" s="8">
        <v>40547</v>
      </c>
      <c r="C91" s="9">
        <v>21</v>
      </c>
      <c r="D91" s="9" t="str">
        <f>IF(Table1[[#This Row],[Hour]]&lt;6,"Night",IF(Table1[[#This Row],[Hour]]&lt;12,"Morning",IF(Table1[[#This Row],[Hour]]&lt;18,"Afternoon","Evening")))</f>
        <v>Evening</v>
      </c>
      <c r="E91" s="9" t="b">
        <v>0</v>
      </c>
      <c r="F91" s="9" t="s">
        <v>21</v>
      </c>
      <c r="G91" s="9" t="s">
        <v>8</v>
      </c>
      <c r="H91" s="10">
        <v>0.22</v>
      </c>
      <c r="I91" s="41"/>
    </row>
    <row r="92" spans="1:9" ht="12.5">
      <c r="A92" s="7">
        <v>91</v>
      </c>
      <c r="B92" s="8">
        <v>40547</v>
      </c>
      <c r="C92" s="9">
        <v>22</v>
      </c>
      <c r="D92" s="9" t="str">
        <f>IF(Table1[[#This Row],[Hour]]&lt;6,"Night",IF(Table1[[#This Row],[Hour]]&lt;12,"Morning",IF(Table1[[#This Row],[Hour]]&lt;18,"Afternoon","Evening")))</f>
        <v>Evening</v>
      </c>
      <c r="E92" s="9" t="b">
        <v>0</v>
      </c>
      <c r="F92" s="9" t="s">
        <v>21</v>
      </c>
      <c r="G92" s="9" t="s">
        <v>8</v>
      </c>
      <c r="H92" s="10">
        <v>0.22</v>
      </c>
      <c r="I92" s="41"/>
    </row>
    <row r="93" spans="1:9" ht="12.5">
      <c r="A93" s="7">
        <v>92</v>
      </c>
      <c r="B93" s="8">
        <v>40547</v>
      </c>
      <c r="C93" s="9">
        <v>23</v>
      </c>
      <c r="D93" s="9" t="str">
        <f>IF(Table1[[#This Row],[Hour]]&lt;6,"Night",IF(Table1[[#This Row],[Hour]]&lt;12,"Morning",IF(Table1[[#This Row],[Hour]]&lt;18,"Afternoon","Evening")))</f>
        <v>Evening</v>
      </c>
      <c r="E93" s="9" t="b">
        <v>0</v>
      </c>
      <c r="F93" s="9" t="s">
        <v>21</v>
      </c>
      <c r="G93" s="9" t="s">
        <v>8</v>
      </c>
      <c r="H93" s="10">
        <v>0.2</v>
      </c>
      <c r="I93" s="41"/>
    </row>
    <row r="94" spans="1:9" ht="12.5">
      <c r="A94" s="7">
        <v>93</v>
      </c>
      <c r="B94" s="8">
        <v>40548</v>
      </c>
      <c r="C94" s="9">
        <v>0</v>
      </c>
      <c r="D94" s="9" t="str">
        <f>IF(Table1[[#This Row],[Hour]]&lt;6,"Night",IF(Table1[[#This Row],[Hour]]&lt;12,"Morning",IF(Table1[[#This Row],[Hour]]&lt;18,"Afternoon","Evening")))</f>
        <v>Night</v>
      </c>
      <c r="E94" s="9" t="b">
        <v>0</v>
      </c>
      <c r="F94" s="9" t="s">
        <v>22</v>
      </c>
      <c r="G94" s="9" t="s">
        <v>8</v>
      </c>
      <c r="H94" s="10">
        <v>0.2</v>
      </c>
      <c r="I94" s="41"/>
    </row>
    <row r="95" spans="1:9" ht="12.5">
      <c r="A95" s="7">
        <v>94</v>
      </c>
      <c r="B95" s="8">
        <v>40548</v>
      </c>
      <c r="C95" s="9">
        <v>1</v>
      </c>
      <c r="D95" s="9" t="str">
        <f>IF(Table1[[#This Row],[Hour]]&lt;6,"Night",IF(Table1[[#This Row],[Hour]]&lt;12,"Morning",IF(Table1[[#This Row],[Hour]]&lt;18,"Afternoon","Evening")))</f>
        <v>Night</v>
      </c>
      <c r="E95" s="9" t="b">
        <v>0</v>
      </c>
      <c r="F95" s="9" t="s">
        <v>22</v>
      </c>
      <c r="G95" s="9" t="s">
        <v>8</v>
      </c>
      <c r="H95" s="10">
        <v>0.16</v>
      </c>
      <c r="I95" s="41"/>
    </row>
    <row r="96" spans="1:9" ht="12.5">
      <c r="A96" s="7">
        <v>95</v>
      </c>
      <c r="B96" s="8">
        <v>40548</v>
      </c>
      <c r="C96" s="9">
        <v>2</v>
      </c>
      <c r="D96" s="9" t="str">
        <f>IF(Table1[[#This Row],[Hour]]&lt;6,"Night",IF(Table1[[#This Row],[Hour]]&lt;12,"Morning",IF(Table1[[#This Row],[Hour]]&lt;18,"Afternoon","Evening")))</f>
        <v>Night</v>
      </c>
      <c r="E96" s="9" t="b">
        <v>0</v>
      </c>
      <c r="F96" s="9" t="s">
        <v>22</v>
      </c>
      <c r="G96" s="9" t="s">
        <v>8</v>
      </c>
      <c r="H96" s="10">
        <v>0.16</v>
      </c>
      <c r="I96" s="41"/>
    </row>
    <row r="97" spans="1:9" ht="12.5">
      <c r="A97" s="7">
        <v>96</v>
      </c>
      <c r="B97" s="8">
        <v>40548</v>
      </c>
      <c r="C97" s="9">
        <v>4</v>
      </c>
      <c r="D97" s="9" t="str">
        <f>IF(Table1[[#This Row],[Hour]]&lt;6,"Night",IF(Table1[[#This Row],[Hour]]&lt;12,"Morning",IF(Table1[[#This Row],[Hour]]&lt;18,"Afternoon","Evening")))</f>
        <v>Night</v>
      </c>
      <c r="E97" s="9" t="b">
        <v>0</v>
      </c>
      <c r="F97" s="9" t="s">
        <v>22</v>
      </c>
      <c r="G97" s="9" t="s">
        <v>8</v>
      </c>
      <c r="H97" s="10">
        <v>0.24</v>
      </c>
      <c r="I97" s="41"/>
    </row>
    <row r="98" spans="1:9" ht="12.5">
      <c r="A98" s="7">
        <v>97</v>
      </c>
      <c r="B98" s="8">
        <v>40548</v>
      </c>
      <c r="C98" s="9">
        <v>5</v>
      </c>
      <c r="D98" s="9" t="str">
        <f>IF(Table1[[#This Row],[Hour]]&lt;6,"Night",IF(Table1[[#This Row],[Hour]]&lt;12,"Morning",IF(Table1[[#This Row],[Hour]]&lt;18,"Afternoon","Evening")))</f>
        <v>Night</v>
      </c>
      <c r="E98" s="9" t="b">
        <v>0</v>
      </c>
      <c r="F98" s="9" t="s">
        <v>22</v>
      </c>
      <c r="G98" s="9" t="s">
        <v>8</v>
      </c>
      <c r="H98" s="10">
        <v>0.22</v>
      </c>
      <c r="I98" s="41"/>
    </row>
    <row r="99" spans="1:9" ht="12.5">
      <c r="A99" s="7">
        <v>98</v>
      </c>
      <c r="B99" s="8">
        <v>40548</v>
      </c>
      <c r="C99" s="9">
        <v>6</v>
      </c>
      <c r="D99" s="9" t="str">
        <f>IF(Table1[[#This Row],[Hour]]&lt;6,"Night",IF(Table1[[#This Row],[Hour]]&lt;12,"Morning",IF(Table1[[#This Row],[Hour]]&lt;18,"Afternoon","Evening")))</f>
        <v>Morning</v>
      </c>
      <c r="E99" s="9" t="b">
        <v>0</v>
      </c>
      <c r="F99" s="9" t="s">
        <v>22</v>
      </c>
      <c r="G99" s="9" t="s">
        <v>8</v>
      </c>
      <c r="H99" s="10">
        <v>0.2</v>
      </c>
      <c r="I99" s="41"/>
    </row>
    <row r="100" spans="1:9" ht="12.5">
      <c r="A100" s="7">
        <v>99</v>
      </c>
      <c r="B100" s="8">
        <v>40548</v>
      </c>
      <c r="C100" s="9">
        <v>7</v>
      </c>
      <c r="D100" s="9" t="str">
        <f>IF(Table1[[#This Row],[Hour]]&lt;6,"Night",IF(Table1[[#This Row],[Hour]]&lt;12,"Morning",IF(Table1[[#This Row],[Hour]]&lt;18,"Afternoon","Evening")))</f>
        <v>Morning</v>
      </c>
      <c r="E100" s="9" t="b">
        <v>0</v>
      </c>
      <c r="F100" s="9" t="s">
        <v>22</v>
      </c>
      <c r="G100" s="9" t="s">
        <v>8</v>
      </c>
      <c r="H100" s="10">
        <v>0.18</v>
      </c>
      <c r="I100" s="41"/>
    </row>
    <row r="101" spans="1:9" ht="12.5">
      <c r="A101" s="7">
        <v>100</v>
      </c>
      <c r="B101" s="8">
        <v>40548</v>
      </c>
      <c r="C101" s="9">
        <v>8</v>
      </c>
      <c r="D101" s="9" t="str">
        <f>IF(Table1[[#This Row],[Hour]]&lt;6,"Night",IF(Table1[[#This Row],[Hour]]&lt;12,"Morning",IF(Table1[[#This Row],[Hour]]&lt;18,"Afternoon","Evening")))</f>
        <v>Morning</v>
      </c>
      <c r="E101" s="9" t="b">
        <v>0</v>
      </c>
      <c r="F101" s="9" t="s">
        <v>22</v>
      </c>
      <c r="G101" s="9" t="s">
        <v>8</v>
      </c>
      <c r="H101" s="10">
        <v>0.2</v>
      </c>
      <c r="I101" s="41"/>
    </row>
    <row r="102" spans="1:9" ht="12.5">
      <c r="A102" s="7">
        <v>101</v>
      </c>
      <c r="B102" s="8">
        <v>40548</v>
      </c>
      <c r="C102" s="9">
        <v>9</v>
      </c>
      <c r="D102" s="9" t="str">
        <f>IF(Table1[[#This Row],[Hour]]&lt;6,"Night",IF(Table1[[#This Row],[Hour]]&lt;12,"Morning",IF(Table1[[#This Row],[Hour]]&lt;18,"Afternoon","Evening")))</f>
        <v>Morning</v>
      </c>
      <c r="E102" s="9" t="b">
        <v>0</v>
      </c>
      <c r="F102" s="9" t="s">
        <v>22</v>
      </c>
      <c r="G102" s="9" t="s">
        <v>8</v>
      </c>
      <c r="H102" s="10">
        <v>0.22</v>
      </c>
      <c r="I102" s="41"/>
    </row>
    <row r="103" spans="1:9" ht="12.5">
      <c r="A103" s="7">
        <v>102</v>
      </c>
      <c r="B103" s="8">
        <v>40548</v>
      </c>
      <c r="C103" s="9">
        <v>10</v>
      </c>
      <c r="D103" s="9" t="str">
        <f>IF(Table1[[#This Row],[Hour]]&lt;6,"Night",IF(Table1[[#This Row],[Hour]]&lt;12,"Morning",IF(Table1[[#This Row],[Hour]]&lt;18,"Afternoon","Evening")))</f>
        <v>Morning</v>
      </c>
      <c r="E103" s="9" t="b">
        <v>0</v>
      </c>
      <c r="F103" s="9" t="s">
        <v>22</v>
      </c>
      <c r="G103" s="9" t="s">
        <v>8</v>
      </c>
      <c r="H103" s="10">
        <v>0.22</v>
      </c>
      <c r="I103" s="41"/>
    </row>
    <row r="104" spans="1:9" ht="12.5">
      <c r="A104" s="7">
        <v>103</v>
      </c>
      <c r="B104" s="8">
        <v>40548</v>
      </c>
      <c r="C104" s="9">
        <v>11</v>
      </c>
      <c r="D104" s="9" t="str">
        <f>IF(Table1[[#This Row],[Hour]]&lt;6,"Night",IF(Table1[[#This Row],[Hour]]&lt;12,"Morning",IF(Table1[[#This Row],[Hour]]&lt;18,"Afternoon","Evening")))</f>
        <v>Morning</v>
      </c>
      <c r="E104" s="9" t="b">
        <v>0</v>
      </c>
      <c r="F104" s="9" t="s">
        <v>22</v>
      </c>
      <c r="G104" s="9" t="s">
        <v>8</v>
      </c>
      <c r="H104" s="10">
        <v>0.26</v>
      </c>
      <c r="I104" s="41"/>
    </row>
    <row r="105" spans="1:9" ht="12.5">
      <c r="A105" s="7">
        <v>104</v>
      </c>
      <c r="B105" s="8">
        <v>40548</v>
      </c>
      <c r="C105" s="9">
        <v>12</v>
      </c>
      <c r="D105" s="9" t="str">
        <f>IF(Table1[[#This Row],[Hour]]&lt;6,"Night",IF(Table1[[#This Row],[Hour]]&lt;12,"Morning",IF(Table1[[#This Row],[Hour]]&lt;18,"Afternoon","Evening")))</f>
        <v>Afternoon</v>
      </c>
      <c r="E105" s="9" t="b">
        <v>0</v>
      </c>
      <c r="F105" s="9" t="s">
        <v>22</v>
      </c>
      <c r="G105" s="9" t="s">
        <v>8</v>
      </c>
      <c r="H105" s="10">
        <v>0.26</v>
      </c>
      <c r="I105" s="41"/>
    </row>
    <row r="106" spans="1:9" ht="12.5">
      <c r="A106" s="7">
        <v>105</v>
      </c>
      <c r="B106" s="8">
        <v>40548</v>
      </c>
      <c r="C106" s="9">
        <v>13</v>
      </c>
      <c r="D106" s="9" t="str">
        <f>IF(Table1[[#This Row],[Hour]]&lt;6,"Night",IF(Table1[[#This Row],[Hour]]&lt;12,"Morning",IF(Table1[[#This Row],[Hour]]&lt;18,"Afternoon","Evening")))</f>
        <v>Afternoon</v>
      </c>
      <c r="E106" s="9" t="b">
        <v>0</v>
      </c>
      <c r="F106" s="9" t="s">
        <v>22</v>
      </c>
      <c r="G106" s="9" t="s">
        <v>8</v>
      </c>
      <c r="H106" s="10">
        <v>0.28000000000000003</v>
      </c>
      <c r="I106" s="41"/>
    </row>
    <row r="107" spans="1:9" ht="12.5">
      <c r="A107" s="7">
        <v>106</v>
      </c>
      <c r="B107" s="8">
        <v>40548</v>
      </c>
      <c r="C107" s="9">
        <v>14</v>
      </c>
      <c r="D107" s="9" t="str">
        <f>IF(Table1[[#This Row],[Hour]]&lt;6,"Night",IF(Table1[[#This Row],[Hour]]&lt;12,"Morning",IF(Table1[[#This Row],[Hour]]&lt;18,"Afternoon","Evening")))</f>
        <v>Afternoon</v>
      </c>
      <c r="E107" s="9" t="b">
        <v>0</v>
      </c>
      <c r="F107" s="9" t="s">
        <v>22</v>
      </c>
      <c r="G107" s="9" t="s">
        <v>8</v>
      </c>
      <c r="H107" s="10">
        <v>0.3</v>
      </c>
      <c r="I107" s="41"/>
    </row>
    <row r="108" spans="1:9" ht="12.5">
      <c r="A108" s="7">
        <v>107</v>
      </c>
      <c r="B108" s="8">
        <v>40548</v>
      </c>
      <c r="C108" s="9">
        <v>15</v>
      </c>
      <c r="D108" s="9" t="str">
        <f>IF(Table1[[#This Row],[Hour]]&lt;6,"Night",IF(Table1[[#This Row],[Hour]]&lt;12,"Morning",IF(Table1[[#This Row],[Hour]]&lt;18,"Afternoon","Evening")))</f>
        <v>Afternoon</v>
      </c>
      <c r="E108" s="9" t="b">
        <v>0</v>
      </c>
      <c r="F108" s="9" t="s">
        <v>22</v>
      </c>
      <c r="G108" s="9" t="s">
        <v>8</v>
      </c>
      <c r="H108" s="10">
        <v>0.3</v>
      </c>
      <c r="I108" s="41"/>
    </row>
    <row r="109" spans="1:9" ht="12.5">
      <c r="A109" s="7">
        <v>108</v>
      </c>
      <c r="B109" s="8">
        <v>40548</v>
      </c>
      <c r="C109" s="9">
        <v>16</v>
      </c>
      <c r="D109" s="9" t="str">
        <f>IF(Table1[[#This Row],[Hour]]&lt;6,"Night",IF(Table1[[#This Row],[Hour]]&lt;12,"Morning",IF(Table1[[#This Row],[Hour]]&lt;18,"Afternoon","Evening")))</f>
        <v>Afternoon</v>
      </c>
      <c r="E109" s="9" t="b">
        <v>0</v>
      </c>
      <c r="F109" s="9" t="s">
        <v>22</v>
      </c>
      <c r="G109" s="9" t="s">
        <v>8</v>
      </c>
      <c r="H109" s="10">
        <v>0.3</v>
      </c>
      <c r="I109" s="41"/>
    </row>
    <row r="110" spans="1:9" ht="12.5">
      <c r="A110" s="7">
        <v>109</v>
      </c>
      <c r="B110" s="8">
        <v>40548</v>
      </c>
      <c r="C110" s="9">
        <v>17</v>
      </c>
      <c r="D110" s="9" t="str">
        <f>IF(Table1[[#This Row],[Hour]]&lt;6,"Night",IF(Table1[[#This Row],[Hour]]&lt;12,"Morning",IF(Table1[[#This Row],[Hour]]&lt;18,"Afternoon","Evening")))</f>
        <v>Afternoon</v>
      </c>
      <c r="E110" s="9" t="b">
        <v>0</v>
      </c>
      <c r="F110" s="9" t="s">
        <v>22</v>
      </c>
      <c r="G110" s="9" t="s">
        <v>8</v>
      </c>
      <c r="H110" s="10">
        <v>0.24</v>
      </c>
      <c r="I110" s="41"/>
    </row>
    <row r="111" spans="1:9" ht="12.5">
      <c r="A111" s="7">
        <v>110</v>
      </c>
      <c r="B111" s="8">
        <v>40548</v>
      </c>
      <c r="C111" s="9">
        <v>18</v>
      </c>
      <c r="D111" s="9" t="str">
        <f>IF(Table1[[#This Row],[Hour]]&lt;6,"Night",IF(Table1[[#This Row],[Hour]]&lt;12,"Morning",IF(Table1[[#This Row],[Hour]]&lt;18,"Afternoon","Evening")))</f>
        <v>Evening</v>
      </c>
      <c r="E111" s="9" t="b">
        <v>0</v>
      </c>
      <c r="F111" s="9" t="s">
        <v>22</v>
      </c>
      <c r="G111" s="9" t="s">
        <v>8</v>
      </c>
      <c r="H111" s="10">
        <v>0.24</v>
      </c>
      <c r="I111" s="41"/>
    </row>
    <row r="112" spans="1:9" ht="12.5">
      <c r="A112" s="7">
        <v>111</v>
      </c>
      <c r="B112" s="8">
        <v>40548</v>
      </c>
      <c r="C112" s="9">
        <v>19</v>
      </c>
      <c r="D112" s="9" t="str">
        <f>IF(Table1[[#This Row],[Hour]]&lt;6,"Night",IF(Table1[[#This Row],[Hour]]&lt;12,"Morning",IF(Table1[[#This Row],[Hour]]&lt;18,"Afternoon","Evening")))</f>
        <v>Evening</v>
      </c>
      <c r="E112" s="9" t="b">
        <v>0</v>
      </c>
      <c r="F112" s="9" t="s">
        <v>22</v>
      </c>
      <c r="G112" s="9" t="s">
        <v>8</v>
      </c>
      <c r="H112" s="10">
        <v>0.24</v>
      </c>
      <c r="I112" s="41"/>
    </row>
    <row r="113" spans="1:9" ht="12.5">
      <c r="A113" s="7">
        <v>112</v>
      </c>
      <c r="B113" s="8">
        <v>40548</v>
      </c>
      <c r="C113" s="9">
        <v>20</v>
      </c>
      <c r="D113" s="9" t="str">
        <f>IF(Table1[[#This Row],[Hour]]&lt;6,"Night",IF(Table1[[#This Row],[Hour]]&lt;12,"Morning",IF(Table1[[#This Row],[Hour]]&lt;18,"Afternoon","Evening")))</f>
        <v>Evening</v>
      </c>
      <c r="E113" s="9" t="b">
        <v>0</v>
      </c>
      <c r="F113" s="9" t="s">
        <v>22</v>
      </c>
      <c r="G113" s="9" t="s">
        <v>8</v>
      </c>
      <c r="H113" s="10">
        <v>0.22</v>
      </c>
      <c r="I113" s="41"/>
    </row>
    <row r="114" spans="1:9" ht="12.5">
      <c r="A114" s="7">
        <v>113</v>
      </c>
      <c r="B114" s="8">
        <v>40548</v>
      </c>
      <c r="C114" s="9">
        <v>21</v>
      </c>
      <c r="D114" s="9" t="str">
        <f>IF(Table1[[#This Row],[Hour]]&lt;6,"Night",IF(Table1[[#This Row],[Hour]]&lt;12,"Morning",IF(Table1[[#This Row],[Hour]]&lt;18,"Afternoon","Evening")))</f>
        <v>Evening</v>
      </c>
      <c r="E114" s="9" t="b">
        <v>0</v>
      </c>
      <c r="F114" s="9" t="s">
        <v>22</v>
      </c>
      <c r="G114" s="9" t="s">
        <v>8</v>
      </c>
      <c r="H114" s="10">
        <v>0.2</v>
      </c>
      <c r="I114" s="41"/>
    </row>
    <row r="115" spans="1:9" ht="12.5">
      <c r="A115" s="7">
        <v>114</v>
      </c>
      <c r="B115" s="8">
        <v>40548</v>
      </c>
      <c r="C115" s="9">
        <v>22</v>
      </c>
      <c r="D115" s="9" t="str">
        <f>IF(Table1[[#This Row],[Hour]]&lt;6,"Night",IF(Table1[[#This Row],[Hour]]&lt;12,"Morning",IF(Table1[[#This Row],[Hour]]&lt;18,"Afternoon","Evening")))</f>
        <v>Evening</v>
      </c>
      <c r="E115" s="9" t="b">
        <v>0</v>
      </c>
      <c r="F115" s="9" t="s">
        <v>22</v>
      </c>
      <c r="G115" s="9" t="s">
        <v>8</v>
      </c>
      <c r="H115" s="10">
        <v>0.18</v>
      </c>
      <c r="I115" s="41"/>
    </row>
    <row r="116" spans="1:9" ht="12.5">
      <c r="A116" s="7">
        <v>115</v>
      </c>
      <c r="B116" s="8">
        <v>40548</v>
      </c>
      <c r="C116" s="9">
        <v>23</v>
      </c>
      <c r="D116" s="9" t="str">
        <f>IF(Table1[[#This Row],[Hour]]&lt;6,"Night",IF(Table1[[#This Row],[Hour]]&lt;12,"Morning",IF(Table1[[#This Row],[Hour]]&lt;18,"Afternoon","Evening")))</f>
        <v>Evening</v>
      </c>
      <c r="E116" s="9" t="b">
        <v>0</v>
      </c>
      <c r="F116" s="9" t="s">
        <v>22</v>
      </c>
      <c r="G116" s="9" t="s">
        <v>8</v>
      </c>
      <c r="H116" s="10">
        <v>0.2</v>
      </c>
      <c r="I116" s="41"/>
    </row>
    <row r="117" spans="1:9" ht="12.5">
      <c r="A117" s="7">
        <v>116</v>
      </c>
      <c r="B117" s="8">
        <v>40549</v>
      </c>
      <c r="C117" s="9">
        <v>0</v>
      </c>
      <c r="D117" s="9" t="str">
        <f>IF(Table1[[#This Row],[Hour]]&lt;6,"Night",IF(Table1[[#This Row],[Hour]]&lt;12,"Morning",IF(Table1[[#This Row],[Hour]]&lt;18,"Afternoon","Evening")))</f>
        <v>Night</v>
      </c>
      <c r="E117" s="9" t="b">
        <v>0</v>
      </c>
      <c r="F117" s="9" t="s">
        <v>23</v>
      </c>
      <c r="G117" s="9" t="s">
        <v>8</v>
      </c>
      <c r="H117" s="10">
        <v>0.18</v>
      </c>
      <c r="I117" s="41"/>
    </row>
    <row r="118" spans="1:9" ht="12.5">
      <c r="A118" s="7">
        <v>117</v>
      </c>
      <c r="B118" s="8">
        <v>40549</v>
      </c>
      <c r="C118" s="9">
        <v>1</v>
      </c>
      <c r="D118" s="9" t="str">
        <f>IF(Table1[[#This Row],[Hour]]&lt;6,"Night",IF(Table1[[#This Row],[Hour]]&lt;12,"Morning",IF(Table1[[#This Row],[Hour]]&lt;18,"Afternoon","Evening")))</f>
        <v>Night</v>
      </c>
      <c r="E118" s="9" t="b">
        <v>0</v>
      </c>
      <c r="F118" s="9" t="s">
        <v>23</v>
      </c>
      <c r="G118" s="9" t="s">
        <v>8</v>
      </c>
      <c r="H118" s="10">
        <v>0.16</v>
      </c>
      <c r="I118" s="41"/>
    </row>
    <row r="119" spans="1:9" ht="12.5">
      <c r="A119" s="7">
        <v>118</v>
      </c>
      <c r="B119" s="8">
        <v>40549</v>
      </c>
      <c r="C119" s="9">
        <v>2</v>
      </c>
      <c r="D119" s="9" t="str">
        <f>IF(Table1[[#This Row],[Hour]]&lt;6,"Night",IF(Table1[[#This Row],[Hour]]&lt;12,"Morning",IF(Table1[[#This Row],[Hour]]&lt;18,"Afternoon","Evening")))</f>
        <v>Night</v>
      </c>
      <c r="E119" s="9" t="b">
        <v>0</v>
      </c>
      <c r="F119" s="9" t="s">
        <v>23</v>
      </c>
      <c r="G119" s="9" t="s">
        <v>8</v>
      </c>
      <c r="H119" s="10">
        <v>0.16</v>
      </c>
      <c r="I119" s="41"/>
    </row>
    <row r="120" spans="1:9" ht="12.5">
      <c r="A120" s="7">
        <v>119</v>
      </c>
      <c r="B120" s="8">
        <v>40549</v>
      </c>
      <c r="C120" s="9">
        <v>4</v>
      </c>
      <c r="D120" s="9" t="str">
        <f>IF(Table1[[#This Row],[Hour]]&lt;6,"Night",IF(Table1[[#This Row],[Hour]]&lt;12,"Morning",IF(Table1[[#This Row],[Hour]]&lt;18,"Afternoon","Evening")))</f>
        <v>Night</v>
      </c>
      <c r="E120" s="9" t="b">
        <v>0</v>
      </c>
      <c r="F120" s="9" t="s">
        <v>23</v>
      </c>
      <c r="G120" s="9" t="s">
        <v>9</v>
      </c>
      <c r="H120" s="10">
        <v>0.16</v>
      </c>
      <c r="I120" s="41"/>
    </row>
    <row r="121" spans="1:9" ht="12.5">
      <c r="A121" s="7">
        <v>120</v>
      </c>
      <c r="B121" s="8">
        <v>40549</v>
      </c>
      <c r="C121" s="9">
        <v>5</v>
      </c>
      <c r="D121" s="9" t="str">
        <f>IF(Table1[[#This Row],[Hour]]&lt;6,"Night",IF(Table1[[#This Row],[Hour]]&lt;12,"Morning",IF(Table1[[#This Row],[Hour]]&lt;18,"Afternoon","Evening")))</f>
        <v>Night</v>
      </c>
      <c r="E121" s="9" t="b">
        <v>0</v>
      </c>
      <c r="F121" s="9" t="s">
        <v>23</v>
      </c>
      <c r="G121" s="9" t="s">
        <v>9</v>
      </c>
      <c r="H121" s="10">
        <v>0.14000000000000001</v>
      </c>
      <c r="I121" s="41"/>
    </row>
    <row r="122" spans="1:9" ht="12.5">
      <c r="A122" s="7">
        <v>121</v>
      </c>
      <c r="B122" s="8">
        <v>40549</v>
      </c>
      <c r="C122" s="9">
        <v>6</v>
      </c>
      <c r="D122" s="9" t="str">
        <f>IF(Table1[[#This Row],[Hour]]&lt;6,"Night",IF(Table1[[#This Row],[Hour]]&lt;12,"Morning",IF(Table1[[#This Row],[Hour]]&lt;18,"Afternoon","Evening")))</f>
        <v>Morning</v>
      </c>
      <c r="E122" s="9" t="b">
        <v>0</v>
      </c>
      <c r="F122" s="9" t="s">
        <v>23</v>
      </c>
      <c r="G122" s="9" t="s">
        <v>9</v>
      </c>
      <c r="H122" s="10">
        <v>0.14000000000000001</v>
      </c>
      <c r="I122" s="41"/>
    </row>
    <row r="123" spans="1:9" ht="12.5">
      <c r="A123" s="7">
        <v>122</v>
      </c>
      <c r="B123" s="8">
        <v>40549</v>
      </c>
      <c r="C123" s="9">
        <v>7</v>
      </c>
      <c r="D123" s="9" t="str">
        <f>IF(Table1[[#This Row],[Hour]]&lt;6,"Night",IF(Table1[[#This Row],[Hour]]&lt;12,"Morning",IF(Table1[[#This Row],[Hour]]&lt;18,"Afternoon","Evening")))</f>
        <v>Morning</v>
      </c>
      <c r="E123" s="9" t="b">
        <v>0</v>
      </c>
      <c r="F123" s="9" t="s">
        <v>23</v>
      </c>
      <c r="G123" s="9" t="s">
        <v>9</v>
      </c>
      <c r="H123" s="10">
        <v>0.16</v>
      </c>
      <c r="I123" s="41"/>
    </row>
    <row r="124" spans="1:9" ht="12.5">
      <c r="A124" s="7">
        <v>123</v>
      </c>
      <c r="B124" s="8">
        <v>40549</v>
      </c>
      <c r="C124" s="9">
        <v>8</v>
      </c>
      <c r="D124" s="9" t="str">
        <f>IF(Table1[[#This Row],[Hour]]&lt;6,"Night",IF(Table1[[#This Row],[Hour]]&lt;12,"Morning",IF(Table1[[#This Row],[Hour]]&lt;18,"Afternoon","Evening")))</f>
        <v>Morning</v>
      </c>
      <c r="E124" s="9" t="b">
        <v>0</v>
      </c>
      <c r="F124" s="9" t="s">
        <v>23</v>
      </c>
      <c r="G124" s="9" t="s">
        <v>8</v>
      </c>
      <c r="H124" s="10">
        <v>0.16</v>
      </c>
      <c r="I124" s="41"/>
    </row>
    <row r="125" spans="1:9" ht="12.5">
      <c r="A125" s="7">
        <v>124</v>
      </c>
      <c r="B125" s="8">
        <v>40549</v>
      </c>
      <c r="C125" s="9">
        <v>9</v>
      </c>
      <c r="D125" s="9" t="str">
        <f>IF(Table1[[#This Row],[Hour]]&lt;6,"Night",IF(Table1[[#This Row],[Hour]]&lt;12,"Morning",IF(Table1[[#This Row],[Hour]]&lt;18,"Afternoon","Evening")))</f>
        <v>Morning</v>
      </c>
      <c r="E125" s="9" t="b">
        <v>0</v>
      </c>
      <c r="F125" s="9" t="s">
        <v>23</v>
      </c>
      <c r="G125" s="9" t="s">
        <v>9</v>
      </c>
      <c r="H125" s="10">
        <v>0.18</v>
      </c>
      <c r="I125" s="41"/>
    </row>
    <row r="126" spans="1:9" ht="12.5">
      <c r="A126" s="7">
        <v>125</v>
      </c>
      <c r="B126" s="8">
        <v>40549</v>
      </c>
      <c r="C126" s="9">
        <v>10</v>
      </c>
      <c r="D126" s="9" t="str">
        <f>IF(Table1[[#This Row],[Hour]]&lt;6,"Night",IF(Table1[[#This Row],[Hour]]&lt;12,"Morning",IF(Table1[[#This Row],[Hour]]&lt;18,"Afternoon","Evening")))</f>
        <v>Morning</v>
      </c>
      <c r="E126" s="9" t="b">
        <v>0</v>
      </c>
      <c r="F126" s="9" t="s">
        <v>23</v>
      </c>
      <c r="G126" s="9" t="s">
        <v>8</v>
      </c>
      <c r="H126" s="10">
        <v>0.2</v>
      </c>
      <c r="I126" s="41"/>
    </row>
    <row r="127" spans="1:9" ht="12.5">
      <c r="A127" s="7">
        <v>126</v>
      </c>
      <c r="B127" s="8">
        <v>40549</v>
      </c>
      <c r="C127" s="9">
        <v>11</v>
      </c>
      <c r="D127" s="9" t="str">
        <f>IF(Table1[[#This Row],[Hour]]&lt;6,"Night",IF(Table1[[#This Row],[Hour]]&lt;12,"Morning",IF(Table1[[#This Row],[Hour]]&lt;18,"Afternoon","Evening")))</f>
        <v>Morning</v>
      </c>
      <c r="E127" s="9" t="b">
        <v>0</v>
      </c>
      <c r="F127" s="9" t="s">
        <v>23</v>
      </c>
      <c r="G127" s="9" t="s">
        <v>8</v>
      </c>
      <c r="H127" s="10">
        <v>0.22</v>
      </c>
      <c r="I127" s="41"/>
    </row>
    <row r="128" spans="1:9" ht="12.5">
      <c r="A128" s="7">
        <v>127</v>
      </c>
      <c r="B128" s="8">
        <v>40549</v>
      </c>
      <c r="C128" s="9">
        <v>12</v>
      </c>
      <c r="D128" s="9" t="str">
        <f>IF(Table1[[#This Row],[Hour]]&lt;6,"Night",IF(Table1[[#This Row],[Hour]]&lt;12,"Morning",IF(Table1[[#This Row],[Hour]]&lt;18,"Afternoon","Evening")))</f>
        <v>Afternoon</v>
      </c>
      <c r="E128" s="9" t="b">
        <v>0</v>
      </c>
      <c r="F128" s="9" t="s">
        <v>23</v>
      </c>
      <c r="G128" s="9" t="s">
        <v>8</v>
      </c>
      <c r="H128" s="10">
        <v>0.26</v>
      </c>
      <c r="I128" s="41"/>
    </row>
    <row r="129" spans="1:9" ht="12.5">
      <c r="A129" s="7">
        <v>128</v>
      </c>
      <c r="B129" s="8">
        <v>40549</v>
      </c>
      <c r="C129" s="9">
        <v>13</v>
      </c>
      <c r="D129" s="9" t="str">
        <f>IF(Table1[[#This Row],[Hour]]&lt;6,"Night",IF(Table1[[#This Row],[Hour]]&lt;12,"Morning",IF(Table1[[#This Row],[Hour]]&lt;18,"Afternoon","Evening")))</f>
        <v>Afternoon</v>
      </c>
      <c r="E129" s="9" t="b">
        <v>0</v>
      </c>
      <c r="F129" s="9" t="s">
        <v>23</v>
      </c>
      <c r="G129" s="9" t="s">
        <v>8</v>
      </c>
      <c r="H129" s="10">
        <v>0.26</v>
      </c>
      <c r="I129" s="41"/>
    </row>
    <row r="130" spans="1:9" ht="12.5">
      <c r="A130" s="7">
        <v>129</v>
      </c>
      <c r="B130" s="8">
        <v>40549</v>
      </c>
      <c r="C130" s="9">
        <v>14</v>
      </c>
      <c r="D130" s="9" t="str">
        <f>IF(Table1[[#This Row],[Hour]]&lt;6,"Night",IF(Table1[[#This Row],[Hour]]&lt;12,"Morning",IF(Table1[[#This Row],[Hour]]&lt;18,"Afternoon","Evening")))</f>
        <v>Afternoon</v>
      </c>
      <c r="E130" s="9" t="b">
        <v>0</v>
      </c>
      <c r="F130" s="9" t="s">
        <v>23</v>
      </c>
      <c r="G130" s="9" t="s">
        <v>8</v>
      </c>
      <c r="H130" s="10">
        <v>0.28000000000000003</v>
      </c>
      <c r="I130" s="41"/>
    </row>
    <row r="131" spans="1:9" ht="12.5">
      <c r="A131" s="7">
        <v>130</v>
      </c>
      <c r="B131" s="8">
        <v>40549</v>
      </c>
      <c r="C131" s="9">
        <v>15</v>
      </c>
      <c r="D131" s="9" t="str">
        <f>IF(Table1[[#This Row],[Hour]]&lt;6,"Night",IF(Table1[[#This Row],[Hour]]&lt;12,"Morning",IF(Table1[[#This Row],[Hour]]&lt;18,"Afternoon","Evening")))</f>
        <v>Afternoon</v>
      </c>
      <c r="E131" s="9" t="b">
        <v>0</v>
      </c>
      <c r="F131" s="9" t="s">
        <v>23</v>
      </c>
      <c r="G131" s="9" t="s">
        <v>8</v>
      </c>
      <c r="H131" s="10">
        <v>0.28000000000000003</v>
      </c>
      <c r="I131" s="41"/>
    </row>
    <row r="132" spans="1:9" ht="12.5">
      <c r="A132" s="7">
        <v>131</v>
      </c>
      <c r="B132" s="8">
        <v>40549</v>
      </c>
      <c r="C132" s="9">
        <v>16</v>
      </c>
      <c r="D132" s="9" t="str">
        <f>IF(Table1[[#This Row],[Hour]]&lt;6,"Night",IF(Table1[[#This Row],[Hour]]&lt;12,"Morning",IF(Table1[[#This Row],[Hour]]&lt;18,"Afternoon","Evening")))</f>
        <v>Afternoon</v>
      </c>
      <c r="E132" s="9" t="b">
        <v>0</v>
      </c>
      <c r="F132" s="9" t="s">
        <v>23</v>
      </c>
      <c r="G132" s="9" t="s">
        <v>8</v>
      </c>
      <c r="H132" s="10">
        <v>0.26</v>
      </c>
      <c r="I132" s="41"/>
    </row>
    <row r="133" spans="1:9" ht="12.5">
      <c r="A133" s="7">
        <v>132</v>
      </c>
      <c r="B133" s="8">
        <v>40549</v>
      </c>
      <c r="C133" s="9">
        <v>17</v>
      </c>
      <c r="D133" s="9" t="str">
        <f>IF(Table1[[#This Row],[Hour]]&lt;6,"Night",IF(Table1[[#This Row],[Hour]]&lt;12,"Morning",IF(Table1[[#This Row],[Hour]]&lt;18,"Afternoon","Evening")))</f>
        <v>Afternoon</v>
      </c>
      <c r="E133" s="9" t="b">
        <v>0</v>
      </c>
      <c r="F133" s="9" t="s">
        <v>23</v>
      </c>
      <c r="G133" s="9" t="s">
        <v>8</v>
      </c>
      <c r="H133" s="10">
        <v>0.22</v>
      </c>
      <c r="I133" s="41"/>
    </row>
    <row r="134" spans="1:9" ht="12.5">
      <c r="A134" s="7">
        <v>133</v>
      </c>
      <c r="B134" s="8">
        <v>40549</v>
      </c>
      <c r="C134" s="9">
        <v>18</v>
      </c>
      <c r="D134" s="9" t="str">
        <f>IF(Table1[[#This Row],[Hour]]&lt;6,"Night",IF(Table1[[#This Row],[Hour]]&lt;12,"Morning",IF(Table1[[#This Row],[Hour]]&lt;18,"Afternoon","Evening")))</f>
        <v>Evening</v>
      </c>
      <c r="E134" s="9" t="b">
        <v>0</v>
      </c>
      <c r="F134" s="9" t="s">
        <v>23</v>
      </c>
      <c r="G134" s="9" t="s">
        <v>8</v>
      </c>
      <c r="H134" s="10">
        <v>0.22</v>
      </c>
      <c r="I134" s="41"/>
    </row>
    <row r="135" spans="1:9" ht="12.5">
      <c r="A135" s="7">
        <v>134</v>
      </c>
      <c r="B135" s="8">
        <v>40549</v>
      </c>
      <c r="C135" s="9">
        <v>19</v>
      </c>
      <c r="D135" s="9" t="str">
        <f>IF(Table1[[#This Row],[Hour]]&lt;6,"Night",IF(Table1[[#This Row],[Hour]]&lt;12,"Morning",IF(Table1[[#This Row],[Hour]]&lt;18,"Afternoon","Evening")))</f>
        <v>Evening</v>
      </c>
      <c r="E135" s="9" t="b">
        <v>0</v>
      </c>
      <c r="F135" s="9" t="s">
        <v>23</v>
      </c>
      <c r="G135" s="9" t="s">
        <v>8</v>
      </c>
      <c r="H135" s="10">
        <v>0.22</v>
      </c>
      <c r="I135" s="41"/>
    </row>
    <row r="136" spans="1:9" ht="12.5">
      <c r="A136" s="7">
        <v>135</v>
      </c>
      <c r="B136" s="8">
        <v>40549</v>
      </c>
      <c r="C136" s="9">
        <v>20</v>
      </c>
      <c r="D136" s="9" t="str">
        <f>IF(Table1[[#This Row],[Hour]]&lt;6,"Night",IF(Table1[[#This Row],[Hour]]&lt;12,"Morning",IF(Table1[[#This Row],[Hour]]&lt;18,"Afternoon","Evening")))</f>
        <v>Evening</v>
      </c>
      <c r="E136" s="9" t="b">
        <v>0</v>
      </c>
      <c r="F136" s="9" t="s">
        <v>23</v>
      </c>
      <c r="G136" s="9" t="s">
        <v>8</v>
      </c>
      <c r="H136" s="10">
        <v>0.2</v>
      </c>
      <c r="I136" s="41"/>
    </row>
    <row r="137" spans="1:9" ht="12.5">
      <c r="A137" s="7">
        <v>136</v>
      </c>
      <c r="B137" s="8">
        <v>40549</v>
      </c>
      <c r="C137" s="9">
        <v>21</v>
      </c>
      <c r="D137" s="9" t="str">
        <f>IF(Table1[[#This Row],[Hour]]&lt;6,"Night",IF(Table1[[#This Row],[Hour]]&lt;12,"Morning",IF(Table1[[#This Row],[Hour]]&lt;18,"Afternoon","Evening")))</f>
        <v>Evening</v>
      </c>
      <c r="E137" s="9" t="b">
        <v>0</v>
      </c>
      <c r="F137" s="9" t="s">
        <v>23</v>
      </c>
      <c r="G137" s="9" t="s">
        <v>9</v>
      </c>
      <c r="H137" s="10">
        <v>0.22</v>
      </c>
      <c r="I137" s="41"/>
    </row>
    <row r="138" spans="1:9" ht="12.5">
      <c r="A138" s="7">
        <v>137</v>
      </c>
      <c r="B138" s="8">
        <v>40549</v>
      </c>
      <c r="C138" s="9">
        <v>22</v>
      </c>
      <c r="D138" s="9" t="str">
        <f>IF(Table1[[#This Row],[Hour]]&lt;6,"Night",IF(Table1[[#This Row],[Hour]]&lt;12,"Morning",IF(Table1[[#This Row],[Hour]]&lt;18,"Afternoon","Evening")))</f>
        <v>Evening</v>
      </c>
      <c r="E138" s="9" t="b">
        <v>0</v>
      </c>
      <c r="F138" s="9" t="s">
        <v>23</v>
      </c>
      <c r="G138" s="9" t="s">
        <v>9</v>
      </c>
      <c r="H138" s="10">
        <v>0.22</v>
      </c>
      <c r="I138" s="41"/>
    </row>
    <row r="139" spans="1:9" ht="12.5">
      <c r="A139" s="7">
        <v>138</v>
      </c>
      <c r="B139" s="8">
        <v>40549</v>
      </c>
      <c r="C139" s="9">
        <v>23</v>
      </c>
      <c r="D139" s="9" t="str">
        <f>IF(Table1[[#This Row],[Hour]]&lt;6,"Night",IF(Table1[[#This Row],[Hour]]&lt;12,"Morning",IF(Table1[[#This Row],[Hour]]&lt;18,"Afternoon","Evening")))</f>
        <v>Evening</v>
      </c>
      <c r="E139" s="9" t="b">
        <v>0</v>
      </c>
      <c r="F139" s="9" t="s">
        <v>23</v>
      </c>
      <c r="G139" s="9" t="s">
        <v>9</v>
      </c>
      <c r="H139" s="10">
        <v>0.2</v>
      </c>
      <c r="I139" s="41"/>
    </row>
    <row r="140" spans="1:9" ht="12.5">
      <c r="A140" s="7">
        <v>139</v>
      </c>
      <c r="B140" s="8">
        <v>40550</v>
      </c>
      <c r="C140" s="9">
        <v>0</v>
      </c>
      <c r="D140" s="9" t="str">
        <f>IF(Table1[[#This Row],[Hour]]&lt;6,"Night",IF(Table1[[#This Row],[Hour]]&lt;12,"Morning",IF(Table1[[#This Row],[Hour]]&lt;18,"Afternoon","Evening")))</f>
        <v>Night</v>
      </c>
      <c r="E140" s="9" t="b">
        <v>0</v>
      </c>
      <c r="F140" s="9" t="s">
        <v>24</v>
      </c>
      <c r="G140" s="9" t="s">
        <v>9</v>
      </c>
      <c r="H140" s="10">
        <v>0.2</v>
      </c>
      <c r="I140" s="41"/>
    </row>
    <row r="141" spans="1:9" ht="12.5">
      <c r="A141" s="7">
        <v>140</v>
      </c>
      <c r="B141" s="8">
        <v>40550</v>
      </c>
      <c r="C141" s="9">
        <v>1</v>
      </c>
      <c r="D141" s="9" t="str">
        <f>IF(Table1[[#This Row],[Hour]]&lt;6,"Night",IF(Table1[[#This Row],[Hour]]&lt;12,"Morning",IF(Table1[[#This Row],[Hour]]&lt;18,"Afternoon","Evening")))</f>
        <v>Night</v>
      </c>
      <c r="E141" s="9" t="b">
        <v>0</v>
      </c>
      <c r="F141" s="9" t="s">
        <v>24</v>
      </c>
      <c r="G141" s="9" t="s">
        <v>9</v>
      </c>
      <c r="H141" s="10">
        <v>0.2</v>
      </c>
      <c r="I141" s="41"/>
    </row>
    <row r="142" spans="1:9" ht="12.5">
      <c r="A142" s="7">
        <v>141</v>
      </c>
      <c r="B142" s="8">
        <v>40550</v>
      </c>
      <c r="C142" s="9">
        <v>2</v>
      </c>
      <c r="D142" s="9" t="str">
        <f>IF(Table1[[#This Row],[Hour]]&lt;6,"Night",IF(Table1[[#This Row],[Hour]]&lt;12,"Morning",IF(Table1[[#This Row],[Hour]]&lt;18,"Afternoon","Evening")))</f>
        <v>Night</v>
      </c>
      <c r="E142" s="9" t="b">
        <v>0</v>
      </c>
      <c r="F142" s="9" t="s">
        <v>24</v>
      </c>
      <c r="G142" s="9" t="s">
        <v>9</v>
      </c>
      <c r="H142" s="10">
        <v>0.2</v>
      </c>
      <c r="I142" s="41"/>
    </row>
    <row r="143" spans="1:9" ht="12.5">
      <c r="A143" s="7">
        <v>142</v>
      </c>
      <c r="B143" s="8">
        <v>40550</v>
      </c>
      <c r="C143" s="9">
        <v>4</v>
      </c>
      <c r="D143" s="9" t="str">
        <f>IF(Table1[[#This Row],[Hour]]&lt;6,"Night",IF(Table1[[#This Row],[Hour]]&lt;12,"Morning",IF(Table1[[#This Row],[Hour]]&lt;18,"Afternoon","Evening")))</f>
        <v>Night</v>
      </c>
      <c r="E143" s="9" t="b">
        <v>0</v>
      </c>
      <c r="F143" s="9" t="s">
        <v>24</v>
      </c>
      <c r="G143" s="9" t="s">
        <v>9</v>
      </c>
      <c r="H143" s="10">
        <v>0.2</v>
      </c>
      <c r="I143" s="41"/>
    </row>
    <row r="144" spans="1:9" ht="12.5">
      <c r="A144" s="7">
        <v>143</v>
      </c>
      <c r="B144" s="8">
        <v>40550</v>
      </c>
      <c r="C144" s="9">
        <v>5</v>
      </c>
      <c r="D144" s="9" t="str">
        <f>IF(Table1[[#This Row],[Hour]]&lt;6,"Night",IF(Table1[[#This Row],[Hour]]&lt;12,"Morning",IF(Table1[[#This Row],[Hour]]&lt;18,"Afternoon","Evening")))</f>
        <v>Night</v>
      </c>
      <c r="E144" s="9" t="b">
        <v>0</v>
      </c>
      <c r="F144" s="9" t="s">
        <v>24</v>
      </c>
      <c r="G144" s="9" t="s">
        <v>10</v>
      </c>
      <c r="H144" s="10">
        <v>0.22</v>
      </c>
      <c r="I144" s="41"/>
    </row>
    <row r="145" spans="1:9" ht="12.5">
      <c r="A145" s="7">
        <v>144</v>
      </c>
      <c r="B145" s="8">
        <v>40550</v>
      </c>
      <c r="C145" s="9">
        <v>6</v>
      </c>
      <c r="D145" s="9" t="str">
        <f>IF(Table1[[#This Row],[Hour]]&lt;6,"Night",IF(Table1[[#This Row],[Hour]]&lt;12,"Morning",IF(Table1[[#This Row],[Hour]]&lt;18,"Afternoon","Evening")))</f>
        <v>Morning</v>
      </c>
      <c r="E145" s="9" t="b">
        <v>0</v>
      </c>
      <c r="F145" s="9" t="s">
        <v>24</v>
      </c>
      <c r="G145" s="9" t="s">
        <v>9</v>
      </c>
      <c r="H145" s="10">
        <v>0.2</v>
      </c>
      <c r="I145" s="41"/>
    </row>
    <row r="146" spans="1:9" ht="12.5">
      <c r="A146" s="7">
        <v>145</v>
      </c>
      <c r="B146" s="8">
        <v>40550</v>
      </c>
      <c r="C146" s="9">
        <v>7</v>
      </c>
      <c r="D146" s="9" t="str">
        <f>IF(Table1[[#This Row],[Hour]]&lt;6,"Night",IF(Table1[[#This Row],[Hour]]&lt;12,"Morning",IF(Table1[[#This Row],[Hour]]&lt;18,"Afternoon","Evening")))</f>
        <v>Morning</v>
      </c>
      <c r="E146" s="9" t="b">
        <v>0</v>
      </c>
      <c r="F146" s="9" t="s">
        <v>24</v>
      </c>
      <c r="G146" s="9" t="s">
        <v>8</v>
      </c>
      <c r="H146" s="10">
        <v>0.2</v>
      </c>
      <c r="I146" s="41"/>
    </row>
    <row r="147" spans="1:9" ht="12.5">
      <c r="A147" s="7">
        <v>146</v>
      </c>
      <c r="B147" s="8">
        <v>40550</v>
      </c>
      <c r="C147" s="9">
        <v>8</v>
      </c>
      <c r="D147" s="9" t="str">
        <f>IF(Table1[[#This Row],[Hour]]&lt;6,"Night",IF(Table1[[#This Row],[Hour]]&lt;12,"Morning",IF(Table1[[#This Row],[Hour]]&lt;18,"Afternoon","Evening")))</f>
        <v>Morning</v>
      </c>
      <c r="E147" s="9" t="b">
        <v>0</v>
      </c>
      <c r="F147" s="9" t="s">
        <v>24</v>
      </c>
      <c r="G147" s="9" t="s">
        <v>8</v>
      </c>
      <c r="H147" s="10">
        <v>0.2</v>
      </c>
      <c r="I147" s="41"/>
    </row>
    <row r="148" spans="1:9" ht="12.5">
      <c r="A148" s="7">
        <v>147</v>
      </c>
      <c r="B148" s="8">
        <v>40550</v>
      </c>
      <c r="C148" s="9">
        <v>9</v>
      </c>
      <c r="D148" s="9" t="str">
        <f>IF(Table1[[#This Row],[Hour]]&lt;6,"Night",IF(Table1[[#This Row],[Hour]]&lt;12,"Morning",IF(Table1[[#This Row],[Hour]]&lt;18,"Afternoon","Evening")))</f>
        <v>Morning</v>
      </c>
      <c r="E148" s="9" t="b">
        <v>0</v>
      </c>
      <c r="F148" s="9" t="s">
        <v>24</v>
      </c>
      <c r="G148" s="9" t="s">
        <v>8</v>
      </c>
      <c r="H148" s="10">
        <v>0.2</v>
      </c>
      <c r="I148" s="41"/>
    </row>
    <row r="149" spans="1:9" ht="12.5">
      <c r="A149" s="7">
        <v>148</v>
      </c>
      <c r="B149" s="8">
        <v>40550</v>
      </c>
      <c r="C149" s="9">
        <v>10</v>
      </c>
      <c r="D149" s="9" t="str">
        <f>IF(Table1[[#This Row],[Hour]]&lt;6,"Night",IF(Table1[[#This Row],[Hour]]&lt;12,"Morning",IF(Table1[[#This Row],[Hour]]&lt;18,"Afternoon","Evening")))</f>
        <v>Morning</v>
      </c>
      <c r="E149" s="9" t="b">
        <v>0</v>
      </c>
      <c r="F149" s="9" t="s">
        <v>24</v>
      </c>
      <c r="G149" s="9" t="s">
        <v>8</v>
      </c>
      <c r="H149" s="10">
        <v>0.22</v>
      </c>
      <c r="I149" s="41"/>
    </row>
    <row r="150" spans="1:9" ht="12.5">
      <c r="A150" s="7">
        <v>149</v>
      </c>
      <c r="B150" s="8">
        <v>40550</v>
      </c>
      <c r="C150" s="9">
        <v>11</v>
      </c>
      <c r="D150" s="9" t="str">
        <f>IF(Table1[[#This Row],[Hour]]&lt;6,"Night",IF(Table1[[#This Row],[Hour]]&lt;12,"Morning",IF(Table1[[#This Row],[Hour]]&lt;18,"Afternoon","Evening")))</f>
        <v>Morning</v>
      </c>
      <c r="E150" s="9" t="b">
        <v>0</v>
      </c>
      <c r="F150" s="9" t="s">
        <v>24</v>
      </c>
      <c r="G150" s="9" t="s">
        <v>9</v>
      </c>
      <c r="H150" s="10">
        <v>0.2</v>
      </c>
      <c r="I150" s="41"/>
    </row>
    <row r="151" spans="1:9" ht="12.5">
      <c r="A151" s="7">
        <v>150</v>
      </c>
      <c r="B151" s="8">
        <v>40550</v>
      </c>
      <c r="C151" s="9">
        <v>12</v>
      </c>
      <c r="D151" s="9" t="str">
        <f>IF(Table1[[#This Row],[Hour]]&lt;6,"Night",IF(Table1[[#This Row],[Hour]]&lt;12,"Morning",IF(Table1[[#This Row],[Hour]]&lt;18,"Afternoon","Evening")))</f>
        <v>Afternoon</v>
      </c>
      <c r="E151" s="9" t="b">
        <v>0</v>
      </c>
      <c r="F151" s="9" t="s">
        <v>24</v>
      </c>
      <c r="G151" s="9" t="s">
        <v>9</v>
      </c>
      <c r="H151" s="10">
        <v>0.2</v>
      </c>
      <c r="I151" s="41"/>
    </row>
    <row r="152" spans="1:9" ht="12.5">
      <c r="A152" s="7">
        <v>151</v>
      </c>
      <c r="B152" s="8">
        <v>40550</v>
      </c>
      <c r="C152" s="9">
        <v>13</v>
      </c>
      <c r="D152" s="9" t="str">
        <f>IF(Table1[[#This Row],[Hour]]&lt;6,"Night",IF(Table1[[#This Row],[Hour]]&lt;12,"Morning",IF(Table1[[#This Row],[Hour]]&lt;18,"Afternoon","Evening")))</f>
        <v>Afternoon</v>
      </c>
      <c r="E152" s="9" t="b">
        <v>0</v>
      </c>
      <c r="F152" s="9" t="s">
        <v>24</v>
      </c>
      <c r="G152" s="9" t="s">
        <v>9</v>
      </c>
      <c r="H152" s="10">
        <v>0.2</v>
      </c>
      <c r="I152" s="41"/>
    </row>
    <row r="153" spans="1:9" ht="12.5">
      <c r="A153" s="7">
        <v>152</v>
      </c>
      <c r="B153" s="8">
        <v>40550</v>
      </c>
      <c r="C153" s="9">
        <v>14</v>
      </c>
      <c r="D153" s="9" t="str">
        <f>IF(Table1[[#This Row],[Hour]]&lt;6,"Night",IF(Table1[[#This Row],[Hour]]&lt;12,"Morning",IF(Table1[[#This Row],[Hour]]&lt;18,"Afternoon","Evening")))</f>
        <v>Afternoon</v>
      </c>
      <c r="E153" s="9" t="b">
        <v>0</v>
      </c>
      <c r="F153" s="9" t="s">
        <v>24</v>
      </c>
      <c r="G153" s="9" t="s">
        <v>9</v>
      </c>
      <c r="H153" s="10">
        <v>0.2</v>
      </c>
      <c r="I153" s="41"/>
    </row>
    <row r="154" spans="1:9" ht="12.5">
      <c r="A154" s="7">
        <v>153</v>
      </c>
      <c r="B154" s="8">
        <v>40550</v>
      </c>
      <c r="C154" s="9">
        <v>15</v>
      </c>
      <c r="D154" s="9" t="str">
        <f>IF(Table1[[#This Row],[Hour]]&lt;6,"Night",IF(Table1[[#This Row],[Hour]]&lt;12,"Morning",IF(Table1[[#This Row],[Hour]]&lt;18,"Afternoon","Evening")))</f>
        <v>Afternoon</v>
      </c>
      <c r="E154" s="9" t="b">
        <v>0</v>
      </c>
      <c r="F154" s="9" t="s">
        <v>24</v>
      </c>
      <c r="G154" s="9" t="s">
        <v>9</v>
      </c>
      <c r="H154" s="10">
        <v>0.2</v>
      </c>
      <c r="I154" s="41"/>
    </row>
    <row r="155" spans="1:9" ht="12.5">
      <c r="A155" s="7">
        <v>154</v>
      </c>
      <c r="B155" s="8">
        <v>40550</v>
      </c>
      <c r="C155" s="9">
        <v>16</v>
      </c>
      <c r="D155" s="9" t="str">
        <f>IF(Table1[[#This Row],[Hour]]&lt;6,"Night",IF(Table1[[#This Row],[Hour]]&lt;12,"Morning",IF(Table1[[#This Row],[Hour]]&lt;18,"Afternoon","Evening")))</f>
        <v>Afternoon</v>
      </c>
      <c r="E155" s="9" t="b">
        <v>0</v>
      </c>
      <c r="F155" s="9" t="s">
        <v>24</v>
      </c>
      <c r="G155" s="9" t="s">
        <v>9</v>
      </c>
      <c r="H155" s="10">
        <v>0.2</v>
      </c>
      <c r="I155" s="41"/>
    </row>
    <row r="156" spans="1:9" ht="12.5">
      <c r="A156" s="7">
        <v>155</v>
      </c>
      <c r="B156" s="8">
        <v>40550</v>
      </c>
      <c r="C156" s="9">
        <v>17</v>
      </c>
      <c r="D156" s="9" t="str">
        <f>IF(Table1[[#This Row],[Hour]]&lt;6,"Night",IF(Table1[[#This Row],[Hour]]&lt;12,"Morning",IF(Table1[[#This Row],[Hour]]&lt;18,"Afternoon","Evening")))</f>
        <v>Afternoon</v>
      </c>
      <c r="E156" s="9" t="b">
        <v>0</v>
      </c>
      <c r="F156" s="9" t="s">
        <v>24</v>
      </c>
      <c r="G156" s="9" t="s">
        <v>9</v>
      </c>
      <c r="H156" s="10">
        <v>0.2</v>
      </c>
      <c r="I156" s="41"/>
    </row>
    <row r="157" spans="1:9" ht="12.5">
      <c r="A157" s="7">
        <v>156</v>
      </c>
      <c r="B157" s="8">
        <v>40550</v>
      </c>
      <c r="C157" s="9">
        <v>18</v>
      </c>
      <c r="D157" s="9" t="str">
        <f>IF(Table1[[#This Row],[Hour]]&lt;6,"Night",IF(Table1[[#This Row],[Hour]]&lt;12,"Morning",IF(Table1[[#This Row],[Hour]]&lt;18,"Afternoon","Evening")))</f>
        <v>Evening</v>
      </c>
      <c r="E157" s="9" t="b">
        <v>0</v>
      </c>
      <c r="F157" s="9" t="s">
        <v>24</v>
      </c>
      <c r="G157" s="9" t="s">
        <v>8</v>
      </c>
      <c r="H157" s="10">
        <v>0.2</v>
      </c>
      <c r="I157" s="41"/>
    </row>
    <row r="158" spans="1:9" ht="12.5">
      <c r="A158" s="7">
        <v>157</v>
      </c>
      <c r="B158" s="8">
        <v>40550</v>
      </c>
      <c r="C158" s="9">
        <v>19</v>
      </c>
      <c r="D158" s="9" t="str">
        <f>IF(Table1[[#This Row],[Hour]]&lt;6,"Night",IF(Table1[[#This Row],[Hour]]&lt;12,"Morning",IF(Table1[[#This Row],[Hour]]&lt;18,"Afternoon","Evening")))</f>
        <v>Evening</v>
      </c>
      <c r="E158" s="9" t="b">
        <v>0</v>
      </c>
      <c r="F158" s="9" t="s">
        <v>24</v>
      </c>
      <c r="G158" s="9" t="s">
        <v>8</v>
      </c>
      <c r="H158" s="10">
        <v>0.16</v>
      </c>
      <c r="I158" s="41"/>
    </row>
    <row r="159" spans="1:9" ht="12.5">
      <c r="A159" s="7">
        <v>158</v>
      </c>
      <c r="B159" s="8">
        <v>40550</v>
      </c>
      <c r="C159" s="9">
        <v>20</v>
      </c>
      <c r="D159" s="9" t="str">
        <f>IF(Table1[[#This Row],[Hour]]&lt;6,"Night",IF(Table1[[#This Row],[Hour]]&lt;12,"Morning",IF(Table1[[#This Row],[Hour]]&lt;18,"Afternoon","Evening")))</f>
        <v>Evening</v>
      </c>
      <c r="E159" s="9" t="b">
        <v>0</v>
      </c>
      <c r="F159" s="9" t="s">
        <v>24</v>
      </c>
      <c r="G159" s="9" t="s">
        <v>8</v>
      </c>
      <c r="H159" s="10">
        <v>0.18</v>
      </c>
      <c r="I159" s="41"/>
    </row>
    <row r="160" spans="1:9" ht="12.5">
      <c r="A160" s="7">
        <v>159</v>
      </c>
      <c r="B160" s="8">
        <v>40550</v>
      </c>
      <c r="C160" s="9">
        <v>21</v>
      </c>
      <c r="D160" s="9" t="str">
        <f>IF(Table1[[#This Row],[Hour]]&lt;6,"Night",IF(Table1[[#This Row],[Hour]]&lt;12,"Morning",IF(Table1[[#This Row],[Hour]]&lt;18,"Afternoon","Evening")))</f>
        <v>Evening</v>
      </c>
      <c r="E160" s="9" t="b">
        <v>0</v>
      </c>
      <c r="F160" s="9" t="s">
        <v>24</v>
      </c>
      <c r="G160" s="9" t="s">
        <v>8</v>
      </c>
      <c r="H160" s="10">
        <v>0.18</v>
      </c>
      <c r="I160" s="41"/>
    </row>
    <row r="161" spans="1:9" ht="12.5">
      <c r="A161" s="7">
        <v>160</v>
      </c>
      <c r="B161" s="8">
        <v>40550</v>
      </c>
      <c r="C161" s="9">
        <v>22</v>
      </c>
      <c r="D161" s="9" t="str">
        <f>IF(Table1[[#This Row],[Hour]]&lt;6,"Night",IF(Table1[[#This Row],[Hour]]&lt;12,"Morning",IF(Table1[[#This Row],[Hour]]&lt;18,"Afternoon","Evening")))</f>
        <v>Evening</v>
      </c>
      <c r="E161" s="9" t="b">
        <v>0</v>
      </c>
      <c r="F161" s="9" t="s">
        <v>24</v>
      </c>
      <c r="G161" s="9" t="s">
        <v>9</v>
      </c>
      <c r="H161" s="10">
        <v>0.18</v>
      </c>
      <c r="I161" s="41"/>
    </row>
    <row r="162" spans="1:9" ht="12.5">
      <c r="A162" s="7">
        <v>161</v>
      </c>
      <c r="B162" s="8">
        <v>40550</v>
      </c>
      <c r="C162" s="9">
        <v>23</v>
      </c>
      <c r="D162" s="9" t="str">
        <f>IF(Table1[[#This Row],[Hour]]&lt;6,"Night",IF(Table1[[#This Row],[Hour]]&lt;12,"Morning",IF(Table1[[#This Row],[Hour]]&lt;18,"Afternoon","Evening")))</f>
        <v>Evening</v>
      </c>
      <c r="E162" s="9" t="b">
        <v>0</v>
      </c>
      <c r="F162" s="9" t="s">
        <v>24</v>
      </c>
      <c r="G162" s="9" t="s">
        <v>9</v>
      </c>
      <c r="H162" s="10">
        <v>0.18</v>
      </c>
      <c r="I162" s="41"/>
    </row>
    <row r="163" spans="1:9" ht="12.5">
      <c r="A163" s="7">
        <v>162</v>
      </c>
      <c r="B163" s="8">
        <v>40551</v>
      </c>
      <c r="C163" s="9">
        <v>0</v>
      </c>
      <c r="D163" s="9" t="str">
        <f>IF(Table1[[#This Row],[Hour]]&lt;6,"Night",IF(Table1[[#This Row],[Hour]]&lt;12,"Morning",IF(Table1[[#This Row],[Hour]]&lt;18,"Afternoon","Evening")))</f>
        <v>Night</v>
      </c>
      <c r="E163" s="9" t="b">
        <v>0</v>
      </c>
      <c r="F163" s="9" t="s">
        <v>25</v>
      </c>
      <c r="G163" s="9" t="s">
        <v>9</v>
      </c>
      <c r="H163" s="10">
        <v>0.18</v>
      </c>
      <c r="I163" s="41"/>
    </row>
    <row r="164" spans="1:9" ht="12.5">
      <c r="A164" s="7">
        <v>163</v>
      </c>
      <c r="B164" s="8">
        <v>40551</v>
      </c>
      <c r="C164" s="9">
        <v>1</v>
      </c>
      <c r="D164" s="9" t="str">
        <f>IF(Table1[[#This Row],[Hour]]&lt;6,"Night",IF(Table1[[#This Row],[Hour]]&lt;12,"Morning",IF(Table1[[#This Row],[Hour]]&lt;18,"Afternoon","Evening")))</f>
        <v>Night</v>
      </c>
      <c r="E164" s="9" t="b">
        <v>0</v>
      </c>
      <c r="F164" s="9" t="s">
        <v>25</v>
      </c>
      <c r="G164" s="9" t="s">
        <v>9</v>
      </c>
      <c r="H164" s="10">
        <v>0.18</v>
      </c>
      <c r="I164" s="41"/>
    </row>
    <row r="165" spans="1:9" ht="12.5">
      <c r="A165" s="7">
        <v>164</v>
      </c>
      <c r="B165" s="8">
        <v>40551</v>
      </c>
      <c r="C165" s="9">
        <v>2</v>
      </c>
      <c r="D165" s="9" t="str">
        <f>IF(Table1[[#This Row],[Hour]]&lt;6,"Night",IF(Table1[[#This Row],[Hour]]&lt;12,"Morning",IF(Table1[[#This Row],[Hour]]&lt;18,"Afternoon","Evening")))</f>
        <v>Night</v>
      </c>
      <c r="E165" s="9" t="b">
        <v>0</v>
      </c>
      <c r="F165" s="9" t="s">
        <v>25</v>
      </c>
      <c r="G165" s="9" t="s">
        <v>9</v>
      </c>
      <c r="H165" s="10">
        <v>0.18</v>
      </c>
      <c r="I165" s="41"/>
    </row>
    <row r="166" spans="1:9" ht="12.5">
      <c r="A166" s="7">
        <v>165</v>
      </c>
      <c r="B166" s="8">
        <v>40551</v>
      </c>
      <c r="C166" s="9">
        <v>3</v>
      </c>
      <c r="D166" s="9" t="str">
        <f>IF(Table1[[#This Row],[Hour]]&lt;6,"Night",IF(Table1[[#This Row],[Hour]]&lt;12,"Morning",IF(Table1[[#This Row],[Hour]]&lt;18,"Afternoon","Evening")))</f>
        <v>Night</v>
      </c>
      <c r="E166" s="9" t="b">
        <v>0</v>
      </c>
      <c r="F166" s="9" t="s">
        <v>25</v>
      </c>
      <c r="G166" s="9" t="s">
        <v>10</v>
      </c>
      <c r="H166" s="10">
        <v>0.18</v>
      </c>
      <c r="I166" s="41"/>
    </row>
    <row r="167" spans="1:9" ht="12.5">
      <c r="A167" s="7">
        <v>166</v>
      </c>
      <c r="B167" s="8">
        <v>40551</v>
      </c>
      <c r="C167" s="9">
        <v>4</v>
      </c>
      <c r="D167" s="9" t="str">
        <f>IF(Table1[[#This Row],[Hour]]&lt;6,"Night",IF(Table1[[#This Row],[Hour]]&lt;12,"Morning",IF(Table1[[#This Row],[Hour]]&lt;18,"Afternoon","Evening")))</f>
        <v>Night</v>
      </c>
      <c r="E167" s="9" t="b">
        <v>0</v>
      </c>
      <c r="F167" s="9" t="s">
        <v>25</v>
      </c>
      <c r="G167" s="9" t="s">
        <v>10</v>
      </c>
      <c r="H167" s="10">
        <v>0.18</v>
      </c>
      <c r="I167" s="41"/>
    </row>
    <row r="168" spans="1:9" ht="12.5">
      <c r="A168" s="7">
        <v>167</v>
      </c>
      <c r="B168" s="8">
        <v>40551</v>
      </c>
      <c r="C168" s="9">
        <v>5</v>
      </c>
      <c r="D168" s="9" t="str">
        <f>IF(Table1[[#This Row],[Hour]]&lt;6,"Night",IF(Table1[[#This Row],[Hour]]&lt;12,"Morning",IF(Table1[[#This Row],[Hour]]&lt;18,"Afternoon","Evening")))</f>
        <v>Night</v>
      </c>
      <c r="E168" s="9" t="b">
        <v>0</v>
      </c>
      <c r="F168" s="9" t="s">
        <v>25</v>
      </c>
      <c r="G168" s="9" t="s">
        <v>9</v>
      </c>
      <c r="H168" s="10">
        <v>0.16</v>
      </c>
      <c r="I168" s="41"/>
    </row>
    <row r="169" spans="1:9" ht="12.5">
      <c r="A169" s="7">
        <v>168</v>
      </c>
      <c r="B169" s="8">
        <v>40551</v>
      </c>
      <c r="C169" s="9">
        <v>6</v>
      </c>
      <c r="D169" s="9" t="str">
        <f>IF(Table1[[#This Row],[Hour]]&lt;6,"Night",IF(Table1[[#This Row],[Hour]]&lt;12,"Morning",IF(Table1[[#This Row],[Hour]]&lt;18,"Afternoon","Evening")))</f>
        <v>Morning</v>
      </c>
      <c r="E169" s="9" t="b">
        <v>0</v>
      </c>
      <c r="F169" s="9" t="s">
        <v>25</v>
      </c>
      <c r="G169" s="9" t="s">
        <v>9</v>
      </c>
      <c r="H169" s="10">
        <v>0.16</v>
      </c>
      <c r="I169" s="41"/>
    </row>
    <row r="170" spans="1:9" ht="12.5">
      <c r="A170" s="7">
        <v>169</v>
      </c>
      <c r="B170" s="8">
        <v>40551</v>
      </c>
      <c r="C170" s="9">
        <v>7</v>
      </c>
      <c r="D170" s="9" t="str">
        <f>IF(Table1[[#This Row],[Hour]]&lt;6,"Night",IF(Table1[[#This Row],[Hour]]&lt;12,"Morning",IF(Table1[[#This Row],[Hour]]&lt;18,"Afternoon","Evening")))</f>
        <v>Morning</v>
      </c>
      <c r="E170" s="9" t="b">
        <v>0</v>
      </c>
      <c r="F170" s="9" t="s">
        <v>25</v>
      </c>
      <c r="G170" s="9" t="s">
        <v>9</v>
      </c>
      <c r="H170" s="10">
        <v>0.16</v>
      </c>
      <c r="I170" s="41"/>
    </row>
    <row r="171" spans="1:9" ht="12.5">
      <c r="A171" s="7">
        <v>170</v>
      </c>
      <c r="B171" s="8">
        <v>40551</v>
      </c>
      <c r="C171" s="9">
        <v>8</v>
      </c>
      <c r="D171" s="9" t="str">
        <f>IF(Table1[[#This Row],[Hour]]&lt;6,"Night",IF(Table1[[#This Row],[Hour]]&lt;12,"Morning",IF(Table1[[#This Row],[Hour]]&lt;18,"Afternoon","Evening")))</f>
        <v>Morning</v>
      </c>
      <c r="E171" s="9" t="b">
        <v>0</v>
      </c>
      <c r="F171" s="9" t="s">
        <v>25</v>
      </c>
      <c r="G171" s="9" t="s">
        <v>10</v>
      </c>
      <c r="H171" s="10">
        <v>0.16</v>
      </c>
      <c r="I171" s="41"/>
    </row>
    <row r="172" spans="1:9" ht="12.5">
      <c r="A172" s="7">
        <v>171</v>
      </c>
      <c r="B172" s="8">
        <v>40551</v>
      </c>
      <c r="C172" s="9">
        <v>9</v>
      </c>
      <c r="D172" s="9" t="str">
        <f>IF(Table1[[#This Row],[Hour]]&lt;6,"Night",IF(Table1[[#This Row],[Hour]]&lt;12,"Morning",IF(Table1[[#This Row],[Hour]]&lt;18,"Afternoon","Evening")))</f>
        <v>Morning</v>
      </c>
      <c r="E172" s="9" t="b">
        <v>0</v>
      </c>
      <c r="F172" s="9" t="s">
        <v>25</v>
      </c>
      <c r="G172" s="9" t="s">
        <v>10</v>
      </c>
      <c r="H172" s="10">
        <v>0.16</v>
      </c>
      <c r="I172" s="41"/>
    </row>
    <row r="173" spans="1:9" ht="12.5">
      <c r="A173" s="7">
        <v>172</v>
      </c>
      <c r="B173" s="8">
        <v>40551</v>
      </c>
      <c r="C173" s="9">
        <v>10</v>
      </c>
      <c r="D173" s="9" t="str">
        <f>IF(Table1[[#This Row],[Hour]]&lt;6,"Night",IF(Table1[[#This Row],[Hour]]&lt;12,"Morning",IF(Table1[[#This Row],[Hour]]&lt;18,"Afternoon","Evening")))</f>
        <v>Morning</v>
      </c>
      <c r="E173" s="9" t="b">
        <v>0</v>
      </c>
      <c r="F173" s="9" t="s">
        <v>25</v>
      </c>
      <c r="G173" s="9" t="s">
        <v>9</v>
      </c>
      <c r="H173" s="10">
        <v>0.18</v>
      </c>
      <c r="I173" s="41"/>
    </row>
    <row r="174" spans="1:9" ht="12.5">
      <c r="A174" s="7">
        <v>173</v>
      </c>
      <c r="B174" s="8">
        <v>40551</v>
      </c>
      <c r="C174" s="9">
        <v>11</v>
      </c>
      <c r="D174" s="9" t="str">
        <f>IF(Table1[[#This Row],[Hour]]&lt;6,"Night",IF(Table1[[#This Row],[Hour]]&lt;12,"Morning",IF(Table1[[#This Row],[Hour]]&lt;18,"Afternoon","Evening")))</f>
        <v>Morning</v>
      </c>
      <c r="E174" s="9" t="b">
        <v>0</v>
      </c>
      <c r="F174" s="9" t="s">
        <v>25</v>
      </c>
      <c r="G174" s="9" t="s">
        <v>9</v>
      </c>
      <c r="H174" s="10">
        <v>0.2</v>
      </c>
      <c r="I174" s="41"/>
    </row>
    <row r="175" spans="1:9" ht="12.5">
      <c r="A175" s="7">
        <v>174</v>
      </c>
      <c r="B175" s="8">
        <v>40551</v>
      </c>
      <c r="C175" s="9">
        <v>12</v>
      </c>
      <c r="D175" s="9" t="str">
        <f>IF(Table1[[#This Row],[Hour]]&lt;6,"Night",IF(Table1[[#This Row],[Hour]]&lt;12,"Morning",IF(Table1[[#This Row],[Hour]]&lt;18,"Afternoon","Evening")))</f>
        <v>Afternoon</v>
      </c>
      <c r="E175" s="9" t="b">
        <v>0</v>
      </c>
      <c r="F175" s="9" t="s">
        <v>25</v>
      </c>
      <c r="G175" s="9" t="s">
        <v>9</v>
      </c>
      <c r="H175" s="10">
        <v>0.2</v>
      </c>
      <c r="I175" s="41"/>
    </row>
    <row r="176" spans="1:9" ht="12.5">
      <c r="A176" s="7">
        <v>175</v>
      </c>
      <c r="B176" s="8">
        <v>40551</v>
      </c>
      <c r="C176" s="9">
        <v>13</v>
      </c>
      <c r="D176" s="9" t="str">
        <f>IF(Table1[[#This Row],[Hour]]&lt;6,"Night",IF(Table1[[#This Row],[Hour]]&lt;12,"Morning",IF(Table1[[#This Row],[Hour]]&lt;18,"Afternoon","Evening")))</f>
        <v>Afternoon</v>
      </c>
      <c r="E176" s="9" t="b">
        <v>0</v>
      </c>
      <c r="F176" s="9" t="s">
        <v>25</v>
      </c>
      <c r="G176" s="9" t="s">
        <v>8</v>
      </c>
      <c r="H176" s="10">
        <v>0.2</v>
      </c>
      <c r="I176" s="41"/>
    </row>
    <row r="177" spans="1:9" ht="12.5">
      <c r="A177" s="7">
        <v>176</v>
      </c>
      <c r="B177" s="8">
        <v>40551</v>
      </c>
      <c r="C177" s="9">
        <v>14</v>
      </c>
      <c r="D177" s="9" t="str">
        <f>IF(Table1[[#This Row],[Hour]]&lt;6,"Night",IF(Table1[[#This Row],[Hour]]&lt;12,"Morning",IF(Table1[[#This Row],[Hour]]&lt;18,"Afternoon","Evening")))</f>
        <v>Afternoon</v>
      </c>
      <c r="E177" s="9" t="b">
        <v>0</v>
      </c>
      <c r="F177" s="9" t="s">
        <v>25</v>
      </c>
      <c r="G177" s="9" t="s">
        <v>8</v>
      </c>
      <c r="H177" s="10">
        <v>0.2</v>
      </c>
      <c r="I177" s="41"/>
    </row>
    <row r="178" spans="1:9" ht="12.5">
      <c r="A178" s="7">
        <v>177</v>
      </c>
      <c r="B178" s="8">
        <v>40551</v>
      </c>
      <c r="C178" s="9">
        <v>15</v>
      </c>
      <c r="D178" s="9" t="str">
        <f>IF(Table1[[#This Row],[Hour]]&lt;6,"Night",IF(Table1[[#This Row],[Hour]]&lt;12,"Morning",IF(Table1[[#This Row],[Hour]]&lt;18,"Afternoon","Evening")))</f>
        <v>Afternoon</v>
      </c>
      <c r="E178" s="9" t="b">
        <v>0</v>
      </c>
      <c r="F178" s="9" t="s">
        <v>25</v>
      </c>
      <c r="G178" s="9" t="s">
        <v>8</v>
      </c>
      <c r="H178" s="10">
        <v>0.2</v>
      </c>
      <c r="I178" s="41"/>
    </row>
    <row r="179" spans="1:9" ht="12.5">
      <c r="A179" s="7">
        <v>178</v>
      </c>
      <c r="B179" s="8">
        <v>40551</v>
      </c>
      <c r="C179" s="9">
        <v>16</v>
      </c>
      <c r="D179" s="9" t="str">
        <f>IF(Table1[[#This Row],[Hour]]&lt;6,"Night",IF(Table1[[#This Row],[Hour]]&lt;12,"Morning",IF(Table1[[#This Row],[Hour]]&lt;18,"Afternoon","Evening")))</f>
        <v>Afternoon</v>
      </c>
      <c r="E179" s="9" t="b">
        <v>0</v>
      </c>
      <c r="F179" s="9" t="s">
        <v>25</v>
      </c>
      <c r="G179" s="9" t="s">
        <v>8</v>
      </c>
      <c r="H179" s="10">
        <v>0.18</v>
      </c>
      <c r="I179" s="41"/>
    </row>
    <row r="180" spans="1:9" ht="12.5">
      <c r="A180" s="7">
        <v>179</v>
      </c>
      <c r="B180" s="8">
        <v>40551</v>
      </c>
      <c r="C180" s="9">
        <v>17</v>
      </c>
      <c r="D180" s="9" t="str">
        <f>IF(Table1[[#This Row],[Hour]]&lt;6,"Night",IF(Table1[[#This Row],[Hour]]&lt;12,"Morning",IF(Table1[[#This Row],[Hour]]&lt;18,"Afternoon","Evening")))</f>
        <v>Afternoon</v>
      </c>
      <c r="E180" s="9" t="b">
        <v>0</v>
      </c>
      <c r="F180" s="9" t="s">
        <v>25</v>
      </c>
      <c r="G180" s="9" t="s">
        <v>8</v>
      </c>
      <c r="H180" s="10">
        <v>0.16</v>
      </c>
      <c r="I180" s="41"/>
    </row>
    <row r="181" spans="1:9" ht="12.5">
      <c r="A181" s="7">
        <v>180</v>
      </c>
      <c r="B181" s="8">
        <v>40551</v>
      </c>
      <c r="C181" s="9">
        <v>18</v>
      </c>
      <c r="D181" s="9" t="str">
        <f>IF(Table1[[#This Row],[Hour]]&lt;6,"Night",IF(Table1[[#This Row],[Hour]]&lt;12,"Morning",IF(Table1[[#This Row],[Hour]]&lt;18,"Afternoon","Evening")))</f>
        <v>Evening</v>
      </c>
      <c r="E181" s="9" t="b">
        <v>0</v>
      </c>
      <c r="F181" s="9" t="s">
        <v>25</v>
      </c>
      <c r="G181" s="9" t="s">
        <v>8</v>
      </c>
      <c r="H181" s="10">
        <v>0.14000000000000001</v>
      </c>
      <c r="I181" s="41"/>
    </row>
    <row r="182" spans="1:9" ht="12.5">
      <c r="A182" s="7">
        <v>181</v>
      </c>
      <c r="B182" s="8">
        <v>40551</v>
      </c>
      <c r="C182" s="9">
        <v>19</v>
      </c>
      <c r="D182" s="9" t="str">
        <f>IF(Table1[[#This Row],[Hour]]&lt;6,"Night",IF(Table1[[#This Row],[Hour]]&lt;12,"Morning",IF(Table1[[#This Row],[Hour]]&lt;18,"Afternoon","Evening")))</f>
        <v>Evening</v>
      </c>
      <c r="E182" s="9" t="b">
        <v>0</v>
      </c>
      <c r="F182" s="9" t="s">
        <v>25</v>
      </c>
      <c r="G182" s="9" t="s">
        <v>8</v>
      </c>
      <c r="H182" s="10">
        <v>0.14000000000000001</v>
      </c>
      <c r="I182" s="41"/>
    </row>
    <row r="183" spans="1:9" ht="12.5">
      <c r="A183" s="7">
        <v>182</v>
      </c>
      <c r="B183" s="8">
        <v>40551</v>
      </c>
      <c r="C183" s="9">
        <v>20</v>
      </c>
      <c r="D183" s="9" t="str">
        <f>IF(Table1[[#This Row],[Hour]]&lt;6,"Night",IF(Table1[[#This Row],[Hour]]&lt;12,"Morning",IF(Table1[[#This Row],[Hour]]&lt;18,"Afternoon","Evening")))</f>
        <v>Evening</v>
      </c>
      <c r="E183" s="9" t="b">
        <v>0</v>
      </c>
      <c r="F183" s="9" t="s">
        <v>25</v>
      </c>
      <c r="G183" s="9" t="s">
        <v>8</v>
      </c>
      <c r="H183" s="10">
        <v>0.12</v>
      </c>
      <c r="I183" s="41"/>
    </row>
    <row r="184" spans="1:9" ht="12.5">
      <c r="A184" s="7">
        <v>183</v>
      </c>
      <c r="B184" s="8">
        <v>40551</v>
      </c>
      <c r="C184" s="9">
        <v>21</v>
      </c>
      <c r="D184" s="9" t="str">
        <f>IF(Table1[[#This Row],[Hour]]&lt;6,"Night",IF(Table1[[#This Row],[Hour]]&lt;12,"Morning",IF(Table1[[#This Row],[Hour]]&lt;18,"Afternoon","Evening")))</f>
        <v>Evening</v>
      </c>
      <c r="E184" s="9" t="b">
        <v>0</v>
      </c>
      <c r="F184" s="9" t="s">
        <v>25</v>
      </c>
      <c r="G184" s="9" t="s">
        <v>8</v>
      </c>
      <c r="H184" s="10">
        <v>0.12</v>
      </c>
      <c r="I184" s="41"/>
    </row>
    <row r="185" spans="1:9" ht="12.5">
      <c r="A185" s="7">
        <v>184</v>
      </c>
      <c r="B185" s="8">
        <v>40551</v>
      </c>
      <c r="C185" s="9">
        <v>22</v>
      </c>
      <c r="D185" s="9" t="str">
        <f>IF(Table1[[#This Row],[Hour]]&lt;6,"Night",IF(Table1[[#This Row],[Hour]]&lt;12,"Morning",IF(Table1[[#This Row],[Hour]]&lt;18,"Afternoon","Evening")))</f>
        <v>Evening</v>
      </c>
      <c r="E185" s="9" t="b">
        <v>0</v>
      </c>
      <c r="F185" s="9" t="s">
        <v>25</v>
      </c>
      <c r="G185" s="9" t="s">
        <v>8</v>
      </c>
      <c r="H185" s="10">
        <v>0.12</v>
      </c>
      <c r="I185" s="41"/>
    </row>
    <row r="186" spans="1:9" ht="12.5">
      <c r="A186" s="7">
        <v>185</v>
      </c>
      <c r="B186" s="8">
        <v>40551</v>
      </c>
      <c r="C186" s="9">
        <v>23</v>
      </c>
      <c r="D186" s="9" t="str">
        <f>IF(Table1[[#This Row],[Hour]]&lt;6,"Night",IF(Table1[[#This Row],[Hour]]&lt;12,"Morning",IF(Table1[[#This Row],[Hour]]&lt;18,"Afternoon","Evening")))</f>
        <v>Evening</v>
      </c>
      <c r="E186" s="9" t="b">
        <v>0</v>
      </c>
      <c r="F186" s="9" t="s">
        <v>25</v>
      </c>
      <c r="G186" s="9" t="s">
        <v>8</v>
      </c>
      <c r="H186" s="10">
        <v>0.1</v>
      </c>
      <c r="I186" s="41"/>
    </row>
    <row r="187" spans="1:9" ht="12.5">
      <c r="A187" s="7">
        <v>186</v>
      </c>
      <c r="B187" s="8">
        <v>40552</v>
      </c>
      <c r="C187" s="9">
        <v>0</v>
      </c>
      <c r="D187" s="9" t="str">
        <f>IF(Table1[[#This Row],[Hour]]&lt;6,"Night",IF(Table1[[#This Row],[Hour]]&lt;12,"Morning",IF(Table1[[#This Row],[Hour]]&lt;18,"Afternoon","Evening")))</f>
        <v>Night</v>
      </c>
      <c r="E187" s="9" t="b">
        <v>0</v>
      </c>
      <c r="F187" s="9" t="s">
        <v>19</v>
      </c>
      <c r="G187" s="9" t="s">
        <v>8</v>
      </c>
      <c r="H187" s="10">
        <v>0.1</v>
      </c>
      <c r="I187" s="41"/>
    </row>
    <row r="188" spans="1:9" ht="12.5">
      <c r="A188" s="7">
        <v>187</v>
      </c>
      <c r="B188" s="8">
        <v>40552</v>
      </c>
      <c r="C188" s="9">
        <v>1</v>
      </c>
      <c r="D188" s="9" t="str">
        <f>IF(Table1[[#This Row],[Hour]]&lt;6,"Night",IF(Table1[[#This Row],[Hour]]&lt;12,"Morning",IF(Table1[[#This Row],[Hour]]&lt;18,"Afternoon","Evening")))</f>
        <v>Night</v>
      </c>
      <c r="E188" s="9" t="b">
        <v>0</v>
      </c>
      <c r="F188" s="9" t="s">
        <v>19</v>
      </c>
      <c r="G188" s="9" t="s">
        <v>8</v>
      </c>
      <c r="H188" s="10">
        <v>0.1</v>
      </c>
      <c r="I188" s="41"/>
    </row>
    <row r="189" spans="1:9" ht="12.5">
      <c r="A189" s="7">
        <v>188</v>
      </c>
      <c r="B189" s="8">
        <v>40552</v>
      </c>
      <c r="C189" s="9">
        <v>2</v>
      </c>
      <c r="D189" s="9" t="str">
        <f>IF(Table1[[#This Row],[Hour]]&lt;6,"Night",IF(Table1[[#This Row],[Hour]]&lt;12,"Morning",IF(Table1[[#This Row],[Hour]]&lt;18,"Afternoon","Evening")))</f>
        <v>Night</v>
      </c>
      <c r="E189" s="9" t="b">
        <v>0</v>
      </c>
      <c r="F189" s="9" t="s">
        <v>19</v>
      </c>
      <c r="G189" s="9" t="s">
        <v>8</v>
      </c>
      <c r="H189" s="10">
        <v>0.1</v>
      </c>
      <c r="I189" s="41"/>
    </row>
    <row r="190" spans="1:9" ht="12.5">
      <c r="A190" s="7">
        <v>189</v>
      </c>
      <c r="B190" s="8">
        <v>40552</v>
      </c>
      <c r="C190" s="9">
        <v>3</v>
      </c>
      <c r="D190" s="9" t="str">
        <f>IF(Table1[[#This Row],[Hour]]&lt;6,"Night",IF(Table1[[#This Row],[Hour]]&lt;12,"Morning",IF(Table1[[#This Row],[Hour]]&lt;18,"Afternoon","Evening")))</f>
        <v>Night</v>
      </c>
      <c r="E190" s="9" t="b">
        <v>0</v>
      </c>
      <c r="F190" s="9" t="s">
        <v>19</v>
      </c>
      <c r="G190" s="9" t="s">
        <v>8</v>
      </c>
      <c r="H190" s="10">
        <v>0.1</v>
      </c>
      <c r="I190" s="41"/>
    </row>
    <row r="191" spans="1:9" ht="12.5">
      <c r="A191" s="7">
        <v>190</v>
      </c>
      <c r="B191" s="8">
        <v>40552</v>
      </c>
      <c r="C191" s="9">
        <v>4</v>
      </c>
      <c r="D191" s="9" t="str">
        <f>IF(Table1[[#This Row],[Hour]]&lt;6,"Night",IF(Table1[[#This Row],[Hour]]&lt;12,"Morning",IF(Table1[[#This Row],[Hour]]&lt;18,"Afternoon","Evening")))</f>
        <v>Night</v>
      </c>
      <c r="E191" s="9" t="b">
        <v>0</v>
      </c>
      <c r="F191" s="9" t="s">
        <v>19</v>
      </c>
      <c r="G191" s="9" t="s">
        <v>8</v>
      </c>
      <c r="H191" s="10">
        <v>0.08</v>
      </c>
      <c r="I191" s="41"/>
    </row>
    <row r="192" spans="1:9" ht="12.5">
      <c r="A192" s="7">
        <v>191</v>
      </c>
      <c r="B192" s="8">
        <v>40552</v>
      </c>
      <c r="C192" s="9">
        <v>5</v>
      </c>
      <c r="D192" s="9" t="str">
        <f>IF(Table1[[#This Row],[Hour]]&lt;6,"Night",IF(Table1[[#This Row],[Hour]]&lt;12,"Morning",IF(Table1[[#This Row],[Hour]]&lt;18,"Afternoon","Evening")))</f>
        <v>Night</v>
      </c>
      <c r="E192" s="9" t="b">
        <v>0</v>
      </c>
      <c r="F192" s="9" t="s">
        <v>19</v>
      </c>
      <c r="G192" s="9" t="s">
        <v>8</v>
      </c>
      <c r="H192" s="10">
        <v>0.08</v>
      </c>
      <c r="I192" s="41"/>
    </row>
    <row r="193" spans="1:9" ht="12.5">
      <c r="A193" s="7">
        <v>192</v>
      </c>
      <c r="B193" s="8">
        <v>40552</v>
      </c>
      <c r="C193" s="9">
        <v>6</v>
      </c>
      <c r="D193" s="9" t="str">
        <f>IF(Table1[[#This Row],[Hour]]&lt;6,"Night",IF(Table1[[#This Row],[Hour]]&lt;12,"Morning",IF(Table1[[#This Row],[Hour]]&lt;18,"Afternoon","Evening")))</f>
        <v>Morning</v>
      </c>
      <c r="E193" s="9" t="b">
        <v>0</v>
      </c>
      <c r="F193" s="9" t="s">
        <v>19</v>
      </c>
      <c r="G193" s="9" t="s">
        <v>8</v>
      </c>
      <c r="H193" s="10">
        <v>0.1</v>
      </c>
      <c r="I193" s="41"/>
    </row>
    <row r="194" spans="1:9" ht="12.5">
      <c r="A194" s="7">
        <v>193</v>
      </c>
      <c r="B194" s="8">
        <v>40552</v>
      </c>
      <c r="C194" s="9">
        <v>7</v>
      </c>
      <c r="D194" s="9" t="str">
        <f>IF(Table1[[#This Row],[Hour]]&lt;6,"Night",IF(Table1[[#This Row],[Hour]]&lt;12,"Morning",IF(Table1[[#This Row],[Hour]]&lt;18,"Afternoon","Evening")))</f>
        <v>Morning</v>
      </c>
      <c r="E194" s="9" t="b">
        <v>0</v>
      </c>
      <c r="F194" s="9" t="s">
        <v>19</v>
      </c>
      <c r="G194" s="9" t="s">
        <v>8</v>
      </c>
      <c r="H194" s="10">
        <v>0.08</v>
      </c>
      <c r="I194" s="41"/>
    </row>
    <row r="195" spans="1:9" ht="12.5">
      <c r="A195" s="7">
        <v>194</v>
      </c>
      <c r="B195" s="8">
        <v>40552</v>
      </c>
      <c r="C195" s="9">
        <v>8</v>
      </c>
      <c r="D195" s="9" t="str">
        <f>IF(Table1[[#This Row],[Hour]]&lt;6,"Night",IF(Table1[[#This Row],[Hour]]&lt;12,"Morning",IF(Table1[[#This Row],[Hour]]&lt;18,"Afternoon","Evening")))</f>
        <v>Morning</v>
      </c>
      <c r="E195" s="9" t="b">
        <v>0</v>
      </c>
      <c r="F195" s="9" t="s">
        <v>19</v>
      </c>
      <c r="G195" s="9" t="s">
        <v>8</v>
      </c>
      <c r="H195" s="10">
        <v>0.1</v>
      </c>
      <c r="I195" s="41"/>
    </row>
    <row r="196" spans="1:9" ht="12.5">
      <c r="A196" s="7">
        <v>195</v>
      </c>
      <c r="B196" s="8">
        <v>40552</v>
      </c>
      <c r="C196" s="9">
        <v>9</v>
      </c>
      <c r="D196" s="9" t="str">
        <f>IF(Table1[[#This Row],[Hour]]&lt;6,"Night",IF(Table1[[#This Row],[Hour]]&lt;12,"Morning",IF(Table1[[#This Row],[Hour]]&lt;18,"Afternoon","Evening")))</f>
        <v>Morning</v>
      </c>
      <c r="E196" s="9" t="b">
        <v>0</v>
      </c>
      <c r="F196" s="9" t="s">
        <v>19</v>
      </c>
      <c r="G196" s="9" t="s">
        <v>8</v>
      </c>
      <c r="H196" s="10">
        <v>0.12</v>
      </c>
      <c r="I196" s="41"/>
    </row>
    <row r="197" spans="1:9" ht="12.5">
      <c r="A197" s="7">
        <v>196</v>
      </c>
      <c r="B197" s="8">
        <v>40552</v>
      </c>
      <c r="C197" s="9">
        <v>10</v>
      </c>
      <c r="D197" s="9" t="str">
        <f>IF(Table1[[#This Row],[Hour]]&lt;6,"Night",IF(Table1[[#This Row],[Hour]]&lt;12,"Morning",IF(Table1[[#This Row],[Hour]]&lt;18,"Afternoon","Evening")))</f>
        <v>Morning</v>
      </c>
      <c r="E197" s="9" t="b">
        <v>0</v>
      </c>
      <c r="F197" s="9" t="s">
        <v>19</v>
      </c>
      <c r="G197" s="9" t="s">
        <v>8</v>
      </c>
      <c r="H197" s="10">
        <v>0.14000000000000001</v>
      </c>
      <c r="I197" s="41"/>
    </row>
    <row r="198" spans="1:9" ht="12.5">
      <c r="A198" s="7">
        <v>197</v>
      </c>
      <c r="B198" s="8">
        <v>40552</v>
      </c>
      <c r="C198" s="9">
        <v>11</v>
      </c>
      <c r="D198" s="9" t="str">
        <f>IF(Table1[[#This Row],[Hour]]&lt;6,"Night",IF(Table1[[#This Row],[Hour]]&lt;12,"Morning",IF(Table1[[#This Row],[Hour]]&lt;18,"Afternoon","Evening")))</f>
        <v>Morning</v>
      </c>
      <c r="E198" s="9" t="b">
        <v>0</v>
      </c>
      <c r="F198" s="9" t="s">
        <v>19</v>
      </c>
      <c r="G198" s="9" t="s">
        <v>8</v>
      </c>
      <c r="H198" s="10">
        <v>0.16</v>
      </c>
      <c r="I198" s="41"/>
    </row>
    <row r="199" spans="1:9" ht="12.5">
      <c r="A199" s="7">
        <v>198</v>
      </c>
      <c r="B199" s="8">
        <v>40552</v>
      </c>
      <c r="C199" s="9">
        <v>12</v>
      </c>
      <c r="D199" s="9" t="str">
        <f>IF(Table1[[#This Row],[Hour]]&lt;6,"Night",IF(Table1[[#This Row],[Hour]]&lt;12,"Morning",IF(Table1[[#This Row],[Hour]]&lt;18,"Afternoon","Evening")))</f>
        <v>Afternoon</v>
      </c>
      <c r="E199" s="9" t="b">
        <v>0</v>
      </c>
      <c r="F199" s="9" t="s">
        <v>19</v>
      </c>
      <c r="G199" s="9" t="s">
        <v>8</v>
      </c>
      <c r="H199" s="10">
        <v>0.18</v>
      </c>
      <c r="I199" s="41"/>
    </row>
    <row r="200" spans="1:9" ht="12.5">
      <c r="A200" s="7">
        <v>199</v>
      </c>
      <c r="B200" s="8">
        <v>40552</v>
      </c>
      <c r="C200" s="9">
        <v>13</v>
      </c>
      <c r="D200" s="9" t="str">
        <f>IF(Table1[[#This Row],[Hour]]&lt;6,"Night",IF(Table1[[#This Row],[Hour]]&lt;12,"Morning",IF(Table1[[#This Row],[Hour]]&lt;18,"Afternoon","Evening")))</f>
        <v>Afternoon</v>
      </c>
      <c r="E200" s="9" t="b">
        <v>0</v>
      </c>
      <c r="F200" s="9" t="s">
        <v>19</v>
      </c>
      <c r="G200" s="9" t="s">
        <v>8</v>
      </c>
      <c r="H200" s="10">
        <v>0.2</v>
      </c>
      <c r="I200" s="41"/>
    </row>
    <row r="201" spans="1:9" ht="12.5">
      <c r="A201" s="7">
        <v>200</v>
      </c>
      <c r="B201" s="8">
        <v>40552</v>
      </c>
      <c r="C201" s="9">
        <v>14</v>
      </c>
      <c r="D201" s="9" t="str">
        <f>IF(Table1[[#This Row],[Hour]]&lt;6,"Night",IF(Table1[[#This Row],[Hour]]&lt;12,"Morning",IF(Table1[[#This Row],[Hour]]&lt;18,"Afternoon","Evening")))</f>
        <v>Afternoon</v>
      </c>
      <c r="E201" s="9" t="b">
        <v>0</v>
      </c>
      <c r="F201" s="9" t="s">
        <v>19</v>
      </c>
      <c r="G201" s="9" t="s">
        <v>8</v>
      </c>
      <c r="H201" s="10">
        <v>0.22</v>
      </c>
      <c r="I201" s="41"/>
    </row>
    <row r="202" spans="1:9" ht="12.5">
      <c r="A202" s="7">
        <v>201</v>
      </c>
      <c r="B202" s="8">
        <v>40552</v>
      </c>
      <c r="C202" s="9">
        <v>15</v>
      </c>
      <c r="D202" s="9" t="str">
        <f>IF(Table1[[#This Row],[Hour]]&lt;6,"Night",IF(Table1[[#This Row],[Hour]]&lt;12,"Morning",IF(Table1[[#This Row],[Hour]]&lt;18,"Afternoon","Evening")))</f>
        <v>Afternoon</v>
      </c>
      <c r="E202" s="9" t="b">
        <v>0</v>
      </c>
      <c r="F202" s="9" t="s">
        <v>19</v>
      </c>
      <c r="G202" s="9" t="s">
        <v>8</v>
      </c>
      <c r="H202" s="10">
        <v>0.22</v>
      </c>
      <c r="I202" s="41"/>
    </row>
    <row r="203" spans="1:9" ht="12.5">
      <c r="A203" s="7">
        <v>202</v>
      </c>
      <c r="B203" s="8">
        <v>40552</v>
      </c>
      <c r="C203" s="9">
        <v>16</v>
      </c>
      <c r="D203" s="9" t="str">
        <f>IF(Table1[[#This Row],[Hour]]&lt;6,"Night",IF(Table1[[#This Row],[Hour]]&lt;12,"Morning",IF(Table1[[#This Row],[Hour]]&lt;18,"Afternoon","Evening")))</f>
        <v>Afternoon</v>
      </c>
      <c r="E203" s="9" t="b">
        <v>0</v>
      </c>
      <c r="F203" s="9" t="s">
        <v>19</v>
      </c>
      <c r="G203" s="9" t="s">
        <v>8</v>
      </c>
      <c r="H203" s="10">
        <v>0.2</v>
      </c>
      <c r="I203" s="41"/>
    </row>
    <row r="204" spans="1:9" ht="12.5">
      <c r="A204" s="7">
        <v>203</v>
      </c>
      <c r="B204" s="8">
        <v>40552</v>
      </c>
      <c r="C204" s="9">
        <v>17</v>
      </c>
      <c r="D204" s="9" t="str">
        <f>IF(Table1[[#This Row],[Hour]]&lt;6,"Night",IF(Table1[[#This Row],[Hour]]&lt;12,"Morning",IF(Table1[[#This Row],[Hour]]&lt;18,"Afternoon","Evening")))</f>
        <v>Afternoon</v>
      </c>
      <c r="E204" s="9" t="b">
        <v>0</v>
      </c>
      <c r="F204" s="9" t="s">
        <v>19</v>
      </c>
      <c r="G204" s="9" t="s">
        <v>8</v>
      </c>
      <c r="H204" s="10">
        <v>0.18</v>
      </c>
      <c r="I204" s="41"/>
    </row>
    <row r="205" spans="1:9" ht="12.5">
      <c r="A205" s="7">
        <v>204</v>
      </c>
      <c r="B205" s="8">
        <v>40552</v>
      </c>
      <c r="C205" s="9">
        <v>18</v>
      </c>
      <c r="D205" s="9" t="str">
        <f>IF(Table1[[#This Row],[Hour]]&lt;6,"Night",IF(Table1[[#This Row],[Hour]]&lt;12,"Morning",IF(Table1[[#This Row],[Hour]]&lt;18,"Afternoon","Evening")))</f>
        <v>Evening</v>
      </c>
      <c r="E205" s="9" t="b">
        <v>0</v>
      </c>
      <c r="F205" s="9" t="s">
        <v>19</v>
      </c>
      <c r="G205" s="9" t="s">
        <v>8</v>
      </c>
      <c r="H205" s="10">
        <v>0.16</v>
      </c>
      <c r="I205" s="41"/>
    </row>
    <row r="206" spans="1:9" ht="12.5">
      <c r="A206" s="7">
        <v>205</v>
      </c>
      <c r="B206" s="8">
        <v>40552</v>
      </c>
      <c r="C206" s="9">
        <v>19</v>
      </c>
      <c r="D206" s="9" t="str">
        <f>IF(Table1[[#This Row],[Hour]]&lt;6,"Night",IF(Table1[[#This Row],[Hour]]&lt;12,"Morning",IF(Table1[[#This Row],[Hour]]&lt;18,"Afternoon","Evening")))</f>
        <v>Evening</v>
      </c>
      <c r="E206" s="9" t="b">
        <v>0</v>
      </c>
      <c r="F206" s="9" t="s">
        <v>19</v>
      </c>
      <c r="G206" s="9" t="s">
        <v>8</v>
      </c>
      <c r="H206" s="10">
        <v>0.16</v>
      </c>
      <c r="I206" s="41"/>
    </row>
    <row r="207" spans="1:9" ht="12.5">
      <c r="A207" s="7">
        <v>206</v>
      </c>
      <c r="B207" s="8">
        <v>40552</v>
      </c>
      <c r="C207" s="9">
        <v>20</v>
      </c>
      <c r="D207" s="9" t="str">
        <f>IF(Table1[[#This Row],[Hour]]&lt;6,"Night",IF(Table1[[#This Row],[Hour]]&lt;12,"Morning",IF(Table1[[#This Row],[Hour]]&lt;18,"Afternoon","Evening")))</f>
        <v>Evening</v>
      </c>
      <c r="E207" s="9" t="b">
        <v>0</v>
      </c>
      <c r="F207" s="9" t="s">
        <v>19</v>
      </c>
      <c r="G207" s="9" t="s">
        <v>8</v>
      </c>
      <c r="H207" s="10">
        <v>0.14000000000000001</v>
      </c>
      <c r="I207" s="41"/>
    </row>
    <row r="208" spans="1:9" ht="12.5">
      <c r="A208" s="7">
        <v>207</v>
      </c>
      <c r="B208" s="8">
        <v>40552</v>
      </c>
      <c r="C208" s="9">
        <v>21</v>
      </c>
      <c r="D208" s="9" t="str">
        <f>IF(Table1[[#This Row],[Hour]]&lt;6,"Night",IF(Table1[[#This Row],[Hour]]&lt;12,"Morning",IF(Table1[[#This Row],[Hour]]&lt;18,"Afternoon","Evening")))</f>
        <v>Evening</v>
      </c>
      <c r="E208" s="9" t="b">
        <v>0</v>
      </c>
      <c r="F208" s="9" t="s">
        <v>19</v>
      </c>
      <c r="G208" s="9" t="s">
        <v>8</v>
      </c>
      <c r="H208" s="10">
        <v>0.14000000000000001</v>
      </c>
      <c r="I208" s="41"/>
    </row>
    <row r="209" spans="1:9" ht="12.5">
      <c r="A209" s="7">
        <v>208</v>
      </c>
      <c r="B209" s="8">
        <v>40552</v>
      </c>
      <c r="C209" s="9">
        <v>22</v>
      </c>
      <c r="D209" s="9" t="str">
        <f>IF(Table1[[#This Row],[Hour]]&lt;6,"Night",IF(Table1[[#This Row],[Hour]]&lt;12,"Morning",IF(Table1[[#This Row],[Hour]]&lt;18,"Afternoon","Evening")))</f>
        <v>Evening</v>
      </c>
      <c r="E209" s="9" t="b">
        <v>0</v>
      </c>
      <c r="F209" s="9" t="s">
        <v>19</v>
      </c>
      <c r="G209" s="9" t="s">
        <v>8</v>
      </c>
      <c r="H209" s="10">
        <v>0.14000000000000001</v>
      </c>
      <c r="I209" s="41"/>
    </row>
    <row r="210" spans="1:9" ht="12.5">
      <c r="A210" s="7">
        <v>209</v>
      </c>
      <c r="B210" s="8">
        <v>40552</v>
      </c>
      <c r="C210" s="9">
        <v>23</v>
      </c>
      <c r="D210" s="9" t="str">
        <f>IF(Table1[[#This Row],[Hour]]&lt;6,"Night",IF(Table1[[#This Row],[Hour]]&lt;12,"Morning",IF(Table1[[#This Row],[Hour]]&lt;18,"Afternoon","Evening")))</f>
        <v>Evening</v>
      </c>
      <c r="E210" s="9" t="b">
        <v>0</v>
      </c>
      <c r="F210" s="9" t="s">
        <v>19</v>
      </c>
      <c r="G210" s="9" t="s">
        <v>8</v>
      </c>
      <c r="H210" s="10">
        <v>0.12</v>
      </c>
      <c r="I210" s="41"/>
    </row>
    <row r="211" spans="1:9" ht="12.5">
      <c r="A211" s="7">
        <v>210</v>
      </c>
      <c r="B211" s="8">
        <v>40553</v>
      </c>
      <c r="C211" s="9">
        <v>0</v>
      </c>
      <c r="D211" s="9" t="str">
        <f>IF(Table1[[#This Row],[Hour]]&lt;6,"Night",IF(Table1[[#This Row],[Hour]]&lt;12,"Morning",IF(Table1[[#This Row],[Hour]]&lt;18,"Afternoon","Evening")))</f>
        <v>Night</v>
      </c>
      <c r="E211" s="9" t="b">
        <v>0</v>
      </c>
      <c r="F211" s="9" t="s">
        <v>20</v>
      </c>
      <c r="G211" s="9" t="s">
        <v>8</v>
      </c>
      <c r="H211" s="10">
        <v>0.12</v>
      </c>
      <c r="I211" s="41"/>
    </row>
    <row r="212" spans="1:9" ht="12.5">
      <c r="A212" s="7">
        <v>211</v>
      </c>
      <c r="B212" s="8">
        <v>40553</v>
      </c>
      <c r="C212" s="9">
        <v>1</v>
      </c>
      <c r="D212" s="9" t="str">
        <f>IF(Table1[[#This Row],[Hour]]&lt;6,"Night",IF(Table1[[#This Row],[Hour]]&lt;12,"Morning",IF(Table1[[#This Row],[Hour]]&lt;18,"Afternoon","Evening")))</f>
        <v>Night</v>
      </c>
      <c r="E212" s="9" t="b">
        <v>0</v>
      </c>
      <c r="F212" s="9" t="s">
        <v>20</v>
      </c>
      <c r="G212" s="9" t="s">
        <v>8</v>
      </c>
      <c r="H212" s="10">
        <v>0.12</v>
      </c>
      <c r="I212" s="41"/>
    </row>
    <row r="213" spans="1:9" ht="12.5">
      <c r="A213" s="7">
        <v>212</v>
      </c>
      <c r="B213" s="8">
        <v>40553</v>
      </c>
      <c r="C213" s="9">
        <v>2</v>
      </c>
      <c r="D213" s="9" t="str">
        <f>IF(Table1[[#This Row],[Hour]]&lt;6,"Night",IF(Table1[[#This Row],[Hour]]&lt;12,"Morning",IF(Table1[[#This Row],[Hour]]&lt;18,"Afternoon","Evening")))</f>
        <v>Night</v>
      </c>
      <c r="E213" s="9" t="b">
        <v>0</v>
      </c>
      <c r="F213" s="9" t="s">
        <v>20</v>
      </c>
      <c r="G213" s="9" t="s">
        <v>8</v>
      </c>
      <c r="H213" s="10">
        <v>0.12</v>
      </c>
      <c r="I213" s="41"/>
    </row>
    <row r="214" spans="1:9" ht="12.5">
      <c r="A214" s="7">
        <v>213</v>
      </c>
      <c r="B214" s="8">
        <v>40553</v>
      </c>
      <c r="C214" s="9">
        <v>3</v>
      </c>
      <c r="D214" s="9" t="str">
        <f>IF(Table1[[#This Row],[Hour]]&lt;6,"Night",IF(Table1[[#This Row],[Hour]]&lt;12,"Morning",IF(Table1[[#This Row],[Hour]]&lt;18,"Afternoon","Evening")))</f>
        <v>Night</v>
      </c>
      <c r="E214" s="9" t="b">
        <v>0</v>
      </c>
      <c r="F214" s="9" t="s">
        <v>20</v>
      </c>
      <c r="G214" s="9" t="s">
        <v>8</v>
      </c>
      <c r="H214" s="10">
        <v>0.12</v>
      </c>
      <c r="I214" s="41"/>
    </row>
    <row r="215" spans="1:9" ht="12.5">
      <c r="A215" s="7">
        <v>214</v>
      </c>
      <c r="B215" s="8">
        <v>40553</v>
      </c>
      <c r="C215" s="9">
        <v>4</v>
      </c>
      <c r="D215" s="9" t="str">
        <f>IF(Table1[[#This Row],[Hour]]&lt;6,"Night",IF(Table1[[#This Row],[Hour]]&lt;12,"Morning",IF(Table1[[#This Row],[Hour]]&lt;18,"Afternoon","Evening")))</f>
        <v>Night</v>
      </c>
      <c r="E215" s="9" t="b">
        <v>0</v>
      </c>
      <c r="F215" s="9" t="s">
        <v>20</v>
      </c>
      <c r="G215" s="9" t="s">
        <v>8</v>
      </c>
      <c r="H215" s="10">
        <v>0.1</v>
      </c>
      <c r="I215" s="41"/>
    </row>
    <row r="216" spans="1:9" ht="12.5">
      <c r="A216" s="7">
        <v>215</v>
      </c>
      <c r="B216" s="8">
        <v>40553</v>
      </c>
      <c r="C216" s="9">
        <v>5</v>
      </c>
      <c r="D216" s="9" t="str">
        <f>IF(Table1[[#This Row],[Hour]]&lt;6,"Night",IF(Table1[[#This Row],[Hour]]&lt;12,"Morning",IF(Table1[[#This Row],[Hour]]&lt;18,"Afternoon","Evening")))</f>
        <v>Night</v>
      </c>
      <c r="E216" s="9" t="b">
        <v>0</v>
      </c>
      <c r="F216" s="9" t="s">
        <v>20</v>
      </c>
      <c r="G216" s="9" t="s">
        <v>8</v>
      </c>
      <c r="H216" s="10">
        <v>0.1</v>
      </c>
      <c r="I216" s="41"/>
    </row>
    <row r="217" spans="1:9" ht="12.5">
      <c r="A217" s="7">
        <v>216</v>
      </c>
      <c r="B217" s="8">
        <v>40553</v>
      </c>
      <c r="C217" s="9">
        <v>6</v>
      </c>
      <c r="D217" s="9" t="str">
        <f>IF(Table1[[#This Row],[Hour]]&lt;6,"Night",IF(Table1[[#This Row],[Hour]]&lt;12,"Morning",IF(Table1[[#This Row],[Hour]]&lt;18,"Afternoon","Evening")))</f>
        <v>Morning</v>
      </c>
      <c r="E217" s="9" t="b">
        <v>0</v>
      </c>
      <c r="F217" s="9" t="s">
        <v>20</v>
      </c>
      <c r="G217" s="9" t="s">
        <v>8</v>
      </c>
      <c r="H217" s="10">
        <v>0.12</v>
      </c>
      <c r="I217" s="41"/>
    </row>
    <row r="218" spans="1:9" ht="12.5">
      <c r="A218" s="7">
        <v>217</v>
      </c>
      <c r="B218" s="8">
        <v>40553</v>
      </c>
      <c r="C218" s="9">
        <v>7</v>
      </c>
      <c r="D218" s="9" t="str">
        <f>IF(Table1[[#This Row],[Hour]]&lt;6,"Night",IF(Table1[[#This Row],[Hour]]&lt;12,"Morning",IF(Table1[[#This Row],[Hour]]&lt;18,"Afternoon","Evening")))</f>
        <v>Morning</v>
      </c>
      <c r="E218" s="9" t="b">
        <v>0</v>
      </c>
      <c r="F218" s="9" t="s">
        <v>20</v>
      </c>
      <c r="G218" s="9" t="s">
        <v>8</v>
      </c>
      <c r="H218" s="10">
        <v>0.12</v>
      </c>
      <c r="I218" s="41"/>
    </row>
    <row r="219" spans="1:9" ht="12.5">
      <c r="A219" s="7">
        <v>218</v>
      </c>
      <c r="B219" s="8">
        <v>40553</v>
      </c>
      <c r="C219" s="9">
        <v>8</v>
      </c>
      <c r="D219" s="9" t="str">
        <f>IF(Table1[[#This Row],[Hour]]&lt;6,"Night",IF(Table1[[#This Row],[Hour]]&lt;12,"Morning",IF(Table1[[#This Row],[Hour]]&lt;18,"Afternoon","Evening")))</f>
        <v>Morning</v>
      </c>
      <c r="E219" s="9" t="b">
        <v>0</v>
      </c>
      <c r="F219" s="9" t="s">
        <v>20</v>
      </c>
      <c r="G219" s="9" t="s">
        <v>9</v>
      </c>
      <c r="H219" s="10">
        <v>0.12</v>
      </c>
      <c r="I219" s="41"/>
    </row>
    <row r="220" spans="1:9" ht="12.5">
      <c r="A220" s="7">
        <v>219</v>
      </c>
      <c r="B220" s="8">
        <v>40553</v>
      </c>
      <c r="C220" s="9">
        <v>9</v>
      </c>
      <c r="D220" s="9" t="str">
        <f>IF(Table1[[#This Row],[Hour]]&lt;6,"Night",IF(Table1[[#This Row],[Hour]]&lt;12,"Morning",IF(Table1[[#This Row],[Hour]]&lt;18,"Afternoon","Evening")))</f>
        <v>Morning</v>
      </c>
      <c r="E220" s="9" t="b">
        <v>0</v>
      </c>
      <c r="F220" s="9" t="s">
        <v>20</v>
      </c>
      <c r="G220" s="9" t="s">
        <v>9</v>
      </c>
      <c r="H220" s="10">
        <v>0.14000000000000001</v>
      </c>
      <c r="I220" s="41"/>
    </row>
    <row r="221" spans="1:9" ht="12.5">
      <c r="A221" s="7">
        <v>220</v>
      </c>
      <c r="B221" s="8">
        <v>40553</v>
      </c>
      <c r="C221" s="9">
        <v>10</v>
      </c>
      <c r="D221" s="9" t="str">
        <f>IF(Table1[[#This Row],[Hour]]&lt;6,"Night",IF(Table1[[#This Row],[Hour]]&lt;12,"Morning",IF(Table1[[#This Row],[Hour]]&lt;18,"Afternoon","Evening")))</f>
        <v>Morning</v>
      </c>
      <c r="E221" s="9" t="b">
        <v>0</v>
      </c>
      <c r="F221" s="9" t="s">
        <v>20</v>
      </c>
      <c r="G221" s="9" t="s">
        <v>9</v>
      </c>
      <c r="H221" s="10">
        <v>0.14000000000000001</v>
      </c>
      <c r="I221" s="41"/>
    </row>
    <row r="222" spans="1:9" ht="12.5">
      <c r="A222" s="7">
        <v>221</v>
      </c>
      <c r="B222" s="8">
        <v>40553</v>
      </c>
      <c r="C222" s="9">
        <v>11</v>
      </c>
      <c r="D222" s="9" t="str">
        <f>IF(Table1[[#This Row],[Hour]]&lt;6,"Night",IF(Table1[[#This Row],[Hour]]&lt;12,"Morning",IF(Table1[[#This Row],[Hour]]&lt;18,"Afternoon","Evening")))</f>
        <v>Morning</v>
      </c>
      <c r="E222" s="9" t="b">
        <v>0</v>
      </c>
      <c r="F222" s="9" t="s">
        <v>20</v>
      </c>
      <c r="G222" s="9" t="s">
        <v>9</v>
      </c>
      <c r="H222" s="10">
        <v>0.16</v>
      </c>
      <c r="I222" s="41"/>
    </row>
    <row r="223" spans="1:9" ht="12.5">
      <c r="A223" s="7">
        <v>222</v>
      </c>
      <c r="B223" s="8">
        <v>40553</v>
      </c>
      <c r="C223" s="9">
        <v>12</v>
      </c>
      <c r="D223" s="9" t="str">
        <f>IF(Table1[[#This Row],[Hour]]&lt;6,"Night",IF(Table1[[#This Row],[Hour]]&lt;12,"Morning",IF(Table1[[#This Row],[Hour]]&lt;18,"Afternoon","Evening")))</f>
        <v>Afternoon</v>
      </c>
      <c r="E223" s="9" t="b">
        <v>0</v>
      </c>
      <c r="F223" s="9" t="s">
        <v>20</v>
      </c>
      <c r="G223" s="9" t="s">
        <v>9</v>
      </c>
      <c r="H223" s="10">
        <v>0.2</v>
      </c>
      <c r="I223" s="41"/>
    </row>
    <row r="224" spans="1:9" ht="12.5">
      <c r="A224" s="7">
        <v>223</v>
      </c>
      <c r="B224" s="8">
        <v>40553</v>
      </c>
      <c r="C224" s="9">
        <v>13</v>
      </c>
      <c r="D224" s="9" t="str">
        <f>IF(Table1[[#This Row],[Hour]]&lt;6,"Night",IF(Table1[[#This Row],[Hour]]&lt;12,"Morning",IF(Table1[[#This Row],[Hour]]&lt;18,"Afternoon","Evening")))</f>
        <v>Afternoon</v>
      </c>
      <c r="E224" s="9" t="b">
        <v>0</v>
      </c>
      <c r="F224" s="9" t="s">
        <v>20</v>
      </c>
      <c r="G224" s="9" t="s">
        <v>9</v>
      </c>
      <c r="H224" s="10">
        <v>0.2</v>
      </c>
      <c r="I224" s="41"/>
    </row>
    <row r="225" spans="1:9" ht="12.5">
      <c r="A225" s="7">
        <v>224</v>
      </c>
      <c r="B225" s="8">
        <v>40553</v>
      </c>
      <c r="C225" s="9">
        <v>14</v>
      </c>
      <c r="D225" s="9" t="str">
        <f>IF(Table1[[#This Row],[Hour]]&lt;6,"Night",IF(Table1[[#This Row],[Hour]]&lt;12,"Morning",IF(Table1[[#This Row],[Hour]]&lt;18,"Afternoon","Evening")))</f>
        <v>Afternoon</v>
      </c>
      <c r="E225" s="9" t="b">
        <v>0</v>
      </c>
      <c r="F225" s="9" t="s">
        <v>20</v>
      </c>
      <c r="G225" s="9" t="s">
        <v>9</v>
      </c>
      <c r="H225" s="10">
        <v>0.2</v>
      </c>
      <c r="I225" s="41"/>
    </row>
    <row r="226" spans="1:9" ht="12.5">
      <c r="A226" s="7">
        <v>225</v>
      </c>
      <c r="B226" s="8">
        <v>40553</v>
      </c>
      <c r="C226" s="9">
        <v>15</v>
      </c>
      <c r="D226" s="9" t="str">
        <f>IF(Table1[[#This Row],[Hour]]&lt;6,"Night",IF(Table1[[#This Row],[Hour]]&lt;12,"Morning",IF(Table1[[#This Row],[Hour]]&lt;18,"Afternoon","Evening")))</f>
        <v>Afternoon</v>
      </c>
      <c r="E226" s="9" t="b">
        <v>0</v>
      </c>
      <c r="F226" s="9" t="s">
        <v>20</v>
      </c>
      <c r="G226" s="9" t="s">
        <v>9</v>
      </c>
      <c r="H226" s="10">
        <v>0.2</v>
      </c>
      <c r="I226" s="41"/>
    </row>
    <row r="227" spans="1:9" ht="12.5">
      <c r="A227" s="7">
        <v>226</v>
      </c>
      <c r="B227" s="8">
        <v>40553</v>
      </c>
      <c r="C227" s="9">
        <v>16</v>
      </c>
      <c r="D227" s="9" t="str">
        <f>IF(Table1[[#This Row],[Hour]]&lt;6,"Night",IF(Table1[[#This Row],[Hour]]&lt;12,"Morning",IF(Table1[[#This Row],[Hour]]&lt;18,"Afternoon","Evening")))</f>
        <v>Afternoon</v>
      </c>
      <c r="E227" s="9" t="b">
        <v>0</v>
      </c>
      <c r="F227" s="9" t="s">
        <v>20</v>
      </c>
      <c r="G227" s="9" t="s">
        <v>8</v>
      </c>
      <c r="H227" s="10">
        <v>0.2</v>
      </c>
      <c r="I227" s="41"/>
    </row>
    <row r="228" spans="1:9" ht="12.5">
      <c r="A228" s="7">
        <v>227</v>
      </c>
      <c r="B228" s="8">
        <v>40553</v>
      </c>
      <c r="C228" s="9">
        <v>17</v>
      </c>
      <c r="D228" s="9" t="str">
        <f>IF(Table1[[#This Row],[Hour]]&lt;6,"Night",IF(Table1[[#This Row],[Hour]]&lt;12,"Morning",IF(Table1[[#This Row],[Hour]]&lt;18,"Afternoon","Evening")))</f>
        <v>Afternoon</v>
      </c>
      <c r="E228" s="9" t="b">
        <v>0</v>
      </c>
      <c r="F228" s="9" t="s">
        <v>20</v>
      </c>
      <c r="G228" s="9" t="s">
        <v>8</v>
      </c>
      <c r="H228" s="10">
        <v>0.2</v>
      </c>
      <c r="I228" s="41"/>
    </row>
    <row r="229" spans="1:9" ht="12.5">
      <c r="A229" s="7">
        <v>228</v>
      </c>
      <c r="B229" s="8">
        <v>40553</v>
      </c>
      <c r="C229" s="9">
        <v>18</v>
      </c>
      <c r="D229" s="9" t="str">
        <f>IF(Table1[[#This Row],[Hour]]&lt;6,"Night",IF(Table1[[#This Row],[Hour]]&lt;12,"Morning",IF(Table1[[#This Row],[Hour]]&lt;18,"Afternoon","Evening")))</f>
        <v>Evening</v>
      </c>
      <c r="E229" s="9" t="b">
        <v>0</v>
      </c>
      <c r="F229" s="9" t="s">
        <v>20</v>
      </c>
      <c r="G229" s="9" t="s">
        <v>8</v>
      </c>
      <c r="H229" s="10">
        <v>0.2</v>
      </c>
      <c r="I229" s="41"/>
    </row>
    <row r="230" spans="1:9" ht="12.5">
      <c r="A230" s="7">
        <v>229</v>
      </c>
      <c r="B230" s="8">
        <v>40553</v>
      </c>
      <c r="C230" s="9">
        <v>19</v>
      </c>
      <c r="D230" s="9" t="str">
        <f>IF(Table1[[#This Row],[Hour]]&lt;6,"Night",IF(Table1[[#This Row],[Hour]]&lt;12,"Morning",IF(Table1[[#This Row],[Hour]]&lt;18,"Afternoon","Evening")))</f>
        <v>Evening</v>
      </c>
      <c r="E230" s="9" t="b">
        <v>0</v>
      </c>
      <c r="F230" s="9" t="s">
        <v>20</v>
      </c>
      <c r="G230" s="9" t="s">
        <v>8</v>
      </c>
      <c r="H230" s="10">
        <v>0.16</v>
      </c>
      <c r="I230" s="41"/>
    </row>
    <row r="231" spans="1:9" ht="12.5">
      <c r="A231" s="7">
        <v>230</v>
      </c>
      <c r="B231" s="8">
        <v>40553</v>
      </c>
      <c r="C231" s="9">
        <v>20</v>
      </c>
      <c r="D231" s="9" t="str">
        <f>IF(Table1[[#This Row],[Hour]]&lt;6,"Night",IF(Table1[[#This Row],[Hour]]&lt;12,"Morning",IF(Table1[[#This Row],[Hour]]&lt;18,"Afternoon","Evening")))</f>
        <v>Evening</v>
      </c>
      <c r="E231" s="9" t="b">
        <v>0</v>
      </c>
      <c r="F231" s="9" t="s">
        <v>20</v>
      </c>
      <c r="G231" s="9" t="s">
        <v>8</v>
      </c>
      <c r="H231" s="10">
        <v>0.16</v>
      </c>
      <c r="I231" s="41"/>
    </row>
    <row r="232" spans="1:9" ht="12.5">
      <c r="A232" s="7">
        <v>231</v>
      </c>
      <c r="B232" s="8">
        <v>40553</v>
      </c>
      <c r="C232" s="9">
        <v>21</v>
      </c>
      <c r="D232" s="9" t="str">
        <f>IF(Table1[[#This Row],[Hour]]&lt;6,"Night",IF(Table1[[#This Row],[Hour]]&lt;12,"Morning",IF(Table1[[#This Row],[Hour]]&lt;18,"Afternoon","Evening")))</f>
        <v>Evening</v>
      </c>
      <c r="E232" s="9" t="b">
        <v>0</v>
      </c>
      <c r="F232" s="9" t="s">
        <v>20</v>
      </c>
      <c r="G232" s="9" t="s">
        <v>8</v>
      </c>
      <c r="H232" s="10">
        <v>0.14000000000000001</v>
      </c>
      <c r="I232" s="41"/>
    </row>
    <row r="233" spans="1:9" ht="12.5">
      <c r="A233" s="7">
        <v>232</v>
      </c>
      <c r="B233" s="8">
        <v>40553</v>
      </c>
      <c r="C233" s="9">
        <v>22</v>
      </c>
      <c r="D233" s="9" t="str">
        <f>IF(Table1[[#This Row],[Hour]]&lt;6,"Night",IF(Table1[[#This Row],[Hour]]&lt;12,"Morning",IF(Table1[[#This Row],[Hour]]&lt;18,"Afternoon","Evening")))</f>
        <v>Evening</v>
      </c>
      <c r="E233" s="9" t="b">
        <v>0</v>
      </c>
      <c r="F233" s="9" t="s">
        <v>20</v>
      </c>
      <c r="G233" s="9" t="s">
        <v>8</v>
      </c>
      <c r="H233" s="10">
        <v>0.14000000000000001</v>
      </c>
      <c r="I233" s="41"/>
    </row>
    <row r="234" spans="1:9" ht="12.5">
      <c r="A234" s="7">
        <v>233</v>
      </c>
      <c r="B234" s="8">
        <v>40553</v>
      </c>
      <c r="C234" s="9">
        <v>23</v>
      </c>
      <c r="D234" s="9" t="str">
        <f>IF(Table1[[#This Row],[Hour]]&lt;6,"Night",IF(Table1[[#This Row],[Hour]]&lt;12,"Morning",IF(Table1[[#This Row],[Hour]]&lt;18,"Afternoon","Evening")))</f>
        <v>Evening</v>
      </c>
      <c r="E234" s="9" t="b">
        <v>0</v>
      </c>
      <c r="F234" s="9" t="s">
        <v>20</v>
      </c>
      <c r="G234" s="9" t="s">
        <v>8</v>
      </c>
      <c r="H234" s="10">
        <v>0.14000000000000001</v>
      </c>
      <c r="I234" s="41"/>
    </row>
    <row r="235" spans="1:9" ht="12.5">
      <c r="A235" s="7">
        <v>234</v>
      </c>
      <c r="B235" s="8">
        <v>40554</v>
      </c>
      <c r="C235" s="9">
        <v>0</v>
      </c>
      <c r="D235" s="9" t="str">
        <f>IF(Table1[[#This Row],[Hour]]&lt;6,"Night",IF(Table1[[#This Row],[Hour]]&lt;12,"Morning",IF(Table1[[#This Row],[Hour]]&lt;18,"Afternoon","Evening")))</f>
        <v>Night</v>
      </c>
      <c r="E235" s="9" t="b">
        <v>0</v>
      </c>
      <c r="F235" s="9" t="s">
        <v>21</v>
      </c>
      <c r="G235" s="9" t="s">
        <v>8</v>
      </c>
      <c r="H235" s="10">
        <v>0.14000000000000001</v>
      </c>
      <c r="I235" s="41"/>
    </row>
    <row r="236" spans="1:9" ht="12.5">
      <c r="A236" s="7">
        <v>235</v>
      </c>
      <c r="B236" s="8">
        <v>40554</v>
      </c>
      <c r="C236" s="9">
        <v>1</v>
      </c>
      <c r="D236" s="9" t="str">
        <f>IF(Table1[[#This Row],[Hour]]&lt;6,"Night",IF(Table1[[#This Row],[Hour]]&lt;12,"Morning",IF(Table1[[#This Row],[Hour]]&lt;18,"Afternoon","Evening")))</f>
        <v>Night</v>
      </c>
      <c r="E236" s="9" t="b">
        <v>0</v>
      </c>
      <c r="F236" s="9" t="s">
        <v>21</v>
      </c>
      <c r="G236" s="9" t="s">
        <v>8</v>
      </c>
      <c r="H236" s="10">
        <v>0.14000000000000001</v>
      </c>
      <c r="I236" s="41"/>
    </row>
    <row r="237" spans="1:9" ht="12.5">
      <c r="A237" s="7">
        <v>236</v>
      </c>
      <c r="B237" s="8">
        <v>40554</v>
      </c>
      <c r="C237" s="9">
        <v>2</v>
      </c>
      <c r="D237" s="9" t="str">
        <f>IF(Table1[[#This Row],[Hour]]&lt;6,"Night",IF(Table1[[#This Row],[Hour]]&lt;12,"Morning",IF(Table1[[#This Row],[Hour]]&lt;18,"Afternoon","Evening")))</f>
        <v>Night</v>
      </c>
      <c r="E237" s="9" t="b">
        <v>0</v>
      </c>
      <c r="F237" s="9" t="s">
        <v>21</v>
      </c>
      <c r="G237" s="9" t="s">
        <v>9</v>
      </c>
      <c r="H237" s="10">
        <v>0.16</v>
      </c>
      <c r="I237" s="41"/>
    </row>
    <row r="238" spans="1:9" ht="12.5">
      <c r="A238" s="7">
        <v>237</v>
      </c>
      <c r="B238" s="8">
        <v>40554</v>
      </c>
      <c r="C238" s="9">
        <v>5</v>
      </c>
      <c r="D238" s="9" t="str">
        <f>IF(Table1[[#This Row],[Hour]]&lt;6,"Night",IF(Table1[[#This Row],[Hour]]&lt;12,"Morning",IF(Table1[[#This Row],[Hour]]&lt;18,"Afternoon","Evening")))</f>
        <v>Night</v>
      </c>
      <c r="E238" s="9" t="b">
        <v>0</v>
      </c>
      <c r="F238" s="9" t="s">
        <v>21</v>
      </c>
      <c r="G238" s="9" t="s">
        <v>9</v>
      </c>
      <c r="H238" s="10">
        <v>0.16</v>
      </c>
      <c r="I238" s="41"/>
    </row>
    <row r="239" spans="1:9" ht="12.5">
      <c r="A239" s="7">
        <v>238</v>
      </c>
      <c r="B239" s="8">
        <v>40554</v>
      </c>
      <c r="C239" s="9">
        <v>6</v>
      </c>
      <c r="D239" s="9" t="str">
        <f>IF(Table1[[#This Row],[Hour]]&lt;6,"Night",IF(Table1[[#This Row],[Hour]]&lt;12,"Morning",IF(Table1[[#This Row],[Hour]]&lt;18,"Afternoon","Evening")))</f>
        <v>Morning</v>
      </c>
      <c r="E239" s="9" t="b">
        <v>0</v>
      </c>
      <c r="F239" s="9" t="s">
        <v>21</v>
      </c>
      <c r="G239" s="9" t="s">
        <v>9</v>
      </c>
      <c r="H239" s="10">
        <v>0.16</v>
      </c>
      <c r="I239" s="41"/>
    </row>
    <row r="240" spans="1:9" ht="12.5">
      <c r="A240" s="7">
        <v>239</v>
      </c>
      <c r="B240" s="8">
        <v>40554</v>
      </c>
      <c r="C240" s="9">
        <v>7</v>
      </c>
      <c r="D240" s="9" t="str">
        <f>IF(Table1[[#This Row],[Hour]]&lt;6,"Night",IF(Table1[[#This Row],[Hour]]&lt;12,"Morning",IF(Table1[[#This Row],[Hour]]&lt;18,"Afternoon","Evening")))</f>
        <v>Morning</v>
      </c>
      <c r="E240" s="9" t="b">
        <v>0</v>
      </c>
      <c r="F240" s="9" t="s">
        <v>21</v>
      </c>
      <c r="G240" s="9" t="s">
        <v>9</v>
      </c>
      <c r="H240" s="10">
        <v>0.16</v>
      </c>
      <c r="I240" s="41"/>
    </row>
    <row r="241" spans="1:9" ht="12.5">
      <c r="A241" s="7">
        <v>240</v>
      </c>
      <c r="B241" s="8">
        <v>40554</v>
      </c>
      <c r="C241" s="9">
        <v>8</v>
      </c>
      <c r="D241" s="9" t="str">
        <f>IF(Table1[[#This Row],[Hour]]&lt;6,"Night",IF(Table1[[#This Row],[Hour]]&lt;12,"Morning",IF(Table1[[#This Row],[Hour]]&lt;18,"Afternoon","Evening")))</f>
        <v>Morning</v>
      </c>
      <c r="E241" s="9" t="b">
        <v>0</v>
      </c>
      <c r="F241" s="9" t="s">
        <v>21</v>
      </c>
      <c r="G241" s="9" t="s">
        <v>9</v>
      </c>
      <c r="H241" s="10">
        <v>0.18</v>
      </c>
      <c r="I241" s="41"/>
    </row>
    <row r="242" spans="1:9" ht="12.5">
      <c r="A242" s="7">
        <v>241</v>
      </c>
      <c r="B242" s="8">
        <v>40554</v>
      </c>
      <c r="C242" s="9">
        <v>9</v>
      </c>
      <c r="D242" s="9" t="str">
        <f>IF(Table1[[#This Row],[Hour]]&lt;6,"Night",IF(Table1[[#This Row],[Hour]]&lt;12,"Morning",IF(Table1[[#This Row],[Hour]]&lt;18,"Afternoon","Evening")))</f>
        <v>Morning</v>
      </c>
      <c r="E242" s="9" t="b">
        <v>0</v>
      </c>
      <c r="F242" s="9" t="s">
        <v>21</v>
      </c>
      <c r="G242" s="9" t="s">
        <v>9</v>
      </c>
      <c r="H242" s="10">
        <v>0.18</v>
      </c>
      <c r="I242" s="41"/>
    </row>
    <row r="243" spans="1:9" ht="12.5">
      <c r="A243" s="7">
        <v>242</v>
      </c>
      <c r="B243" s="8">
        <v>40554</v>
      </c>
      <c r="C243" s="9">
        <v>10</v>
      </c>
      <c r="D243" s="9" t="str">
        <f>IF(Table1[[#This Row],[Hour]]&lt;6,"Night",IF(Table1[[#This Row],[Hour]]&lt;12,"Morning",IF(Table1[[#This Row],[Hour]]&lt;18,"Afternoon","Evening")))</f>
        <v>Morning</v>
      </c>
      <c r="E243" s="9" t="b">
        <v>0</v>
      </c>
      <c r="F243" s="9" t="s">
        <v>21</v>
      </c>
      <c r="G243" s="9" t="s">
        <v>9</v>
      </c>
      <c r="H243" s="10">
        <v>0.2</v>
      </c>
      <c r="I243" s="41"/>
    </row>
    <row r="244" spans="1:9" ht="12.5">
      <c r="A244" s="7">
        <v>243</v>
      </c>
      <c r="B244" s="8">
        <v>40554</v>
      </c>
      <c r="C244" s="9">
        <v>11</v>
      </c>
      <c r="D244" s="9" t="str">
        <f>IF(Table1[[#This Row],[Hour]]&lt;6,"Night",IF(Table1[[#This Row],[Hour]]&lt;12,"Morning",IF(Table1[[#This Row],[Hour]]&lt;18,"Afternoon","Evening")))</f>
        <v>Morning</v>
      </c>
      <c r="E244" s="9" t="b">
        <v>0</v>
      </c>
      <c r="F244" s="9" t="s">
        <v>21</v>
      </c>
      <c r="G244" s="9" t="s">
        <v>9</v>
      </c>
      <c r="H244" s="10">
        <v>0.2</v>
      </c>
      <c r="I244" s="41"/>
    </row>
    <row r="245" spans="1:9" ht="12.5">
      <c r="A245" s="7">
        <v>244</v>
      </c>
      <c r="B245" s="8">
        <v>40554</v>
      </c>
      <c r="C245" s="9">
        <v>12</v>
      </c>
      <c r="D245" s="9" t="str">
        <f>IF(Table1[[#This Row],[Hour]]&lt;6,"Night",IF(Table1[[#This Row],[Hour]]&lt;12,"Morning",IF(Table1[[#This Row],[Hour]]&lt;18,"Afternoon","Evening")))</f>
        <v>Afternoon</v>
      </c>
      <c r="E245" s="9" t="b">
        <v>0</v>
      </c>
      <c r="F245" s="9" t="s">
        <v>21</v>
      </c>
      <c r="G245" s="9" t="s">
        <v>9</v>
      </c>
      <c r="H245" s="10">
        <v>0.2</v>
      </c>
      <c r="I245" s="41"/>
    </row>
    <row r="246" spans="1:9" ht="12.5">
      <c r="A246" s="7">
        <v>245</v>
      </c>
      <c r="B246" s="8">
        <v>40554</v>
      </c>
      <c r="C246" s="9">
        <v>13</v>
      </c>
      <c r="D246" s="9" t="str">
        <f>IF(Table1[[#This Row],[Hour]]&lt;6,"Night",IF(Table1[[#This Row],[Hour]]&lt;12,"Morning",IF(Table1[[#This Row],[Hour]]&lt;18,"Afternoon","Evening")))</f>
        <v>Afternoon</v>
      </c>
      <c r="E246" s="9" t="b">
        <v>0</v>
      </c>
      <c r="F246" s="9" t="s">
        <v>21</v>
      </c>
      <c r="G246" s="9" t="s">
        <v>9</v>
      </c>
      <c r="H246" s="10">
        <v>0.2</v>
      </c>
      <c r="I246" s="41"/>
    </row>
    <row r="247" spans="1:9" ht="12.5">
      <c r="A247" s="7">
        <v>246</v>
      </c>
      <c r="B247" s="8">
        <v>40554</v>
      </c>
      <c r="C247" s="9">
        <v>14</v>
      </c>
      <c r="D247" s="9" t="str">
        <f>IF(Table1[[#This Row],[Hour]]&lt;6,"Night",IF(Table1[[#This Row],[Hour]]&lt;12,"Morning",IF(Table1[[#This Row],[Hour]]&lt;18,"Afternoon","Evening")))</f>
        <v>Afternoon</v>
      </c>
      <c r="E247" s="9" t="b">
        <v>0</v>
      </c>
      <c r="F247" s="9" t="s">
        <v>21</v>
      </c>
      <c r="G247" s="9" t="s">
        <v>9</v>
      </c>
      <c r="H247" s="10">
        <v>0.2</v>
      </c>
      <c r="I247" s="41"/>
    </row>
    <row r="248" spans="1:9" ht="12.5">
      <c r="A248" s="7">
        <v>247</v>
      </c>
      <c r="B248" s="8">
        <v>40554</v>
      </c>
      <c r="C248" s="9">
        <v>15</v>
      </c>
      <c r="D248" s="9" t="str">
        <f>IF(Table1[[#This Row],[Hour]]&lt;6,"Night",IF(Table1[[#This Row],[Hour]]&lt;12,"Morning",IF(Table1[[#This Row],[Hour]]&lt;18,"Afternoon","Evening")))</f>
        <v>Afternoon</v>
      </c>
      <c r="E248" s="9" t="b">
        <v>0</v>
      </c>
      <c r="F248" s="9" t="s">
        <v>21</v>
      </c>
      <c r="G248" s="9" t="s">
        <v>9</v>
      </c>
      <c r="H248" s="10">
        <v>0.16</v>
      </c>
      <c r="I248" s="41"/>
    </row>
    <row r="249" spans="1:9" ht="12.5">
      <c r="A249" s="7">
        <v>248</v>
      </c>
      <c r="B249" s="8">
        <v>40554</v>
      </c>
      <c r="C249" s="9">
        <v>16</v>
      </c>
      <c r="D249" s="9" t="str">
        <f>IF(Table1[[#This Row],[Hour]]&lt;6,"Night",IF(Table1[[#This Row],[Hour]]&lt;12,"Morning",IF(Table1[[#This Row],[Hour]]&lt;18,"Afternoon","Evening")))</f>
        <v>Afternoon</v>
      </c>
      <c r="E249" s="9" t="b">
        <v>0</v>
      </c>
      <c r="F249" s="9" t="s">
        <v>21</v>
      </c>
      <c r="G249" s="9" t="s">
        <v>9</v>
      </c>
      <c r="H249" s="10">
        <v>0.16</v>
      </c>
      <c r="I249" s="41"/>
    </row>
    <row r="250" spans="1:9" ht="12.5">
      <c r="A250" s="7">
        <v>249</v>
      </c>
      <c r="B250" s="8">
        <v>40554</v>
      </c>
      <c r="C250" s="9">
        <v>17</v>
      </c>
      <c r="D250" s="9" t="str">
        <f>IF(Table1[[#This Row],[Hour]]&lt;6,"Night",IF(Table1[[#This Row],[Hour]]&lt;12,"Morning",IF(Table1[[#This Row],[Hour]]&lt;18,"Afternoon","Evening")))</f>
        <v>Afternoon</v>
      </c>
      <c r="E250" s="9" t="b">
        <v>0</v>
      </c>
      <c r="F250" s="9" t="s">
        <v>21</v>
      </c>
      <c r="G250" s="9" t="s">
        <v>9</v>
      </c>
      <c r="H250" s="10">
        <v>0.16</v>
      </c>
      <c r="I250" s="41"/>
    </row>
    <row r="251" spans="1:9" ht="12.5">
      <c r="A251" s="7">
        <v>250</v>
      </c>
      <c r="B251" s="8">
        <v>40554</v>
      </c>
      <c r="C251" s="9">
        <v>18</v>
      </c>
      <c r="D251" s="9" t="str">
        <f>IF(Table1[[#This Row],[Hour]]&lt;6,"Night",IF(Table1[[#This Row],[Hour]]&lt;12,"Morning",IF(Table1[[#This Row],[Hour]]&lt;18,"Afternoon","Evening")))</f>
        <v>Evening</v>
      </c>
      <c r="E251" s="9" t="b">
        <v>0</v>
      </c>
      <c r="F251" s="9" t="s">
        <v>21</v>
      </c>
      <c r="G251" s="9" t="s">
        <v>10</v>
      </c>
      <c r="H251" s="10">
        <v>0.16</v>
      </c>
      <c r="I251" s="41"/>
    </row>
    <row r="252" spans="1:9" ht="12.5">
      <c r="A252" s="7">
        <v>251</v>
      </c>
      <c r="B252" s="8">
        <v>40554</v>
      </c>
      <c r="C252" s="9">
        <v>19</v>
      </c>
      <c r="D252" s="9" t="str">
        <f>IF(Table1[[#This Row],[Hour]]&lt;6,"Night",IF(Table1[[#This Row],[Hour]]&lt;12,"Morning",IF(Table1[[#This Row],[Hour]]&lt;18,"Afternoon","Evening")))</f>
        <v>Evening</v>
      </c>
      <c r="E252" s="9" t="b">
        <v>0</v>
      </c>
      <c r="F252" s="9" t="s">
        <v>21</v>
      </c>
      <c r="G252" s="9" t="s">
        <v>10</v>
      </c>
      <c r="H252" s="10">
        <v>0.16</v>
      </c>
      <c r="I252" s="41"/>
    </row>
    <row r="253" spans="1:9" ht="12.5">
      <c r="A253" s="7">
        <v>252</v>
      </c>
      <c r="B253" s="8">
        <v>40554</v>
      </c>
      <c r="C253" s="9">
        <v>20</v>
      </c>
      <c r="D253" s="9" t="str">
        <f>IF(Table1[[#This Row],[Hour]]&lt;6,"Night",IF(Table1[[#This Row],[Hour]]&lt;12,"Morning",IF(Table1[[#This Row],[Hour]]&lt;18,"Afternoon","Evening")))</f>
        <v>Evening</v>
      </c>
      <c r="E253" s="9" t="b">
        <v>0</v>
      </c>
      <c r="F253" s="9" t="s">
        <v>21</v>
      </c>
      <c r="G253" s="9" t="s">
        <v>10</v>
      </c>
      <c r="H253" s="10">
        <v>0.16</v>
      </c>
      <c r="I253" s="41"/>
    </row>
    <row r="254" spans="1:9" ht="12.5">
      <c r="A254" s="7">
        <v>253</v>
      </c>
      <c r="B254" s="8">
        <v>40554</v>
      </c>
      <c r="C254" s="9">
        <v>21</v>
      </c>
      <c r="D254" s="9" t="str">
        <f>IF(Table1[[#This Row],[Hour]]&lt;6,"Night",IF(Table1[[#This Row],[Hour]]&lt;12,"Morning",IF(Table1[[#This Row],[Hour]]&lt;18,"Afternoon","Evening")))</f>
        <v>Evening</v>
      </c>
      <c r="E254" s="9" t="b">
        <v>0</v>
      </c>
      <c r="F254" s="9" t="s">
        <v>21</v>
      </c>
      <c r="G254" s="9" t="s">
        <v>10</v>
      </c>
      <c r="H254" s="10">
        <v>0.16</v>
      </c>
      <c r="I254" s="41"/>
    </row>
    <row r="255" spans="1:9" ht="12.5">
      <c r="A255" s="7">
        <v>254</v>
      </c>
      <c r="B255" s="8">
        <v>40554</v>
      </c>
      <c r="C255" s="9">
        <v>22</v>
      </c>
      <c r="D255" s="9" t="str">
        <f>IF(Table1[[#This Row],[Hour]]&lt;6,"Night",IF(Table1[[#This Row],[Hour]]&lt;12,"Morning",IF(Table1[[#This Row],[Hour]]&lt;18,"Afternoon","Evening")))</f>
        <v>Evening</v>
      </c>
      <c r="E255" s="9" t="b">
        <v>0</v>
      </c>
      <c r="F255" s="9" t="s">
        <v>21</v>
      </c>
      <c r="G255" s="9" t="s">
        <v>10</v>
      </c>
      <c r="H255" s="10">
        <v>0.16</v>
      </c>
      <c r="I255" s="41"/>
    </row>
    <row r="256" spans="1:9" ht="12.5">
      <c r="A256" s="7">
        <v>255</v>
      </c>
      <c r="B256" s="8">
        <v>40554</v>
      </c>
      <c r="C256" s="9">
        <v>23</v>
      </c>
      <c r="D256" s="9" t="str">
        <f>IF(Table1[[#This Row],[Hour]]&lt;6,"Night",IF(Table1[[#This Row],[Hour]]&lt;12,"Morning",IF(Table1[[#This Row],[Hour]]&lt;18,"Afternoon","Evening")))</f>
        <v>Evening</v>
      </c>
      <c r="E256" s="9" t="b">
        <v>0</v>
      </c>
      <c r="F256" s="9" t="s">
        <v>21</v>
      </c>
      <c r="G256" s="9" t="s">
        <v>10</v>
      </c>
      <c r="H256" s="10">
        <v>0.16</v>
      </c>
      <c r="I256" s="41"/>
    </row>
    <row r="257" spans="1:9" ht="12.5">
      <c r="A257" s="7">
        <v>256</v>
      </c>
      <c r="B257" s="8">
        <v>40555</v>
      </c>
      <c r="C257" s="9">
        <v>0</v>
      </c>
      <c r="D257" s="9" t="str">
        <f>IF(Table1[[#This Row],[Hour]]&lt;6,"Night",IF(Table1[[#This Row],[Hour]]&lt;12,"Morning",IF(Table1[[#This Row],[Hour]]&lt;18,"Afternoon","Evening")))</f>
        <v>Night</v>
      </c>
      <c r="E257" s="9" t="b">
        <v>0</v>
      </c>
      <c r="F257" s="9" t="s">
        <v>22</v>
      </c>
      <c r="G257" s="9" t="s">
        <v>9</v>
      </c>
      <c r="H257" s="10">
        <v>0.16</v>
      </c>
      <c r="I257" s="41"/>
    </row>
    <row r="258" spans="1:9" ht="12.5">
      <c r="A258" s="7">
        <v>257</v>
      </c>
      <c r="B258" s="8">
        <v>40555</v>
      </c>
      <c r="C258" s="9">
        <v>1</v>
      </c>
      <c r="D258" s="9" t="str">
        <f>IF(Table1[[#This Row],[Hour]]&lt;6,"Night",IF(Table1[[#This Row],[Hour]]&lt;12,"Morning",IF(Table1[[#This Row],[Hour]]&lt;18,"Afternoon","Evening")))</f>
        <v>Night</v>
      </c>
      <c r="E258" s="9" t="b">
        <v>0</v>
      </c>
      <c r="F258" s="9" t="s">
        <v>22</v>
      </c>
      <c r="G258" s="9" t="s">
        <v>9</v>
      </c>
      <c r="H258" s="10">
        <v>0.16</v>
      </c>
      <c r="I258" s="41"/>
    </row>
    <row r="259" spans="1:9" ht="12.5">
      <c r="A259" s="7">
        <v>258</v>
      </c>
      <c r="B259" s="8">
        <v>40555</v>
      </c>
      <c r="C259" s="9">
        <v>2</v>
      </c>
      <c r="D259" s="9" t="str">
        <f>IF(Table1[[#This Row],[Hour]]&lt;6,"Night",IF(Table1[[#This Row],[Hour]]&lt;12,"Morning",IF(Table1[[#This Row],[Hour]]&lt;18,"Afternoon","Evening")))</f>
        <v>Night</v>
      </c>
      <c r="E259" s="9" t="b">
        <v>0</v>
      </c>
      <c r="F259" s="9" t="s">
        <v>22</v>
      </c>
      <c r="G259" s="9" t="s">
        <v>8</v>
      </c>
      <c r="H259" s="10">
        <v>0.14000000000000001</v>
      </c>
      <c r="I259" s="41"/>
    </row>
    <row r="260" spans="1:9" ht="12.5">
      <c r="A260" s="7">
        <v>259</v>
      </c>
      <c r="B260" s="8">
        <v>40555</v>
      </c>
      <c r="C260" s="9">
        <v>5</v>
      </c>
      <c r="D260" s="9" t="str">
        <f>IF(Table1[[#This Row],[Hour]]&lt;6,"Night",IF(Table1[[#This Row],[Hour]]&lt;12,"Morning",IF(Table1[[#This Row],[Hour]]&lt;18,"Afternoon","Evening")))</f>
        <v>Night</v>
      </c>
      <c r="E260" s="9" t="b">
        <v>0</v>
      </c>
      <c r="F260" s="9" t="s">
        <v>22</v>
      </c>
      <c r="G260" s="9" t="s">
        <v>8</v>
      </c>
      <c r="H260" s="10">
        <v>0.14000000000000001</v>
      </c>
      <c r="I260" s="41"/>
    </row>
    <row r="261" spans="1:9" ht="12.5">
      <c r="A261" s="7">
        <v>260</v>
      </c>
      <c r="B261" s="8">
        <v>40555</v>
      </c>
      <c r="C261" s="9">
        <v>6</v>
      </c>
      <c r="D261" s="9" t="str">
        <f>IF(Table1[[#This Row],[Hour]]&lt;6,"Night",IF(Table1[[#This Row],[Hour]]&lt;12,"Morning",IF(Table1[[#This Row],[Hour]]&lt;18,"Afternoon","Evening")))</f>
        <v>Morning</v>
      </c>
      <c r="E261" s="9" t="b">
        <v>0</v>
      </c>
      <c r="F261" s="9" t="s">
        <v>22</v>
      </c>
      <c r="G261" s="9" t="s">
        <v>8</v>
      </c>
      <c r="H261" s="10">
        <v>0.12</v>
      </c>
      <c r="I261" s="41"/>
    </row>
    <row r="262" spans="1:9" ht="12.5">
      <c r="A262" s="7">
        <v>261</v>
      </c>
      <c r="B262" s="8">
        <v>40555</v>
      </c>
      <c r="C262" s="9">
        <v>7</v>
      </c>
      <c r="D262" s="9" t="str">
        <f>IF(Table1[[#This Row],[Hour]]&lt;6,"Night",IF(Table1[[#This Row],[Hour]]&lt;12,"Morning",IF(Table1[[#This Row],[Hour]]&lt;18,"Afternoon","Evening")))</f>
        <v>Morning</v>
      </c>
      <c r="E262" s="9" t="b">
        <v>0</v>
      </c>
      <c r="F262" s="9" t="s">
        <v>22</v>
      </c>
      <c r="G262" s="9" t="s">
        <v>8</v>
      </c>
      <c r="H262" s="10">
        <v>0.14000000000000001</v>
      </c>
      <c r="I262" s="41"/>
    </row>
    <row r="263" spans="1:9" ht="12.5">
      <c r="A263" s="7">
        <v>262</v>
      </c>
      <c r="B263" s="8">
        <v>40555</v>
      </c>
      <c r="C263" s="9">
        <v>8</v>
      </c>
      <c r="D263" s="9" t="str">
        <f>IF(Table1[[#This Row],[Hour]]&lt;6,"Night",IF(Table1[[#This Row],[Hour]]&lt;12,"Morning",IF(Table1[[#This Row],[Hour]]&lt;18,"Afternoon","Evening")))</f>
        <v>Morning</v>
      </c>
      <c r="E263" s="9" t="b">
        <v>0</v>
      </c>
      <c r="F263" s="9" t="s">
        <v>22</v>
      </c>
      <c r="G263" s="9" t="s">
        <v>8</v>
      </c>
      <c r="H263" s="10">
        <v>0.16</v>
      </c>
      <c r="I263" s="41"/>
    </row>
    <row r="264" spans="1:9" ht="12.5">
      <c r="A264" s="7">
        <v>263</v>
      </c>
      <c r="B264" s="8">
        <v>40555</v>
      </c>
      <c r="C264" s="9">
        <v>9</v>
      </c>
      <c r="D264" s="9" t="str">
        <f>IF(Table1[[#This Row],[Hour]]&lt;6,"Night",IF(Table1[[#This Row],[Hour]]&lt;12,"Morning",IF(Table1[[#This Row],[Hour]]&lt;18,"Afternoon","Evening")))</f>
        <v>Morning</v>
      </c>
      <c r="E264" s="9" t="b">
        <v>0</v>
      </c>
      <c r="F264" s="9" t="s">
        <v>22</v>
      </c>
      <c r="G264" s="9" t="s">
        <v>8</v>
      </c>
      <c r="H264" s="10">
        <v>0.16</v>
      </c>
      <c r="I264" s="41"/>
    </row>
    <row r="265" spans="1:9" ht="12.5">
      <c r="A265" s="7">
        <v>264</v>
      </c>
      <c r="B265" s="8">
        <v>40555</v>
      </c>
      <c r="C265" s="9">
        <v>10</v>
      </c>
      <c r="D265" s="9" t="str">
        <f>IF(Table1[[#This Row],[Hour]]&lt;6,"Night",IF(Table1[[#This Row],[Hour]]&lt;12,"Morning",IF(Table1[[#This Row],[Hour]]&lt;18,"Afternoon","Evening")))</f>
        <v>Morning</v>
      </c>
      <c r="E265" s="9" t="b">
        <v>0</v>
      </c>
      <c r="F265" s="9" t="s">
        <v>22</v>
      </c>
      <c r="G265" s="9" t="s">
        <v>8</v>
      </c>
      <c r="H265" s="10">
        <v>0.18</v>
      </c>
      <c r="I265" s="41"/>
    </row>
    <row r="266" spans="1:9" ht="12.5">
      <c r="A266" s="7">
        <v>265</v>
      </c>
      <c r="B266" s="8">
        <v>40555</v>
      </c>
      <c r="C266" s="9">
        <v>11</v>
      </c>
      <c r="D266" s="9" t="str">
        <f>IF(Table1[[#This Row],[Hour]]&lt;6,"Night",IF(Table1[[#This Row],[Hour]]&lt;12,"Morning",IF(Table1[[#This Row],[Hour]]&lt;18,"Afternoon","Evening")))</f>
        <v>Morning</v>
      </c>
      <c r="E266" s="9" t="b">
        <v>0</v>
      </c>
      <c r="F266" s="9" t="s">
        <v>22</v>
      </c>
      <c r="G266" s="9" t="s">
        <v>8</v>
      </c>
      <c r="H266" s="10">
        <v>0.2</v>
      </c>
      <c r="I266" s="41"/>
    </row>
    <row r="267" spans="1:9" ht="12.5">
      <c r="A267" s="7">
        <v>266</v>
      </c>
      <c r="B267" s="8">
        <v>40555</v>
      </c>
      <c r="C267" s="9">
        <v>12</v>
      </c>
      <c r="D267" s="9" t="str">
        <f>IF(Table1[[#This Row],[Hour]]&lt;6,"Night",IF(Table1[[#This Row],[Hour]]&lt;12,"Morning",IF(Table1[[#This Row],[Hour]]&lt;18,"Afternoon","Evening")))</f>
        <v>Afternoon</v>
      </c>
      <c r="E267" s="9" t="b">
        <v>0</v>
      </c>
      <c r="F267" s="9" t="s">
        <v>22</v>
      </c>
      <c r="G267" s="9" t="s">
        <v>8</v>
      </c>
      <c r="H267" s="10">
        <v>0.2</v>
      </c>
      <c r="I267" s="41"/>
    </row>
    <row r="268" spans="1:9" ht="12.5">
      <c r="A268" s="7">
        <v>267</v>
      </c>
      <c r="B268" s="8">
        <v>40555</v>
      </c>
      <c r="C268" s="9">
        <v>13</v>
      </c>
      <c r="D268" s="9" t="str">
        <f>IF(Table1[[#This Row],[Hour]]&lt;6,"Night",IF(Table1[[#This Row],[Hour]]&lt;12,"Morning",IF(Table1[[#This Row],[Hour]]&lt;18,"Afternoon","Evening")))</f>
        <v>Afternoon</v>
      </c>
      <c r="E268" s="9" t="b">
        <v>0</v>
      </c>
      <c r="F268" s="9" t="s">
        <v>22</v>
      </c>
      <c r="G268" s="9" t="s">
        <v>8</v>
      </c>
      <c r="H268" s="10">
        <v>0.22</v>
      </c>
      <c r="I268" s="41"/>
    </row>
    <row r="269" spans="1:9" ht="12.5">
      <c r="A269" s="7">
        <v>268</v>
      </c>
      <c r="B269" s="8">
        <v>40555</v>
      </c>
      <c r="C269" s="9">
        <v>14</v>
      </c>
      <c r="D269" s="9" t="str">
        <f>IF(Table1[[#This Row],[Hour]]&lt;6,"Night",IF(Table1[[#This Row],[Hour]]&lt;12,"Morning",IF(Table1[[#This Row],[Hour]]&lt;18,"Afternoon","Evening")))</f>
        <v>Afternoon</v>
      </c>
      <c r="E269" s="9" t="b">
        <v>0</v>
      </c>
      <c r="F269" s="9" t="s">
        <v>22</v>
      </c>
      <c r="G269" s="9" t="s">
        <v>8</v>
      </c>
      <c r="H269" s="10">
        <v>0.2</v>
      </c>
      <c r="I269" s="41"/>
    </row>
    <row r="270" spans="1:9" ht="12.5">
      <c r="A270" s="7">
        <v>269</v>
      </c>
      <c r="B270" s="8">
        <v>40555</v>
      </c>
      <c r="C270" s="9">
        <v>15</v>
      </c>
      <c r="D270" s="9" t="str">
        <f>IF(Table1[[#This Row],[Hour]]&lt;6,"Night",IF(Table1[[#This Row],[Hour]]&lt;12,"Morning",IF(Table1[[#This Row],[Hour]]&lt;18,"Afternoon","Evening")))</f>
        <v>Afternoon</v>
      </c>
      <c r="E270" s="9" t="b">
        <v>0</v>
      </c>
      <c r="F270" s="9" t="s">
        <v>22</v>
      </c>
      <c r="G270" s="9" t="s">
        <v>8</v>
      </c>
      <c r="H270" s="10">
        <v>0.2</v>
      </c>
      <c r="I270" s="41"/>
    </row>
    <row r="271" spans="1:9" ht="12.5">
      <c r="A271" s="7">
        <v>270</v>
      </c>
      <c r="B271" s="8">
        <v>40555</v>
      </c>
      <c r="C271" s="9">
        <v>16</v>
      </c>
      <c r="D271" s="9" t="str">
        <f>IF(Table1[[#This Row],[Hour]]&lt;6,"Night",IF(Table1[[#This Row],[Hour]]&lt;12,"Morning",IF(Table1[[#This Row],[Hour]]&lt;18,"Afternoon","Evening")))</f>
        <v>Afternoon</v>
      </c>
      <c r="E271" s="9" t="b">
        <v>0</v>
      </c>
      <c r="F271" s="9" t="s">
        <v>22</v>
      </c>
      <c r="G271" s="9" t="s">
        <v>8</v>
      </c>
      <c r="H271" s="10">
        <v>0.22</v>
      </c>
      <c r="I271" s="41"/>
    </row>
    <row r="272" spans="1:9" ht="12.5">
      <c r="A272" s="7">
        <v>271</v>
      </c>
      <c r="B272" s="8">
        <v>40555</v>
      </c>
      <c r="C272" s="9">
        <v>17</v>
      </c>
      <c r="D272" s="9" t="str">
        <f>IF(Table1[[#This Row],[Hour]]&lt;6,"Night",IF(Table1[[#This Row],[Hour]]&lt;12,"Morning",IF(Table1[[#This Row],[Hour]]&lt;18,"Afternoon","Evening")))</f>
        <v>Afternoon</v>
      </c>
      <c r="E272" s="9" t="b">
        <v>0</v>
      </c>
      <c r="F272" s="9" t="s">
        <v>22</v>
      </c>
      <c r="G272" s="9" t="s">
        <v>8</v>
      </c>
      <c r="H272" s="10">
        <v>0.2</v>
      </c>
      <c r="I272" s="41"/>
    </row>
    <row r="273" spans="1:9" ht="12.5">
      <c r="A273" s="7">
        <v>272</v>
      </c>
      <c r="B273" s="8">
        <v>40555</v>
      </c>
      <c r="C273" s="9">
        <v>18</v>
      </c>
      <c r="D273" s="9" t="str">
        <f>IF(Table1[[#This Row],[Hour]]&lt;6,"Night",IF(Table1[[#This Row],[Hour]]&lt;12,"Morning",IF(Table1[[#This Row],[Hour]]&lt;18,"Afternoon","Evening")))</f>
        <v>Evening</v>
      </c>
      <c r="E273" s="9" t="b">
        <v>0</v>
      </c>
      <c r="F273" s="9" t="s">
        <v>22</v>
      </c>
      <c r="G273" s="9" t="s">
        <v>8</v>
      </c>
      <c r="H273" s="10">
        <v>0.2</v>
      </c>
      <c r="I273" s="41"/>
    </row>
    <row r="274" spans="1:9" ht="12.5">
      <c r="A274" s="7">
        <v>273</v>
      </c>
      <c r="B274" s="8">
        <v>40555</v>
      </c>
      <c r="C274" s="9">
        <v>19</v>
      </c>
      <c r="D274" s="9" t="str">
        <f>IF(Table1[[#This Row],[Hour]]&lt;6,"Night",IF(Table1[[#This Row],[Hour]]&lt;12,"Morning",IF(Table1[[#This Row],[Hour]]&lt;18,"Afternoon","Evening")))</f>
        <v>Evening</v>
      </c>
      <c r="E274" s="9" t="b">
        <v>0</v>
      </c>
      <c r="F274" s="9" t="s">
        <v>22</v>
      </c>
      <c r="G274" s="9" t="s">
        <v>8</v>
      </c>
      <c r="H274" s="10">
        <v>0.18</v>
      </c>
      <c r="I274" s="41"/>
    </row>
    <row r="275" spans="1:9" ht="12.5">
      <c r="A275" s="7">
        <v>274</v>
      </c>
      <c r="B275" s="8">
        <v>40555</v>
      </c>
      <c r="C275" s="9">
        <v>20</v>
      </c>
      <c r="D275" s="9" t="str">
        <f>IF(Table1[[#This Row],[Hour]]&lt;6,"Night",IF(Table1[[#This Row],[Hour]]&lt;12,"Morning",IF(Table1[[#This Row],[Hour]]&lt;18,"Afternoon","Evening")))</f>
        <v>Evening</v>
      </c>
      <c r="E275" s="9" t="b">
        <v>0</v>
      </c>
      <c r="F275" s="9" t="s">
        <v>22</v>
      </c>
      <c r="G275" s="9" t="s">
        <v>8</v>
      </c>
      <c r="H275" s="10">
        <v>0.16</v>
      </c>
      <c r="I275" s="41"/>
    </row>
    <row r="276" spans="1:9" ht="12.5">
      <c r="A276" s="7">
        <v>275</v>
      </c>
      <c r="B276" s="8">
        <v>40555</v>
      </c>
      <c r="C276" s="9">
        <v>21</v>
      </c>
      <c r="D276" s="9" t="str">
        <f>IF(Table1[[#This Row],[Hour]]&lt;6,"Night",IF(Table1[[#This Row],[Hour]]&lt;12,"Morning",IF(Table1[[#This Row],[Hour]]&lt;18,"Afternoon","Evening")))</f>
        <v>Evening</v>
      </c>
      <c r="E276" s="9" t="b">
        <v>0</v>
      </c>
      <c r="F276" s="9" t="s">
        <v>22</v>
      </c>
      <c r="G276" s="9" t="s">
        <v>8</v>
      </c>
      <c r="H276" s="10">
        <v>0.16</v>
      </c>
      <c r="I276" s="41"/>
    </row>
    <row r="277" spans="1:9" ht="12.5">
      <c r="A277" s="7">
        <v>276</v>
      </c>
      <c r="B277" s="8">
        <v>40555</v>
      </c>
      <c r="C277" s="9">
        <v>22</v>
      </c>
      <c r="D277" s="9" t="str">
        <f>IF(Table1[[#This Row],[Hour]]&lt;6,"Night",IF(Table1[[#This Row],[Hour]]&lt;12,"Morning",IF(Table1[[#This Row],[Hour]]&lt;18,"Afternoon","Evening")))</f>
        <v>Evening</v>
      </c>
      <c r="E277" s="9" t="b">
        <v>0</v>
      </c>
      <c r="F277" s="9" t="s">
        <v>22</v>
      </c>
      <c r="G277" s="9" t="s">
        <v>8</v>
      </c>
      <c r="H277" s="10">
        <v>0.16</v>
      </c>
      <c r="I277" s="41"/>
    </row>
    <row r="278" spans="1:9" ht="12.5">
      <c r="A278" s="7">
        <v>277</v>
      </c>
      <c r="B278" s="8">
        <v>40555</v>
      </c>
      <c r="C278" s="9">
        <v>23</v>
      </c>
      <c r="D278" s="9" t="str">
        <f>IF(Table1[[#This Row],[Hour]]&lt;6,"Night",IF(Table1[[#This Row],[Hour]]&lt;12,"Morning",IF(Table1[[#This Row],[Hour]]&lt;18,"Afternoon","Evening")))</f>
        <v>Evening</v>
      </c>
      <c r="E278" s="9" t="b">
        <v>0</v>
      </c>
      <c r="F278" s="9" t="s">
        <v>22</v>
      </c>
      <c r="G278" s="9" t="s">
        <v>8</v>
      </c>
      <c r="H278" s="10">
        <v>0.14000000000000001</v>
      </c>
      <c r="I278" s="41"/>
    </row>
    <row r="279" spans="1:9" ht="12.5">
      <c r="A279" s="7">
        <v>278</v>
      </c>
      <c r="B279" s="8">
        <v>40556</v>
      </c>
      <c r="C279" s="9">
        <v>0</v>
      </c>
      <c r="D279" s="9" t="str">
        <f>IF(Table1[[#This Row],[Hour]]&lt;6,"Night",IF(Table1[[#This Row],[Hour]]&lt;12,"Morning",IF(Table1[[#This Row],[Hour]]&lt;18,"Afternoon","Evening")))</f>
        <v>Night</v>
      </c>
      <c r="E279" s="9" t="b">
        <v>0</v>
      </c>
      <c r="F279" s="9" t="s">
        <v>23</v>
      </c>
      <c r="G279" s="9" t="s">
        <v>8</v>
      </c>
      <c r="H279" s="10">
        <v>0.14000000000000001</v>
      </c>
      <c r="I279" s="41"/>
    </row>
    <row r="280" spans="1:9" ht="12.5">
      <c r="A280" s="7">
        <v>279</v>
      </c>
      <c r="B280" s="8">
        <v>40556</v>
      </c>
      <c r="C280" s="9">
        <v>1</v>
      </c>
      <c r="D280" s="9" t="str">
        <f>IF(Table1[[#This Row],[Hour]]&lt;6,"Night",IF(Table1[[#This Row],[Hour]]&lt;12,"Morning",IF(Table1[[#This Row],[Hour]]&lt;18,"Afternoon","Evening")))</f>
        <v>Night</v>
      </c>
      <c r="E280" s="9" t="b">
        <v>0</v>
      </c>
      <c r="F280" s="9" t="s">
        <v>23</v>
      </c>
      <c r="G280" s="9" t="s">
        <v>8</v>
      </c>
      <c r="H280" s="10">
        <v>0.14000000000000001</v>
      </c>
      <c r="I280" s="41"/>
    </row>
    <row r="281" spans="1:9" ht="12.5">
      <c r="A281" s="7">
        <v>280</v>
      </c>
      <c r="B281" s="8">
        <v>40556</v>
      </c>
      <c r="C281" s="9">
        <v>2</v>
      </c>
      <c r="D281" s="9" t="str">
        <f>IF(Table1[[#This Row],[Hour]]&lt;6,"Night",IF(Table1[[#This Row],[Hour]]&lt;12,"Morning",IF(Table1[[#This Row],[Hour]]&lt;18,"Afternoon","Evening")))</f>
        <v>Night</v>
      </c>
      <c r="E281" s="9" t="b">
        <v>0</v>
      </c>
      <c r="F281" s="9" t="s">
        <v>23</v>
      </c>
      <c r="G281" s="9" t="s">
        <v>8</v>
      </c>
      <c r="H281" s="10">
        <v>0.14000000000000001</v>
      </c>
      <c r="I281" s="41"/>
    </row>
    <row r="282" spans="1:9" ht="12.5">
      <c r="A282" s="7">
        <v>281</v>
      </c>
      <c r="B282" s="8">
        <v>40556</v>
      </c>
      <c r="C282" s="9">
        <v>3</v>
      </c>
      <c r="D282" s="9" t="str">
        <f>IF(Table1[[#This Row],[Hour]]&lt;6,"Night",IF(Table1[[#This Row],[Hour]]&lt;12,"Morning",IF(Table1[[#This Row],[Hour]]&lt;18,"Afternoon","Evening")))</f>
        <v>Night</v>
      </c>
      <c r="E282" s="9" t="b">
        <v>0</v>
      </c>
      <c r="F282" s="9" t="s">
        <v>23</v>
      </c>
      <c r="G282" s="9" t="s">
        <v>8</v>
      </c>
      <c r="H282" s="10">
        <v>0.14000000000000001</v>
      </c>
      <c r="I282" s="41"/>
    </row>
    <row r="283" spans="1:9" ht="12.5">
      <c r="A283" s="7">
        <v>282</v>
      </c>
      <c r="B283" s="8">
        <v>40556</v>
      </c>
      <c r="C283" s="9">
        <v>4</v>
      </c>
      <c r="D283" s="9" t="str">
        <f>IF(Table1[[#This Row],[Hour]]&lt;6,"Night",IF(Table1[[#This Row],[Hour]]&lt;12,"Morning",IF(Table1[[#This Row],[Hour]]&lt;18,"Afternoon","Evening")))</f>
        <v>Night</v>
      </c>
      <c r="E283" s="9" t="b">
        <v>0</v>
      </c>
      <c r="F283" s="9" t="s">
        <v>23</v>
      </c>
      <c r="G283" s="9" t="s">
        <v>8</v>
      </c>
      <c r="H283" s="10">
        <v>0.14000000000000001</v>
      </c>
      <c r="I283" s="41"/>
    </row>
    <row r="284" spans="1:9" ht="12.5">
      <c r="A284" s="7">
        <v>283</v>
      </c>
      <c r="B284" s="8">
        <v>40556</v>
      </c>
      <c r="C284" s="9">
        <v>5</v>
      </c>
      <c r="D284" s="9" t="str">
        <f>IF(Table1[[#This Row],[Hour]]&lt;6,"Night",IF(Table1[[#This Row],[Hour]]&lt;12,"Morning",IF(Table1[[#This Row],[Hour]]&lt;18,"Afternoon","Evening")))</f>
        <v>Night</v>
      </c>
      <c r="E284" s="9" t="b">
        <v>0</v>
      </c>
      <c r="F284" s="9" t="s">
        <v>23</v>
      </c>
      <c r="G284" s="9" t="s">
        <v>8</v>
      </c>
      <c r="H284" s="10">
        <v>0.14000000000000001</v>
      </c>
      <c r="I284" s="41"/>
    </row>
    <row r="285" spans="1:9" ht="12.5">
      <c r="A285" s="7">
        <v>284</v>
      </c>
      <c r="B285" s="8">
        <v>40556</v>
      </c>
      <c r="C285" s="9">
        <v>6</v>
      </c>
      <c r="D285" s="9" t="str">
        <f>IF(Table1[[#This Row],[Hour]]&lt;6,"Night",IF(Table1[[#This Row],[Hour]]&lt;12,"Morning",IF(Table1[[#This Row],[Hour]]&lt;18,"Afternoon","Evening")))</f>
        <v>Morning</v>
      </c>
      <c r="E285" s="9" t="b">
        <v>0</v>
      </c>
      <c r="F285" s="9" t="s">
        <v>23</v>
      </c>
      <c r="G285" s="9" t="s">
        <v>8</v>
      </c>
      <c r="H285" s="10">
        <v>0.12</v>
      </c>
      <c r="I285" s="41"/>
    </row>
    <row r="286" spans="1:9" ht="12.5">
      <c r="A286" s="7">
        <v>285</v>
      </c>
      <c r="B286" s="8">
        <v>40556</v>
      </c>
      <c r="C286" s="9">
        <v>7</v>
      </c>
      <c r="D286" s="9" t="str">
        <f>IF(Table1[[#This Row],[Hour]]&lt;6,"Night",IF(Table1[[#This Row],[Hour]]&lt;12,"Morning",IF(Table1[[#This Row],[Hour]]&lt;18,"Afternoon","Evening")))</f>
        <v>Morning</v>
      </c>
      <c r="E286" s="9" t="b">
        <v>0</v>
      </c>
      <c r="F286" s="9" t="s">
        <v>23</v>
      </c>
      <c r="G286" s="9" t="s">
        <v>8</v>
      </c>
      <c r="H286" s="10">
        <v>0.12</v>
      </c>
      <c r="I286" s="41"/>
    </row>
    <row r="287" spans="1:9" ht="12.5">
      <c r="A287" s="7">
        <v>286</v>
      </c>
      <c r="B287" s="8">
        <v>40556</v>
      </c>
      <c r="C287" s="9">
        <v>8</v>
      </c>
      <c r="D287" s="9" t="str">
        <f>IF(Table1[[#This Row],[Hour]]&lt;6,"Night",IF(Table1[[#This Row],[Hour]]&lt;12,"Morning",IF(Table1[[#This Row],[Hour]]&lt;18,"Afternoon","Evening")))</f>
        <v>Morning</v>
      </c>
      <c r="E287" s="9" t="b">
        <v>0</v>
      </c>
      <c r="F287" s="9" t="s">
        <v>23</v>
      </c>
      <c r="G287" s="9" t="s">
        <v>8</v>
      </c>
      <c r="H287" s="10">
        <v>0.14000000000000001</v>
      </c>
      <c r="I287" s="41"/>
    </row>
    <row r="288" spans="1:9" ht="12.5">
      <c r="A288" s="7">
        <v>287</v>
      </c>
      <c r="B288" s="8">
        <v>40556</v>
      </c>
      <c r="C288" s="9">
        <v>9</v>
      </c>
      <c r="D288" s="9" t="str">
        <f>IF(Table1[[#This Row],[Hour]]&lt;6,"Night",IF(Table1[[#This Row],[Hour]]&lt;12,"Morning",IF(Table1[[#This Row],[Hour]]&lt;18,"Afternoon","Evening")))</f>
        <v>Morning</v>
      </c>
      <c r="E288" s="9" t="b">
        <v>0</v>
      </c>
      <c r="F288" s="9" t="s">
        <v>23</v>
      </c>
      <c r="G288" s="9" t="s">
        <v>8</v>
      </c>
      <c r="H288" s="10">
        <v>0.14000000000000001</v>
      </c>
      <c r="I288" s="41"/>
    </row>
    <row r="289" spans="1:9" ht="12.5">
      <c r="A289" s="7">
        <v>288</v>
      </c>
      <c r="B289" s="8">
        <v>40556</v>
      </c>
      <c r="C289" s="9">
        <v>10</v>
      </c>
      <c r="D289" s="9" t="str">
        <f>IF(Table1[[#This Row],[Hour]]&lt;6,"Night",IF(Table1[[#This Row],[Hour]]&lt;12,"Morning",IF(Table1[[#This Row],[Hour]]&lt;18,"Afternoon","Evening")))</f>
        <v>Morning</v>
      </c>
      <c r="E289" s="9" t="b">
        <v>0</v>
      </c>
      <c r="F289" s="9" t="s">
        <v>23</v>
      </c>
      <c r="G289" s="9" t="s">
        <v>9</v>
      </c>
      <c r="H289" s="10">
        <v>0.16</v>
      </c>
      <c r="I289" s="41"/>
    </row>
    <row r="290" spans="1:9" ht="12.5">
      <c r="A290" s="7">
        <v>289</v>
      </c>
      <c r="B290" s="8">
        <v>40556</v>
      </c>
      <c r="C290" s="9">
        <v>11</v>
      </c>
      <c r="D290" s="9" t="str">
        <f>IF(Table1[[#This Row],[Hour]]&lt;6,"Night",IF(Table1[[#This Row],[Hour]]&lt;12,"Morning",IF(Table1[[#This Row],[Hour]]&lt;18,"Afternoon","Evening")))</f>
        <v>Morning</v>
      </c>
      <c r="E290" s="9" t="b">
        <v>0</v>
      </c>
      <c r="F290" s="9" t="s">
        <v>23</v>
      </c>
      <c r="G290" s="9" t="s">
        <v>9</v>
      </c>
      <c r="H290" s="10">
        <v>0.2</v>
      </c>
      <c r="I290" s="41"/>
    </row>
    <row r="291" spans="1:9" ht="12.5">
      <c r="A291" s="7">
        <v>290</v>
      </c>
      <c r="B291" s="8">
        <v>40556</v>
      </c>
      <c r="C291" s="9">
        <v>12</v>
      </c>
      <c r="D291" s="9" t="str">
        <f>IF(Table1[[#This Row],[Hour]]&lt;6,"Night",IF(Table1[[#This Row],[Hour]]&lt;12,"Morning",IF(Table1[[#This Row],[Hour]]&lt;18,"Afternoon","Evening")))</f>
        <v>Afternoon</v>
      </c>
      <c r="E291" s="9" t="b">
        <v>0</v>
      </c>
      <c r="F291" s="9" t="s">
        <v>23</v>
      </c>
      <c r="G291" s="9" t="s">
        <v>8</v>
      </c>
      <c r="H291" s="10">
        <v>0.2</v>
      </c>
      <c r="I291" s="41"/>
    </row>
    <row r="292" spans="1:9" ht="12.5">
      <c r="A292" s="7">
        <v>291</v>
      </c>
      <c r="B292" s="8">
        <v>40556</v>
      </c>
      <c r="C292" s="9">
        <v>13</v>
      </c>
      <c r="D292" s="9" t="str">
        <f>IF(Table1[[#This Row],[Hour]]&lt;6,"Night",IF(Table1[[#This Row],[Hour]]&lt;12,"Morning",IF(Table1[[#This Row],[Hour]]&lt;18,"Afternoon","Evening")))</f>
        <v>Afternoon</v>
      </c>
      <c r="E292" s="9" t="b">
        <v>0</v>
      </c>
      <c r="F292" s="9" t="s">
        <v>23</v>
      </c>
      <c r="G292" s="9" t="s">
        <v>8</v>
      </c>
      <c r="H292" s="10">
        <v>0.22</v>
      </c>
      <c r="I292" s="41"/>
    </row>
    <row r="293" spans="1:9" ht="12.5">
      <c r="A293" s="7">
        <v>292</v>
      </c>
      <c r="B293" s="8">
        <v>40556</v>
      </c>
      <c r="C293" s="9">
        <v>14</v>
      </c>
      <c r="D293" s="9" t="str">
        <f>IF(Table1[[#This Row],[Hour]]&lt;6,"Night",IF(Table1[[#This Row],[Hour]]&lt;12,"Morning",IF(Table1[[#This Row],[Hour]]&lt;18,"Afternoon","Evening")))</f>
        <v>Afternoon</v>
      </c>
      <c r="E293" s="9" t="b">
        <v>0</v>
      </c>
      <c r="F293" s="9" t="s">
        <v>23</v>
      </c>
      <c r="G293" s="9" t="s">
        <v>8</v>
      </c>
      <c r="H293" s="10">
        <v>0.22</v>
      </c>
      <c r="I293" s="41"/>
    </row>
    <row r="294" spans="1:9" ht="12.5">
      <c r="A294" s="7">
        <v>293</v>
      </c>
      <c r="B294" s="8">
        <v>40556</v>
      </c>
      <c r="C294" s="9">
        <v>15</v>
      </c>
      <c r="D294" s="9" t="str">
        <f>IF(Table1[[#This Row],[Hour]]&lt;6,"Night",IF(Table1[[#This Row],[Hour]]&lt;12,"Morning",IF(Table1[[#This Row],[Hour]]&lt;18,"Afternoon","Evening")))</f>
        <v>Afternoon</v>
      </c>
      <c r="E294" s="9" t="b">
        <v>0</v>
      </c>
      <c r="F294" s="9" t="s">
        <v>23</v>
      </c>
      <c r="G294" s="9" t="s">
        <v>8</v>
      </c>
      <c r="H294" s="10">
        <v>0.24</v>
      </c>
      <c r="I294" s="41"/>
    </row>
    <row r="295" spans="1:9" ht="12.5">
      <c r="A295" s="7">
        <v>294</v>
      </c>
      <c r="B295" s="8">
        <v>40556</v>
      </c>
      <c r="C295" s="9">
        <v>16</v>
      </c>
      <c r="D295" s="9" t="str">
        <f>IF(Table1[[#This Row],[Hour]]&lt;6,"Night",IF(Table1[[#This Row],[Hour]]&lt;12,"Morning",IF(Table1[[#This Row],[Hour]]&lt;18,"Afternoon","Evening")))</f>
        <v>Afternoon</v>
      </c>
      <c r="E295" s="9" t="b">
        <v>0</v>
      </c>
      <c r="F295" s="9" t="s">
        <v>23</v>
      </c>
      <c r="G295" s="9" t="s">
        <v>8</v>
      </c>
      <c r="H295" s="10">
        <v>0.24</v>
      </c>
      <c r="I295" s="41"/>
    </row>
    <row r="296" spans="1:9" ht="12.5">
      <c r="A296" s="7">
        <v>295</v>
      </c>
      <c r="B296" s="8">
        <v>40556</v>
      </c>
      <c r="C296" s="9">
        <v>17</v>
      </c>
      <c r="D296" s="9" t="str">
        <f>IF(Table1[[#This Row],[Hour]]&lt;6,"Night",IF(Table1[[#This Row],[Hour]]&lt;12,"Morning",IF(Table1[[#This Row],[Hour]]&lt;18,"Afternoon","Evening")))</f>
        <v>Afternoon</v>
      </c>
      <c r="E296" s="9" t="b">
        <v>0</v>
      </c>
      <c r="F296" s="9" t="s">
        <v>23</v>
      </c>
      <c r="G296" s="9" t="s">
        <v>8</v>
      </c>
      <c r="H296" s="10">
        <v>0.2</v>
      </c>
      <c r="I296" s="41"/>
    </row>
    <row r="297" spans="1:9" ht="12.5">
      <c r="A297" s="7">
        <v>296</v>
      </c>
      <c r="B297" s="8">
        <v>40556</v>
      </c>
      <c r="C297" s="9">
        <v>18</v>
      </c>
      <c r="D297" s="9" t="str">
        <f>IF(Table1[[#This Row],[Hour]]&lt;6,"Night",IF(Table1[[#This Row],[Hour]]&lt;12,"Morning",IF(Table1[[#This Row],[Hour]]&lt;18,"Afternoon","Evening")))</f>
        <v>Evening</v>
      </c>
      <c r="E297" s="9" t="b">
        <v>0</v>
      </c>
      <c r="F297" s="9" t="s">
        <v>23</v>
      </c>
      <c r="G297" s="9" t="s">
        <v>8</v>
      </c>
      <c r="H297" s="10">
        <v>0.2</v>
      </c>
      <c r="I297" s="41"/>
    </row>
    <row r="298" spans="1:9" ht="12.5">
      <c r="A298" s="7">
        <v>297</v>
      </c>
      <c r="B298" s="8">
        <v>40556</v>
      </c>
      <c r="C298" s="9">
        <v>19</v>
      </c>
      <c r="D298" s="9" t="str">
        <f>IF(Table1[[#This Row],[Hour]]&lt;6,"Night",IF(Table1[[#This Row],[Hour]]&lt;12,"Morning",IF(Table1[[#This Row],[Hour]]&lt;18,"Afternoon","Evening")))</f>
        <v>Evening</v>
      </c>
      <c r="E298" s="9" t="b">
        <v>0</v>
      </c>
      <c r="F298" s="9" t="s">
        <v>23</v>
      </c>
      <c r="G298" s="9" t="s">
        <v>8</v>
      </c>
      <c r="H298" s="10">
        <v>0.16</v>
      </c>
      <c r="I298" s="41"/>
    </row>
    <row r="299" spans="1:9" ht="12.5">
      <c r="A299" s="7">
        <v>298</v>
      </c>
      <c r="B299" s="8">
        <v>40556</v>
      </c>
      <c r="C299" s="9">
        <v>20</v>
      </c>
      <c r="D299" s="9" t="str">
        <f>IF(Table1[[#This Row],[Hour]]&lt;6,"Night",IF(Table1[[#This Row],[Hour]]&lt;12,"Morning",IF(Table1[[#This Row],[Hour]]&lt;18,"Afternoon","Evening")))</f>
        <v>Evening</v>
      </c>
      <c r="E299" s="9" t="b">
        <v>0</v>
      </c>
      <c r="F299" s="9" t="s">
        <v>23</v>
      </c>
      <c r="G299" s="9" t="s">
        <v>8</v>
      </c>
      <c r="H299" s="10">
        <v>0.16</v>
      </c>
      <c r="I299" s="41"/>
    </row>
    <row r="300" spans="1:9" ht="12.5">
      <c r="A300" s="7">
        <v>299</v>
      </c>
      <c r="B300" s="8">
        <v>40556</v>
      </c>
      <c r="C300" s="9">
        <v>21</v>
      </c>
      <c r="D300" s="9" t="str">
        <f>IF(Table1[[#This Row],[Hour]]&lt;6,"Night",IF(Table1[[#This Row],[Hour]]&lt;12,"Morning",IF(Table1[[#This Row],[Hour]]&lt;18,"Afternoon","Evening")))</f>
        <v>Evening</v>
      </c>
      <c r="E300" s="9" t="b">
        <v>0</v>
      </c>
      <c r="F300" s="9" t="s">
        <v>23</v>
      </c>
      <c r="G300" s="9" t="s">
        <v>8</v>
      </c>
      <c r="H300" s="10">
        <v>0.14000000000000001</v>
      </c>
      <c r="I300" s="41"/>
    </row>
    <row r="301" spans="1:9" ht="12.5">
      <c r="A301" s="7">
        <v>300</v>
      </c>
      <c r="B301" s="8">
        <v>40556</v>
      </c>
      <c r="C301" s="9">
        <v>22</v>
      </c>
      <c r="D301" s="9" t="str">
        <f>IF(Table1[[#This Row],[Hour]]&lt;6,"Night",IF(Table1[[#This Row],[Hour]]&lt;12,"Morning",IF(Table1[[#This Row],[Hour]]&lt;18,"Afternoon","Evening")))</f>
        <v>Evening</v>
      </c>
      <c r="E301" s="9" t="b">
        <v>0</v>
      </c>
      <c r="F301" s="9" t="s">
        <v>23</v>
      </c>
      <c r="G301" s="9" t="s">
        <v>8</v>
      </c>
      <c r="H301" s="10">
        <v>0.14000000000000001</v>
      </c>
      <c r="I301" s="41"/>
    </row>
    <row r="302" spans="1:9" ht="12.5">
      <c r="A302" s="7">
        <v>301</v>
      </c>
      <c r="B302" s="8">
        <v>40556</v>
      </c>
      <c r="C302" s="9">
        <v>23</v>
      </c>
      <c r="D302" s="9" t="str">
        <f>IF(Table1[[#This Row],[Hour]]&lt;6,"Night",IF(Table1[[#This Row],[Hour]]&lt;12,"Morning",IF(Table1[[#This Row],[Hour]]&lt;18,"Afternoon","Evening")))</f>
        <v>Evening</v>
      </c>
      <c r="E302" s="9" t="b">
        <v>0</v>
      </c>
      <c r="F302" s="9" t="s">
        <v>23</v>
      </c>
      <c r="G302" s="9" t="s">
        <v>8</v>
      </c>
      <c r="H302" s="10">
        <v>0.12</v>
      </c>
      <c r="I302" s="41"/>
    </row>
    <row r="303" spans="1:9" ht="12.5">
      <c r="A303" s="7">
        <v>302</v>
      </c>
      <c r="B303" s="8">
        <v>40557</v>
      </c>
      <c r="C303" s="9">
        <v>0</v>
      </c>
      <c r="D303" s="9" t="str">
        <f>IF(Table1[[#This Row],[Hour]]&lt;6,"Night",IF(Table1[[#This Row],[Hour]]&lt;12,"Morning",IF(Table1[[#This Row],[Hour]]&lt;18,"Afternoon","Evening")))</f>
        <v>Night</v>
      </c>
      <c r="E303" s="9" t="b">
        <v>0</v>
      </c>
      <c r="F303" s="9" t="s">
        <v>24</v>
      </c>
      <c r="G303" s="9" t="s">
        <v>8</v>
      </c>
      <c r="H303" s="10">
        <v>0.12</v>
      </c>
      <c r="I303" s="41"/>
    </row>
    <row r="304" spans="1:9" ht="12.5">
      <c r="A304" s="7">
        <v>303</v>
      </c>
      <c r="B304" s="8">
        <v>40557</v>
      </c>
      <c r="C304" s="9">
        <v>1</v>
      </c>
      <c r="D304" s="9" t="str">
        <f>IF(Table1[[#This Row],[Hour]]&lt;6,"Night",IF(Table1[[#This Row],[Hour]]&lt;12,"Morning",IF(Table1[[#This Row],[Hour]]&lt;18,"Afternoon","Evening")))</f>
        <v>Night</v>
      </c>
      <c r="E304" s="9" t="b">
        <v>0</v>
      </c>
      <c r="F304" s="9" t="s">
        <v>24</v>
      </c>
      <c r="G304" s="9" t="s">
        <v>8</v>
      </c>
      <c r="H304" s="10">
        <v>0.1</v>
      </c>
      <c r="I304" s="41"/>
    </row>
    <row r="305" spans="1:9" ht="12.5">
      <c r="A305" s="7">
        <v>304</v>
      </c>
      <c r="B305" s="8">
        <v>40557</v>
      </c>
      <c r="C305" s="9">
        <v>2</v>
      </c>
      <c r="D305" s="9" t="str">
        <f>IF(Table1[[#This Row],[Hour]]&lt;6,"Night",IF(Table1[[#This Row],[Hour]]&lt;12,"Morning",IF(Table1[[#This Row],[Hour]]&lt;18,"Afternoon","Evening")))</f>
        <v>Night</v>
      </c>
      <c r="E305" s="9" t="b">
        <v>0</v>
      </c>
      <c r="F305" s="9" t="s">
        <v>24</v>
      </c>
      <c r="G305" s="9" t="s">
        <v>8</v>
      </c>
      <c r="H305" s="10">
        <v>0.1</v>
      </c>
      <c r="I305" s="41"/>
    </row>
    <row r="306" spans="1:9" ht="12.5">
      <c r="A306" s="7">
        <v>305</v>
      </c>
      <c r="B306" s="8">
        <v>40557</v>
      </c>
      <c r="C306" s="9">
        <v>3</v>
      </c>
      <c r="D306" s="9" t="str">
        <f>IF(Table1[[#This Row],[Hour]]&lt;6,"Night",IF(Table1[[#This Row],[Hour]]&lt;12,"Morning",IF(Table1[[#This Row],[Hour]]&lt;18,"Afternoon","Evening")))</f>
        <v>Night</v>
      </c>
      <c r="E306" s="9" t="b">
        <v>0</v>
      </c>
      <c r="F306" s="9" t="s">
        <v>24</v>
      </c>
      <c r="G306" s="9" t="s">
        <v>8</v>
      </c>
      <c r="H306" s="10">
        <v>0.1</v>
      </c>
      <c r="I306" s="41"/>
    </row>
    <row r="307" spans="1:9" ht="12.5">
      <c r="A307" s="7">
        <v>306</v>
      </c>
      <c r="B307" s="8">
        <v>40557</v>
      </c>
      <c r="C307" s="9">
        <v>5</v>
      </c>
      <c r="D307" s="9" t="str">
        <f>IF(Table1[[#This Row],[Hour]]&lt;6,"Night",IF(Table1[[#This Row],[Hour]]&lt;12,"Morning",IF(Table1[[#This Row],[Hour]]&lt;18,"Afternoon","Evening")))</f>
        <v>Night</v>
      </c>
      <c r="E307" s="9" t="b">
        <v>0</v>
      </c>
      <c r="F307" s="9" t="s">
        <v>24</v>
      </c>
      <c r="G307" s="9" t="s">
        <v>8</v>
      </c>
      <c r="H307" s="10">
        <v>0.1</v>
      </c>
      <c r="I307" s="41"/>
    </row>
    <row r="308" spans="1:9" ht="12.5">
      <c r="A308" s="7">
        <v>307</v>
      </c>
      <c r="B308" s="8">
        <v>40557</v>
      </c>
      <c r="C308" s="9">
        <v>6</v>
      </c>
      <c r="D308" s="9" t="str">
        <f>IF(Table1[[#This Row],[Hour]]&lt;6,"Night",IF(Table1[[#This Row],[Hour]]&lt;12,"Morning",IF(Table1[[#This Row],[Hour]]&lt;18,"Afternoon","Evening")))</f>
        <v>Morning</v>
      </c>
      <c r="E308" s="9" t="b">
        <v>0</v>
      </c>
      <c r="F308" s="9" t="s">
        <v>24</v>
      </c>
      <c r="G308" s="9" t="s">
        <v>8</v>
      </c>
      <c r="H308" s="10">
        <v>0.1</v>
      </c>
      <c r="I308" s="41"/>
    </row>
    <row r="309" spans="1:9" ht="12.5">
      <c r="A309" s="7">
        <v>308</v>
      </c>
      <c r="B309" s="8">
        <v>40557</v>
      </c>
      <c r="C309" s="9">
        <v>7</v>
      </c>
      <c r="D309" s="9" t="str">
        <f>IF(Table1[[#This Row],[Hour]]&lt;6,"Night",IF(Table1[[#This Row],[Hour]]&lt;12,"Morning",IF(Table1[[#This Row],[Hour]]&lt;18,"Afternoon","Evening")))</f>
        <v>Morning</v>
      </c>
      <c r="E309" s="9" t="b">
        <v>0</v>
      </c>
      <c r="F309" s="9" t="s">
        <v>24</v>
      </c>
      <c r="G309" s="9" t="s">
        <v>8</v>
      </c>
      <c r="H309" s="10">
        <v>0.1</v>
      </c>
      <c r="I309" s="41"/>
    </row>
    <row r="310" spans="1:9" ht="12.5">
      <c r="A310" s="7">
        <v>309</v>
      </c>
      <c r="B310" s="8">
        <v>40557</v>
      </c>
      <c r="C310" s="9">
        <v>8</v>
      </c>
      <c r="D310" s="9" t="str">
        <f>IF(Table1[[#This Row],[Hour]]&lt;6,"Night",IF(Table1[[#This Row],[Hour]]&lt;12,"Morning",IF(Table1[[#This Row],[Hour]]&lt;18,"Afternoon","Evening")))</f>
        <v>Morning</v>
      </c>
      <c r="E310" s="9" t="b">
        <v>0</v>
      </c>
      <c r="F310" s="9" t="s">
        <v>24</v>
      </c>
      <c r="G310" s="9" t="s">
        <v>8</v>
      </c>
      <c r="H310" s="10">
        <v>0.12</v>
      </c>
      <c r="I310" s="41"/>
    </row>
    <row r="311" spans="1:9" ht="12.5">
      <c r="A311" s="7">
        <v>310</v>
      </c>
      <c r="B311" s="8">
        <v>40557</v>
      </c>
      <c r="C311" s="9">
        <v>9</v>
      </c>
      <c r="D311" s="9" t="str">
        <f>IF(Table1[[#This Row],[Hour]]&lt;6,"Night",IF(Table1[[#This Row],[Hour]]&lt;12,"Morning",IF(Table1[[#This Row],[Hour]]&lt;18,"Afternoon","Evening")))</f>
        <v>Morning</v>
      </c>
      <c r="E311" s="9" t="b">
        <v>0</v>
      </c>
      <c r="F311" s="9" t="s">
        <v>24</v>
      </c>
      <c r="G311" s="9" t="s">
        <v>8</v>
      </c>
      <c r="H311" s="10">
        <v>0.14000000000000001</v>
      </c>
      <c r="I311" s="41"/>
    </row>
    <row r="312" spans="1:9" ht="12.5">
      <c r="A312" s="7">
        <v>311</v>
      </c>
      <c r="B312" s="8">
        <v>40557</v>
      </c>
      <c r="C312" s="9">
        <v>10</v>
      </c>
      <c r="D312" s="9" t="str">
        <f>IF(Table1[[#This Row],[Hour]]&lt;6,"Night",IF(Table1[[#This Row],[Hour]]&lt;12,"Morning",IF(Table1[[#This Row],[Hour]]&lt;18,"Afternoon","Evening")))</f>
        <v>Morning</v>
      </c>
      <c r="E312" s="9" t="b">
        <v>0</v>
      </c>
      <c r="F312" s="9" t="s">
        <v>24</v>
      </c>
      <c r="G312" s="9" t="s">
        <v>8</v>
      </c>
      <c r="H312" s="10">
        <v>0.18</v>
      </c>
      <c r="I312" s="41"/>
    </row>
    <row r="313" spans="1:9" ht="12.5">
      <c r="A313" s="7">
        <v>312</v>
      </c>
      <c r="B313" s="8">
        <v>40557</v>
      </c>
      <c r="C313" s="9">
        <v>11</v>
      </c>
      <c r="D313" s="9" t="str">
        <f>IF(Table1[[#This Row],[Hour]]&lt;6,"Night",IF(Table1[[#This Row],[Hour]]&lt;12,"Morning",IF(Table1[[#This Row],[Hour]]&lt;18,"Afternoon","Evening")))</f>
        <v>Morning</v>
      </c>
      <c r="E313" s="9" t="b">
        <v>0</v>
      </c>
      <c r="F313" s="9" t="s">
        <v>24</v>
      </c>
      <c r="G313" s="9" t="s">
        <v>8</v>
      </c>
      <c r="H313" s="10">
        <v>0.18</v>
      </c>
      <c r="I313" s="41"/>
    </row>
    <row r="314" spans="1:9" ht="12.5">
      <c r="A314" s="7">
        <v>313</v>
      </c>
      <c r="B314" s="8">
        <v>40557</v>
      </c>
      <c r="C314" s="9">
        <v>12</v>
      </c>
      <c r="D314" s="9" t="str">
        <f>IF(Table1[[#This Row],[Hour]]&lt;6,"Night",IF(Table1[[#This Row],[Hour]]&lt;12,"Morning",IF(Table1[[#This Row],[Hour]]&lt;18,"Afternoon","Evening")))</f>
        <v>Afternoon</v>
      </c>
      <c r="E314" s="9" t="b">
        <v>0</v>
      </c>
      <c r="F314" s="9" t="s">
        <v>24</v>
      </c>
      <c r="G314" s="9" t="s">
        <v>8</v>
      </c>
      <c r="H314" s="10">
        <v>0.2</v>
      </c>
      <c r="I314" s="41"/>
    </row>
    <row r="315" spans="1:9" ht="12.5">
      <c r="A315" s="7">
        <v>314</v>
      </c>
      <c r="B315" s="8">
        <v>40557</v>
      </c>
      <c r="C315" s="9">
        <v>13</v>
      </c>
      <c r="D315" s="9" t="str">
        <f>IF(Table1[[#This Row],[Hour]]&lt;6,"Night",IF(Table1[[#This Row],[Hour]]&lt;12,"Morning",IF(Table1[[#This Row],[Hour]]&lt;18,"Afternoon","Evening")))</f>
        <v>Afternoon</v>
      </c>
      <c r="E315" s="9" t="b">
        <v>0</v>
      </c>
      <c r="F315" s="9" t="s">
        <v>24</v>
      </c>
      <c r="G315" s="9" t="s">
        <v>8</v>
      </c>
      <c r="H315" s="10">
        <v>0.22</v>
      </c>
      <c r="I315" s="41"/>
    </row>
    <row r="316" spans="1:9" ht="12.5">
      <c r="A316" s="7">
        <v>315</v>
      </c>
      <c r="B316" s="8">
        <v>40557</v>
      </c>
      <c r="C316" s="9">
        <v>14</v>
      </c>
      <c r="D316" s="9" t="str">
        <f>IF(Table1[[#This Row],[Hour]]&lt;6,"Night",IF(Table1[[#This Row],[Hour]]&lt;12,"Morning",IF(Table1[[#This Row],[Hour]]&lt;18,"Afternoon","Evening")))</f>
        <v>Afternoon</v>
      </c>
      <c r="E316" s="9" t="b">
        <v>0</v>
      </c>
      <c r="F316" s="9" t="s">
        <v>24</v>
      </c>
      <c r="G316" s="9" t="s">
        <v>8</v>
      </c>
      <c r="H316" s="10">
        <v>0.22</v>
      </c>
      <c r="I316" s="41"/>
    </row>
    <row r="317" spans="1:9" ht="12.5">
      <c r="A317" s="7">
        <v>316</v>
      </c>
      <c r="B317" s="8">
        <v>40557</v>
      </c>
      <c r="C317" s="9">
        <v>15</v>
      </c>
      <c r="D317" s="9" t="str">
        <f>IF(Table1[[#This Row],[Hour]]&lt;6,"Night",IF(Table1[[#This Row],[Hour]]&lt;12,"Morning",IF(Table1[[#This Row],[Hour]]&lt;18,"Afternoon","Evening")))</f>
        <v>Afternoon</v>
      </c>
      <c r="E317" s="9" t="b">
        <v>0</v>
      </c>
      <c r="F317" s="9" t="s">
        <v>24</v>
      </c>
      <c r="G317" s="9" t="s">
        <v>8</v>
      </c>
      <c r="H317" s="10">
        <v>0.24</v>
      </c>
      <c r="I317" s="41"/>
    </row>
    <row r="318" spans="1:9" ht="12.5">
      <c r="A318" s="7">
        <v>317</v>
      </c>
      <c r="B318" s="8">
        <v>40557</v>
      </c>
      <c r="C318" s="9">
        <v>16</v>
      </c>
      <c r="D318" s="9" t="str">
        <f>IF(Table1[[#This Row],[Hour]]&lt;6,"Night",IF(Table1[[#This Row],[Hour]]&lt;12,"Morning",IF(Table1[[#This Row],[Hour]]&lt;18,"Afternoon","Evening")))</f>
        <v>Afternoon</v>
      </c>
      <c r="E318" s="9" t="b">
        <v>0</v>
      </c>
      <c r="F318" s="9" t="s">
        <v>24</v>
      </c>
      <c r="G318" s="9" t="s">
        <v>8</v>
      </c>
      <c r="H318" s="10">
        <v>0.22</v>
      </c>
      <c r="I318" s="41"/>
    </row>
    <row r="319" spans="1:9" ht="12.5">
      <c r="A319" s="7">
        <v>318</v>
      </c>
      <c r="B319" s="8">
        <v>40557</v>
      </c>
      <c r="C319" s="9">
        <v>17</v>
      </c>
      <c r="D319" s="9" t="str">
        <f>IF(Table1[[#This Row],[Hour]]&lt;6,"Night",IF(Table1[[#This Row],[Hour]]&lt;12,"Morning",IF(Table1[[#This Row],[Hour]]&lt;18,"Afternoon","Evening")))</f>
        <v>Afternoon</v>
      </c>
      <c r="E319" s="9" t="b">
        <v>0</v>
      </c>
      <c r="F319" s="9" t="s">
        <v>24</v>
      </c>
      <c r="G319" s="9" t="s">
        <v>8</v>
      </c>
      <c r="H319" s="10">
        <v>0.22</v>
      </c>
      <c r="I319" s="41"/>
    </row>
    <row r="320" spans="1:9" ht="12.5">
      <c r="A320" s="7">
        <v>319</v>
      </c>
      <c r="B320" s="8">
        <v>40557</v>
      </c>
      <c r="C320" s="9">
        <v>18</v>
      </c>
      <c r="D320" s="9" t="str">
        <f>IF(Table1[[#This Row],[Hour]]&lt;6,"Night",IF(Table1[[#This Row],[Hour]]&lt;12,"Morning",IF(Table1[[#This Row],[Hour]]&lt;18,"Afternoon","Evening")))</f>
        <v>Evening</v>
      </c>
      <c r="E320" s="9" t="b">
        <v>0</v>
      </c>
      <c r="F320" s="9" t="s">
        <v>24</v>
      </c>
      <c r="G320" s="9" t="s">
        <v>8</v>
      </c>
      <c r="H320" s="10">
        <v>0.2</v>
      </c>
      <c r="I320" s="41"/>
    </row>
    <row r="321" spans="1:9" ht="12.5">
      <c r="A321" s="7">
        <v>320</v>
      </c>
      <c r="B321" s="8">
        <v>40557</v>
      </c>
      <c r="C321" s="9">
        <v>19</v>
      </c>
      <c r="D321" s="9" t="str">
        <f>IF(Table1[[#This Row],[Hour]]&lt;6,"Night",IF(Table1[[#This Row],[Hour]]&lt;12,"Morning",IF(Table1[[#This Row],[Hour]]&lt;18,"Afternoon","Evening")))</f>
        <v>Evening</v>
      </c>
      <c r="E321" s="9" t="b">
        <v>0</v>
      </c>
      <c r="F321" s="9" t="s">
        <v>24</v>
      </c>
      <c r="G321" s="9" t="s">
        <v>8</v>
      </c>
      <c r="H321" s="10">
        <v>0.16</v>
      </c>
      <c r="I321" s="41"/>
    </row>
    <row r="322" spans="1:9" ht="12.5">
      <c r="A322" s="7">
        <v>321</v>
      </c>
      <c r="B322" s="8">
        <v>40557</v>
      </c>
      <c r="C322" s="9">
        <v>20</v>
      </c>
      <c r="D322" s="9" t="str">
        <f>IF(Table1[[#This Row],[Hour]]&lt;6,"Night",IF(Table1[[#This Row],[Hour]]&lt;12,"Morning",IF(Table1[[#This Row],[Hour]]&lt;18,"Afternoon","Evening")))</f>
        <v>Evening</v>
      </c>
      <c r="E322" s="9" t="b">
        <v>0</v>
      </c>
      <c r="F322" s="9" t="s">
        <v>24</v>
      </c>
      <c r="G322" s="9" t="s">
        <v>8</v>
      </c>
      <c r="H322" s="10">
        <v>0.18</v>
      </c>
      <c r="I322" s="41"/>
    </row>
    <row r="323" spans="1:9" ht="12.5">
      <c r="A323" s="7">
        <v>322</v>
      </c>
      <c r="B323" s="8">
        <v>40557</v>
      </c>
      <c r="C323" s="9">
        <v>21</v>
      </c>
      <c r="D323" s="9" t="str">
        <f>IF(Table1[[#This Row],[Hour]]&lt;6,"Night",IF(Table1[[#This Row],[Hour]]&lt;12,"Morning",IF(Table1[[#This Row],[Hour]]&lt;18,"Afternoon","Evening")))</f>
        <v>Evening</v>
      </c>
      <c r="E323" s="9" t="b">
        <v>0</v>
      </c>
      <c r="F323" s="9" t="s">
        <v>24</v>
      </c>
      <c r="G323" s="9" t="s">
        <v>8</v>
      </c>
      <c r="H323" s="10">
        <v>0.16</v>
      </c>
      <c r="I323" s="41"/>
    </row>
    <row r="324" spans="1:9" ht="12.5">
      <c r="A324" s="7">
        <v>323</v>
      </c>
      <c r="B324" s="8">
        <v>40557</v>
      </c>
      <c r="C324" s="9">
        <v>22</v>
      </c>
      <c r="D324" s="9" t="str">
        <f>IF(Table1[[#This Row],[Hour]]&lt;6,"Night",IF(Table1[[#This Row],[Hour]]&lt;12,"Morning",IF(Table1[[#This Row],[Hour]]&lt;18,"Afternoon","Evening")))</f>
        <v>Evening</v>
      </c>
      <c r="E324" s="9" t="b">
        <v>0</v>
      </c>
      <c r="F324" s="9" t="s">
        <v>24</v>
      </c>
      <c r="G324" s="9" t="s">
        <v>9</v>
      </c>
      <c r="H324" s="10">
        <v>0.16</v>
      </c>
      <c r="I324" s="41"/>
    </row>
    <row r="325" spans="1:9" ht="12.5">
      <c r="A325" s="7">
        <v>324</v>
      </c>
      <c r="B325" s="8">
        <v>40557</v>
      </c>
      <c r="C325" s="9">
        <v>23</v>
      </c>
      <c r="D325" s="9" t="str">
        <f>IF(Table1[[#This Row],[Hour]]&lt;6,"Night",IF(Table1[[#This Row],[Hour]]&lt;12,"Morning",IF(Table1[[#This Row],[Hour]]&lt;18,"Afternoon","Evening")))</f>
        <v>Evening</v>
      </c>
      <c r="E325" s="9" t="b">
        <v>0</v>
      </c>
      <c r="F325" s="9" t="s">
        <v>24</v>
      </c>
      <c r="G325" s="9" t="s">
        <v>9</v>
      </c>
      <c r="H325" s="10">
        <v>0.18</v>
      </c>
      <c r="I325" s="41"/>
    </row>
    <row r="326" spans="1:9" ht="12.5">
      <c r="A326" s="7">
        <v>325</v>
      </c>
      <c r="B326" s="8">
        <v>40558</v>
      </c>
      <c r="C326" s="9">
        <v>0</v>
      </c>
      <c r="D326" s="9" t="str">
        <f>IF(Table1[[#This Row],[Hour]]&lt;6,"Night",IF(Table1[[#This Row],[Hour]]&lt;12,"Morning",IF(Table1[[#This Row],[Hour]]&lt;18,"Afternoon","Evening")))</f>
        <v>Night</v>
      </c>
      <c r="E326" s="9" t="b">
        <v>0</v>
      </c>
      <c r="F326" s="9" t="s">
        <v>25</v>
      </c>
      <c r="G326" s="9" t="s">
        <v>8</v>
      </c>
      <c r="H326" s="10">
        <v>0.18</v>
      </c>
      <c r="I326" s="41"/>
    </row>
    <row r="327" spans="1:9" ht="12.5">
      <c r="A327" s="7">
        <v>326</v>
      </c>
      <c r="B327" s="8">
        <v>40558</v>
      </c>
      <c r="C327" s="9">
        <v>1</v>
      </c>
      <c r="D327" s="9" t="str">
        <f>IF(Table1[[#This Row],[Hour]]&lt;6,"Night",IF(Table1[[#This Row],[Hour]]&lt;12,"Morning",IF(Table1[[#This Row],[Hour]]&lt;18,"Afternoon","Evening")))</f>
        <v>Night</v>
      </c>
      <c r="E327" s="9" t="b">
        <v>0</v>
      </c>
      <c r="F327" s="9" t="s">
        <v>25</v>
      </c>
      <c r="G327" s="9" t="s">
        <v>9</v>
      </c>
      <c r="H327" s="10">
        <v>0.16</v>
      </c>
      <c r="I327" s="41"/>
    </row>
    <row r="328" spans="1:9" ht="12.5">
      <c r="A328" s="7">
        <v>327</v>
      </c>
      <c r="B328" s="8">
        <v>40558</v>
      </c>
      <c r="C328" s="9">
        <v>2</v>
      </c>
      <c r="D328" s="9" t="str">
        <f>IF(Table1[[#This Row],[Hour]]&lt;6,"Night",IF(Table1[[#This Row],[Hour]]&lt;12,"Morning",IF(Table1[[#This Row],[Hour]]&lt;18,"Afternoon","Evening")))</f>
        <v>Night</v>
      </c>
      <c r="E328" s="9" t="b">
        <v>0</v>
      </c>
      <c r="F328" s="9" t="s">
        <v>25</v>
      </c>
      <c r="G328" s="9" t="s">
        <v>9</v>
      </c>
      <c r="H328" s="10">
        <v>0.16</v>
      </c>
      <c r="I328" s="41"/>
    </row>
    <row r="329" spans="1:9" ht="12.5">
      <c r="A329" s="7">
        <v>328</v>
      </c>
      <c r="B329" s="8">
        <v>40558</v>
      </c>
      <c r="C329" s="9">
        <v>3</v>
      </c>
      <c r="D329" s="9" t="str">
        <f>IF(Table1[[#This Row],[Hour]]&lt;6,"Night",IF(Table1[[#This Row],[Hour]]&lt;12,"Morning",IF(Table1[[#This Row],[Hour]]&lt;18,"Afternoon","Evening")))</f>
        <v>Night</v>
      </c>
      <c r="E329" s="9" t="b">
        <v>0</v>
      </c>
      <c r="F329" s="9" t="s">
        <v>25</v>
      </c>
      <c r="G329" s="9" t="s">
        <v>9</v>
      </c>
      <c r="H329" s="10">
        <v>0.16</v>
      </c>
      <c r="I329" s="41"/>
    </row>
    <row r="330" spans="1:9" ht="12.5">
      <c r="A330" s="7">
        <v>329</v>
      </c>
      <c r="B330" s="8">
        <v>40558</v>
      </c>
      <c r="C330" s="9">
        <v>4</v>
      </c>
      <c r="D330" s="9" t="str">
        <f>IF(Table1[[#This Row],[Hour]]&lt;6,"Night",IF(Table1[[#This Row],[Hour]]&lt;12,"Morning",IF(Table1[[#This Row],[Hour]]&lt;18,"Afternoon","Evening")))</f>
        <v>Night</v>
      </c>
      <c r="E330" s="9" t="b">
        <v>0</v>
      </c>
      <c r="F330" s="9" t="s">
        <v>25</v>
      </c>
      <c r="G330" s="9" t="s">
        <v>9</v>
      </c>
      <c r="H330" s="10">
        <v>0.16</v>
      </c>
      <c r="I330" s="41"/>
    </row>
    <row r="331" spans="1:9" ht="12.5">
      <c r="A331" s="7">
        <v>330</v>
      </c>
      <c r="B331" s="8">
        <v>40558</v>
      </c>
      <c r="C331" s="9">
        <v>5</v>
      </c>
      <c r="D331" s="9" t="str">
        <f>IF(Table1[[#This Row],[Hour]]&lt;6,"Night",IF(Table1[[#This Row],[Hour]]&lt;12,"Morning",IF(Table1[[#This Row],[Hour]]&lt;18,"Afternoon","Evening")))</f>
        <v>Night</v>
      </c>
      <c r="E331" s="9" t="b">
        <v>0</v>
      </c>
      <c r="F331" s="9" t="s">
        <v>25</v>
      </c>
      <c r="G331" s="9" t="s">
        <v>8</v>
      </c>
      <c r="H331" s="10">
        <v>0.16</v>
      </c>
      <c r="I331" s="41"/>
    </row>
    <row r="332" spans="1:9" ht="12.5">
      <c r="A332" s="7">
        <v>331</v>
      </c>
      <c r="B332" s="8">
        <v>40558</v>
      </c>
      <c r="C332" s="9">
        <v>6</v>
      </c>
      <c r="D332" s="9" t="str">
        <f>IF(Table1[[#This Row],[Hour]]&lt;6,"Night",IF(Table1[[#This Row],[Hour]]&lt;12,"Morning",IF(Table1[[#This Row],[Hour]]&lt;18,"Afternoon","Evening")))</f>
        <v>Morning</v>
      </c>
      <c r="E332" s="9" t="b">
        <v>0</v>
      </c>
      <c r="F332" s="9" t="s">
        <v>25</v>
      </c>
      <c r="G332" s="9" t="s">
        <v>8</v>
      </c>
      <c r="H332" s="10">
        <v>0.14000000000000001</v>
      </c>
      <c r="I332" s="41"/>
    </row>
    <row r="333" spans="1:9" ht="12.5">
      <c r="A333" s="7">
        <v>332</v>
      </c>
      <c r="B333" s="8">
        <v>40558</v>
      </c>
      <c r="C333" s="9">
        <v>7</v>
      </c>
      <c r="D333" s="9" t="str">
        <f>IF(Table1[[#This Row],[Hour]]&lt;6,"Night",IF(Table1[[#This Row],[Hour]]&lt;12,"Morning",IF(Table1[[#This Row],[Hour]]&lt;18,"Afternoon","Evening")))</f>
        <v>Morning</v>
      </c>
      <c r="E333" s="9" t="b">
        <v>0</v>
      </c>
      <c r="F333" s="9" t="s">
        <v>25</v>
      </c>
      <c r="G333" s="9" t="s">
        <v>8</v>
      </c>
      <c r="H333" s="10">
        <v>0.14000000000000001</v>
      </c>
      <c r="I333" s="41"/>
    </row>
    <row r="334" spans="1:9" ht="12.5">
      <c r="A334" s="7">
        <v>333</v>
      </c>
      <c r="B334" s="8">
        <v>40558</v>
      </c>
      <c r="C334" s="9">
        <v>8</v>
      </c>
      <c r="D334" s="9" t="str">
        <f>IF(Table1[[#This Row],[Hour]]&lt;6,"Night",IF(Table1[[#This Row],[Hour]]&lt;12,"Morning",IF(Table1[[#This Row],[Hour]]&lt;18,"Afternoon","Evening")))</f>
        <v>Morning</v>
      </c>
      <c r="E334" s="9" t="b">
        <v>0</v>
      </c>
      <c r="F334" s="9" t="s">
        <v>25</v>
      </c>
      <c r="G334" s="9" t="s">
        <v>8</v>
      </c>
      <c r="H334" s="10">
        <v>0.14000000000000001</v>
      </c>
      <c r="I334" s="41"/>
    </row>
    <row r="335" spans="1:9" ht="12.5">
      <c r="A335" s="7">
        <v>334</v>
      </c>
      <c r="B335" s="8">
        <v>40558</v>
      </c>
      <c r="C335" s="9">
        <v>9</v>
      </c>
      <c r="D335" s="9" t="str">
        <f>IF(Table1[[#This Row],[Hour]]&lt;6,"Night",IF(Table1[[#This Row],[Hour]]&lt;12,"Morning",IF(Table1[[#This Row],[Hour]]&lt;18,"Afternoon","Evening")))</f>
        <v>Morning</v>
      </c>
      <c r="E335" s="9" t="b">
        <v>0</v>
      </c>
      <c r="F335" s="9" t="s">
        <v>25</v>
      </c>
      <c r="G335" s="9" t="s">
        <v>8</v>
      </c>
      <c r="H335" s="10">
        <v>0.16</v>
      </c>
      <c r="I335" s="41"/>
    </row>
    <row r="336" spans="1:9" ht="12.5">
      <c r="A336" s="7">
        <v>335</v>
      </c>
      <c r="B336" s="8">
        <v>40558</v>
      </c>
      <c r="C336" s="9">
        <v>10</v>
      </c>
      <c r="D336" s="9" t="str">
        <f>IF(Table1[[#This Row],[Hour]]&lt;6,"Night",IF(Table1[[#This Row],[Hour]]&lt;12,"Morning",IF(Table1[[#This Row],[Hour]]&lt;18,"Afternoon","Evening")))</f>
        <v>Morning</v>
      </c>
      <c r="E336" s="9" t="b">
        <v>0</v>
      </c>
      <c r="F336" s="9" t="s">
        <v>25</v>
      </c>
      <c r="G336" s="9" t="s">
        <v>8</v>
      </c>
      <c r="H336" s="10">
        <v>0.18</v>
      </c>
      <c r="I336" s="41"/>
    </row>
    <row r="337" spans="1:9" ht="12.5">
      <c r="A337" s="7">
        <v>336</v>
      </c>
      <c r="B337" s="8">
        <v>40558</v>
      </c>
      <c r="C337" s="9">
        <v>11</v>
      </c>
      <c r="D337" s="9" t="str">
        <f>IF(Table1[[#This Row],[Hour]]&lt;6,"Night",IF(Table1[[#This Row],[Hour]]&lt;12,"Morning",IF(Table1[[#This Row],[Hour]]&lt;18,"Afternoon","Evening")))</f>
        <v>Morning</v>
      </c>
      <c r="E337" s="9" t="b">
        <v>0</v>
      </c>
      <c r="F337" s="9" t="s">
        <v>25</v>
      </c>
      <c r="G337" s="9" t="s">
        <v>8</v>
      </c>
      <c r="H337" s="10">
        <v>0.2</v>
      </c>
      <c r="I337" s="41"/>
    </row>
    <row r="338" spans="1:9" ht="12.5">
      <c r="A338" s="7">
        <v>337</v>
      </c>
      <c r="B338" s="8">
        <v>40558</v>
      </c>
      <c r="C338" s="9">
        <v>12</v>
      </c>
      <c r="D338" s="9" t="str">
        <f>IF(Table1[[#This Row],[Hour]]&lt;6,"Night",IF(Table1[[#This Row],[Hour]]&lt;12,"Morning",IF(Table1[[#This Row],[Hour]]&lt;18,"Afternoon","Evening")))</f>
        <v>Afternoon</v>
      </c>
      <c r="E338" s="9" t="b">
        <v>0</v>
      </c>
      <c r="F338" s="9" t="s">
        <v>25</v>
      </c>
      <c r="G338" s="9" t="s">
        <v>8</v>
      </c>
      <c r="H338" s="10">
        <v>0.24</v>
      </c>
      <c r="I338" s="41"/>
    </row>
    <row r="339" spans="1:9" ht="12.5">
      <c r="A339" s="7">
        <v>338</v>
      </c>
      <c r="B339" s="8">
        <v>40558</v>
      </c>
      <c r="C339" s="9">
        <v>13</v>
      </c>
      <c r="D339" s="9" t="str">
        <f>IF(Table1[[#This Row],[Hour]]&lt;6,"Night",IF(Table1[[#This Row],[Hour]]&lt;12,"Morning",IF(Table1[[#This Row],[Hour]]&lt;18,"Afternoon","Evening")))</f>
        <v>Afternoon</v>
      </c>
      <c r="E339" s="9" t="b">
        <v>0</v>
      </c>
      <c r="F339" s="9" t="s">
        <v>25</v>
      </c>
      <c r="G339" s="9" t="s">
        <v>8</v>
      </c>
      <c r="H339" s="10">
        <v>0.28000000000000003</v>
      </c>
      <c r="I339" s="41"/>
    </row>
    <row r="340" spans="1:9" ht="12.5">
      <c r="A340" s="7">
        <v>339</v>
      </c>
      <c r="B340" s="8">
        <v>40558</v>
      </c>
      <c r="C340" s="9">
        <v>14</v>
      </c>
      <c r="D340" s="9" t="str">
        <f>IF(Table1[[#This Row],[Hour]]&lt;6,"Night",IF(Table1[[#This Row],[Hour]]&lt;12,"Morning",IF(Table1[[#This Row],[Hour]]&lt;18,"Afternoon","Evening")))</f>
        <v>Afternoon</v>
      </c>
      <c r="E340" s="9" t="b">
        <v>0</v>
      </c>
      <c r="F340" s="9" t="s">
        <v>25</v>
      </c>
      <c r="G340" s="9" t="s">
        <v>8</v>
      </c>
      <c r="H340" s="10">
        <v>0.3</v>
      </c>
      <c r="I340" s="41"/>
    </row>
    <row r="341" spans="1:9" ht="12.5">
      <c r="A341" s="7">
        <v>340</v>
      </c>
      <c r="B341" s="8">
        <v>40558</v>
      </c>
      <c r="C341" s="9">
        <v>15</v>
      </c>
      <c r="D341" s="9" t="str">
        <f>IF(Table1[[#This Row],[Hour]]&lt;6,"Night",IF(Table1[[#This Row],[Hour]]&lt;12,"Morning",IF(Table1[[#This Row],[Hour]]&lt;18,"Afternoon","Evening")))</f>
        <v>Afternoon</v>
      </c>
      <c r="E341" s="9" t="b">
        <v>0</v>
      </c>
      <c r="F341" s="9" t="s">
        <v>25</v>
      </c>
      <c r="G341" s="9" t="s">
        <v>9</v>
      </c>
      <c r="H341" s="10">
        <v>0.32</v>
      </c>
      <c r="I341" s="41"/>
    </row>
    <row r="342" spans="1:9" ht="12.5">
      <c r="A342" s="7">
        <v>341</v>
      </c>
      <c r="B342" s="8">
        <v>40558</v>
      </c>
      <c r="C342" s="9">
        <v>16</v>
      </c>
      <c r="D342" s="9" t="str">
        <f>IF(Table1[[#This Row],[Hour]]&lt;6,"Night",IF(Table1[[#This Row],[Hour]]&lt;12,"Morning",IF(Table1[[#This Row],[Hour]]&lt;18,"Afternoon","Evening")))</f>
        <v>Afternoon</v>
      </c>
      <c r="E342" s="9" t="b">
        <v>0</v>
      </c>
      <c r="F342" s="9" t="s">
        <v>25</v>
      </c>
      <c r="G342" s="9" t="s">
        <v>9</v>
      </c>
      <c r="H342" s="10">
        <v>0.34</v>
      </c>
      <c r="I342" s="41"/>
    </row>
    <row r="343" spans="1:9" ht="12.5">
      <c r="A343" s="7">
        <v>342</v>
      </c>
      <c r="B343" s="8">
        <v>40558</v>
      </c>
      <c r="C343" s="9">
        <v>17</v>
      </c>
      <c r="D343" s="9" t="str">
        <f>IF(Table1[[#This Row],[Hour]]&lt;6,"Night",IF(Table1[[#This Row],[Hour]]&lt;12,"Morning",IF(Table1[[#This Row],[Hour]]&lt;18,"Afternoon","Evening")))</f>
        <v>Afternoon</v>
      </c>
      <c r="E343" s="9" t="b">
        <v>0</v>
      </c>
      <c r="F343" s="9" t="s">
        <v>25</v>
      </c>
      <c r="G343" s="9" t="s">
        <v>9</v>
      </c>
      <c r="H343" s="10">
        <v>0.32</v>
      </c>
      <c r="I343" s="41"/>
    </row>
    <row r="344" spans="1:9" ht="12.5">
      <c r="A344" s="7">
        <v>343</v>
      </c>
      <c r="B344" s="8">
        <v>40558</v>
      </c>
      <c r="C344" s="9">
        <v>18</v>
      </c>
      <c r="D344" s="9" t="str">
        <f>IF(Table1[[#This Row],[Hour]]&lt;6,"Night",IF(Table1[[#This Row],[Hour]]&lt;12,"Morning",IF(Table1[[#This Row],[Hour]]&lt;18,"Afternoon","Evening")))</f>
        <v>Evening</v>
      </c>
      <c r="E344" s="9" t="b">
        <v>0</v>
      </c>
      <c r="F344" s="9" t="s">
        <v>25</v>
      </c>
      <c r="G344" s="9" t="s">
        <v>9</v>
      </c>
      <c r="H344" s="10">
        <v>0.3</v>
      </c>
      <c r="I344" s="41"/>
    </row>
    <row r="345" spans="1:9" ht="12.5">
      <c r="A345" s="7">
        <v>344</v>
      </c>
      <c r="B345" s="8">
        <v>40558</v>
      </c>
      <c r="C345" s="9">
        <v>19</v>
      </c>
      <c r="D345" s="9" t="str">
        <f>IF(Table1[[#This Row],[Hour]]&lt;6,"Night",IF(Table1[[#This Row],[Hour]]&lt;12,"Morning",IF(Table1[[#This Row],[Hour]]&lt;18,"Afternoon","Evening")))</f>
        <v>Evening</v>
      </c>
      <c r="E345" s="9" t="b">
        <v>0</v>
      </c>
      <c r="F345" s="9" t="s">
        <v>25</v>
      </c>
      <c r="G345" s="9" t="s">
        <v>9</v>
      </c>
      <c r="H345" s="10">
        <v>0.32</v>
      </c>
      <c r="I345" s="41"/>
    </row>
    <row r="346" spans="1:9" ht="12.5">
      <c r="A346" s="7">
        <v>345</v>
      </c>
      <c r="B346" s="8">
        <v>40558</v>
      </c>
      <c r="C346" s="9">
        <v>20</v>
      </c>
      <c r="D346" s="9" t="str">
        <f>IF(Table1[[#This Row],[Hour]]&lt;6,"Night",IF(Table1[[#This Row],[Hour]]&lt;12,"Morning",IF(Table1[[#This Row],[Hour]]&lt;18,"Afternoon","Evening")))</f>
        <v>Evening</v>
      </c>
      <c r="E346" s="9" t="b">
        <v>0</v>
      </c>
      <c r="F346" s="9" t="s">
        <v>25</v>
      </c>
      <c r="G346" s="9" t="s">
        <v>9</v>
      </c>
      <c r="H346" s="10">
        <v>0.32</v>
      </c>
      <c r="I346" s="41"/>
    </row>
    <row r="347" spans="1:9" ht="12.5">
      <c r="A347" s="7">
        <v>346</v>
      </c>
      <c r="B347" s="8">
        <v>40558</v>
      </c>
      <c r="C347" s="9">
        <v>21</v>
      </c>
      <c r="D347" s="9" t="str">
        <f>IF(Table1[[#This Row],[Hour]]&lt;6,"Night",IF(Table1[[#This Row],[Hour]]&lt;12,"Morning",IF(Table1[[#This Row],[Hour]]&lt;18,"Afternoon","Evening")))</f>
        <v>Evening</v>
      </c>
      <c r="E347" s="9" t="b">
        <v>0</v>
      </c>
      <c r="F347" s="9" t="s">
        <v>25</v>
      </c>
      <c r="G347" s="9" t="s">
        <v>9</v>
      </c>
      <c r="H347" s="10">
        <v>0.32</v>
      </c>
      <c r="I347" s="41"/>
    </row>
    <row r="348" spans="1:9" ht="12.5">
      <c r="A348" s="7">
        <v>347</v>
      </c>
      <c r="B348" s="8">
        <v>40558</v>
      </c>
      <c r="C348" s="9">
        <v>22</v>
      </c>
      <c r="D348" s="9" t="str">
        <f>IF(Table1[[#This Row],[Hour]]&lt;6,"Night",IF(Table1[[#This Row],[Hour]]&lt;12,"Morning",IF(Table1[[#This Row],[Hour]]&lt;18,"Afternoon","Evening")))</f>
        <v>Evening</v>
      </c>
      <c r="E348" s="9" t="b">
        <v>0</v>
      </c>
      <c r="F348" s="9" t="s">
        <v>25</v>
      </c>
      <c r="G348" s="9" t="s">
        <v>9</v>
      </c>
      <c r="H348" s="10">
        <v>0.3</v>
      </c>
      <c r="I348" s="41"/>
    </row>
    <row r="349" spans="1:9" ht="12.5">
      <c r="A349" s="7">
        <v>348</v>
      </c>
      <c r="B349" s="8">
        <v>40558</v>
      </c>
      <c r="C349" s="9">
        <v>23</v>
      </c>
      <c r="D349" s="9" t="str">
        <f>IF(Table1[[#This Row],[Hour]]&lt;6,"Night",IF(Table1[[#This Row],[Hour]]&lt;12,"Morning",IF(Table1[[#This Row],[Hour]]&lt;18,"Afternoon","Evening")))</f>
        <v>Evening</v>
      </c>
      <c r="E349" s="9" t="b">
        <v>0</v>
      </c>
      <c r="F349" s="9" t="s">
        <v>25</v>
      </c>
      <c r="G349" s="9" t="s">
        <v>8</v>
      </c>
      <c r="H349" s="10">
        <v>0.3</v>
      </c>
      <c r="I349" s="41"/>
    </row>
    <row r="350" spans="1:9" ht="12.5">
      <c r="A350" s="7">
        <v>349</v>
      </c>
      <c r="B350" s="8">
        <v>40559</v>
      </c>
      <c r="C350" s="9">
        <v>0</v>
      </c>
      <c r="D350" s="9" t="str">
        <f>IF(Table1[[#This Row],[Hour]]&lt;6,"Night",IF(Table1[[#This Row],[Hour]]&lt;12,"Morning",IF(Table1[[#This Row],[Hour]]&lt;18,"Afternoon","Evening")))</f>
        <v>Night</v>
      </c>
      <c r="E350" s="9" t="b">
        <v>0</v>
      </c>
      <c r="F350" s="9" t="s">
        <v>19</v>
      </c>
      <c r="G350" s="9" t="s">
        <v>8</v>
      </c>
      <c r="H350" s="10">
        <v>0.26</v>
      </c>
      <c r="I350" s="41"/>
    </row>
    <row r="351" spans="1:9" ht="12.5">
      <c r="A351" s="7">
        <v>350</v>
      </c>
      <c r="B351" s="8">
        <v>40559</v>
      </c>
      <c r="C351" s="9">
        <v>1</v>
      </c>
      <c r="D351" s="9" t="str">
        <f>IF(Table1[[#This Row],[Hour]]&lt;6,"Night",IF(Table1[[#This Row],[Hour]]&lt;12,"Morning",IF(Table1[[#This Row],[Hour]]&lt;18,"Afternoon","Evening")))</f>
        <v>Night</v>
      </c>
      <c r="E351" s="9" t="b">
        <v>0</v>
      </c>
      <c r="F351" s="9" t="s">
        <v>19</v>
      </c>
      <c r="G351" s="9" t="s">
        <v>8</v>
      </c>
      <c r="H351" s="10">
        <v>0.26</v>
      </c>
      <c r="I351" s="41"/>
    </row>
    <row r="352" spans="1:9" ht="12.5">
      <c r="A352" s="7">
        <v>351</v>
      </c>
      <c r="B352" s="8">
        <v>40559</v>
      </c>
      <c r="C352" s="9">
        <v>2</v>
      </c>
      <c r="D352" s="9" t="str">
        <f>IF(Table1[[#This Row],[Hour]]&lt;6,"Night",IF(Table1[[#This Row],[Hour]]&lt;12,"Morning",IF(Table1[[#This Row],[Hour]]&lt;18,"Afternoon","Evening")))</f>
        <v>Night</v>
      </c>
      <c r="E352" s="9" t="b">
        <v>0</v>
      </c>
      <c r="F352" s="9" t="s">
        <v>19</v>
      </c>
      <c r="G352" s="9" t="s">
        <v>8</v>
      </c>
      <c r="H352" s="10">
        <v>0.26</v>
      </c>
      <c r="I352" s="41"/>
    </row>
    <row r="353" spans="1:9" ht="12.5">
      <c r="A353" s="7">
        <v>352</v>
      </c>
      <c r="B353" s="8">
        <v>40559</v>
      </c>
      <c r="C353" s="9">
        <v>3</v>
      </c>
      <c r="D353" s="9" t="str">
        <f>IF(Table1[[#This Row],[Hour]]&lt;6,"Night",IF(Table1[[#This Row],[Hour]]&lt;12,"Morning",IF(Table1[[#This Row],[Hour]]&lt;18,"Afternoon","Evening")))</f>
        <v>Night</v>
      </c>
      <c r="E353" s="9" t="b">
        <v>0</v>
      </c>
      <c r="F353" s="9" t="s">
        <v>19</v>
      </c>
      <c r="G353" s="9" t="s">
        <v>8</v>
      </c>
      <c r="H353" s="10">
        <v>0.22</v>
      </c>
      <c r="I353" s="41"/>
    </row>
    <row r="354" spans="1:9" ht="12.5">
      <c r="A354" s="7">
        <v>353</v>
      </c>
      <c r="B354" s="8">
        <v>40559</v>
      </c>
      <c r="C354" s="9">
        <v>4</v>
      </c>
      <c r="D354" s="9" t="str">
        <f>IF(Table1[[#This Row],[Hour]]&lt;6,"Night",IF(Table1[[#This Row],[Hour]]&lt;12,"Morning",IF(Table1[[#This Row],[Hour]]&lt;18,"Afternoon","Evening")))</f>
        <v>Night</v>
      </c>
      <c r="E354" s="9" t="b">
        <v>0</v>
      </c>
      <c r="F354" s="9" t="s">
        <v>19</v>
      </c>
      <c r="G354" s="9" t="s">
        <v>8</v>
      </c>
      <c r="H354" s="10">
        <v>0.26</v>
      </c>
      <c r="I354" s="41"/>
    </row>
    <row r="355" spans="1:9" ht="12.5">
      <c r="A355" s="7">
        <v>354</v>
      </c>
      <c r="B355" s="8">
        <v>40559</v>
      </c>
      <c r="C355" s="9">
        <v>5</v>
      </c>
      <c r="D355" s="9" t="str">
        <f>IF(Table1[[#This Row],[Hour]]&lt;6,"Night",IF(Table1[[#This Row],[Hour]]&lt;12,"Morning",IF(Table1[[#This Row],[Hour]]&lt;18,"Afternoon","Evening")))</f>
        <v>Night</v>
      </c>
      <c r="E355" s="9" t="b">
        <v>0</v>
      </c>
      <c r="F355" s="9" t="s">
        <v>19</v>
      </c>
      <c r="G355" s="9" t="s">
        <v>9</v>
      </c>
      <c r="H355" s="10">
        <v>0.26</v>
      </c>
      <c r="I355" s="41"/>
    </row>
    <row r="356" spans="1:9" ht="12.5">
      <c r="A356" s="7">
        <v>355</v>
      </c>
      <c r="B356" s="8">
        <v>40559</v>
      </c>
      <c r="C356" s="9">
        <v>6</v>
      </c>
      <c r="D356" s="9" t="str">
        <f>IF(Table1[[#This Row],[Hour]]&lt;6,"Night",IF(Table1[[#This Row],[Hour]]&lt;12,"Morning",IF(Table1[[#This Row],[Hour]]&lt;18,"Afternoon","Evening")))</f>
        <v>Morning</v>
      </c>
      <c r="E356" s="9" t="b">
        <v>0</v>
      </c>
      <c r="F356" s="9" t="s">
        <v>19</v>
      </c>
      <c r="G356" s="9" t="s">
        <v>9</v>
      </c>
      <c r="H356" s="10">
        <v>0.26</v>
      </c>
      <c r="I356" s="41"/>
    </row>
    <row r="357" spans="1:9" ht="12.5">
      <c r="A357" s="7">
        <v>356</v>
      </c>
      <c r="B357" s="8">
        <v>40559</v>
      </c>
      <c r="C357" s="9">
        <v>7</v>
      </c>
      <c r="D357" s="9" t="str">
        <f>IF(Table1[[#This Row],[Hour]]&lt;6,"Night",IF(Table1[[#This Row],[Hour]]&lt;12,"Morning",IF(Table1[[#This Row],[Hour]]&lt;18,"Afternoon","Evening")))</f>
        <v>Morning</v>
      </c>
      <c r="E357" s="9" t="b">
        <v>0</v>
      </c>
      <c r="F357" s="9" t="s">
        <v>19</v>
      </c>
      <c r="G357" s="9" t="s">
        <v>9</v>
      </c>
      <c r="H357" s="10">
        <v>0.24</v>
      </c>
      <c r="I357" s="41"/>
    </row>
    <row r="358" spans="1:9" ht="12.5">
      <c r="A358" s="7">
        <v>357</v>
      </c>
      <c r="B358" s="8">
        <v>40559</v>
      </c>
      <c r="C358" s="9">
        <v>8</v>
      </c>
      <c r="D358" s="9" t="str">
        <f>IF(Table1[[#This Row],[Hour]]&lt;6,"Night",IF(Table1[[#This Row],[Hour]]&lt;12,"Morning",IF(Table1[[#This Row],[Hour]]&lt;18,"Afternoon","Evening")))</f>
        <v>Morning</v>
      </c>
      <c r="E358" s="9" t="b">
        <v>0</v>
      </c>
      <c r="F358" s="9" t="s">
        <v>19</v>
      </c>
      <c r="G358" s="9" t="s">
        <v>8</v>
      </c>
      <c r="H358" s="10">
        <v>0.22</v>
      </c>
      <c r="I358" s="41"/>
    </row>
    <row r="359" spans="1:9" ht="12.5">
      <c r="A359" s="7">
        <v>358</v>
      </c>
      <c r="B359" s="8">
        <v>40559</v>
      </c>
      <c r="C359" s="9">
        <v>9</v>
      </c>
      <c r="D359" s="9" t="str">
        <f>IF(Table1[[#This Row],[Hour]]&lt;6,"Night",IF(Table1[[#This Row],[Hour]]&lt;12,"Morning",IF(Table1[[#This Row],[Hour]]&lt;18,"Afternoon","Evening")))</f>
        <v>Morning</v>
      </c>
      <c r="E359" s="9" t="b">
        <v>0</v>
      </c>
      <c r="F359" s="9" t="s">
        <v>19</v>
      </c>
      <c r="G359" s="9" t="s">
        <v>8</v>
      </c>
      <c r="H359" s="10">
        <v>0.22</v>
      </c>
      <c r="I359" s="41"/>
    </row>
    <row r="360" spans="1:9" ht="12.5">
      <c r="A360" s="7">
        <v>359</v>
      </c>
      <c r="B360" s="8">
        <v>40559</v>
      </c>
      <c r="C360" s="9">
        <v>10</v>
      </c>
      <c r="D360" s="9" t="str">
        <f>IF(Table1[[#This Row],[Hour]]&lt;6,"Night",IF(Table1[[#This Row],[Hour]]&lt;12,"Morning",IF(Table1[[#This Row],[Hour]]&lt;18,"Afternoon","Evening")))</f>
        <v>Morning</v>
      </c>
      <c r="E360" s="9" t="b">
        <v>0</v>
      </c>
      <c r="F360" s="9" t="s">
        <v>19</v>
      </c>
      <c r="G360" s="9" t="s">
        <v>8</v>
      </c>
      <c r="H360" s="10">
        <v>0.22</v>
      </c>
      <c r="I360" s="41"/>
    </row>
    <row r="361" spans="1:9" ht="12.5">
      <c r="A361" s="7">
        <v>360</v>
      </c>
      <c r="B361" s="8">
        <v>40559</v>
      </c>
      <c r="C361" s="9">
        <v>11</v>
      </c>
      <c r="D361" s="9" t="str">
        <f>IF(Table1[[#This Row],[Hour]]&lt;6,"Night",IF(Table1[[#This Row],[Hour]]&lt;12,"Morning",IF(Table1[[#This Row],[Hour]]&lt;18,"Afternoon","Evening")))</f>
        <v>Morning</v>
      </c>
      <c r="E361" s="9" t="b">
        <v>0</v>
      </c>
      <c r="F361" s="9" t="s">
        <v>19</v>
      </c>
      <c r="G361" s="9" t="s">
        <v>8</v>
      </c>
      <c r="H361" s="10">
        <v>0.24</v>
      </c>
      <c r="I361" s="41"/>
    </row>
    <row r="362" spans="1:9" ht="12.5">
      <c r="A362" s="7">
        <v>361</v>
      </c>
      <c r="B362" s="8">
        <v>40559</v>
      </c>
      <c r="C362" s="9">
        <v>12</v>
      </c>
      <c r="D362" s="9" t="str">
        <f>IF(Table1[[#This Row],[Hour]]&lt;6,"Night",IF(Table1[[#This Row],[Hour]]&lt;12,"Morning",IF(Table1[[#This Row],[Hour]]&lt;18,"Afternoon","Evening")))</f>
        <v>Afternoon</v>
      </c>
      <c r="E362" s="9" t="b">
        <v>0</v>
      </c>
      <c r="F362" s="9" t="s">
        <v>19</v>
      </c>
      <c r="G362" s="9" t="s">
        <v>8</v>
      </c>
      <c r="H362" s="10">
        <v>0.24</v>
      </c>
      <c r="I362" s="41"/>
    </row>
    <row r="363" spans="1:9" ht="12.5">
      <c r="A363" s="7">
        <v>362</v>
      </c>
      <c r="B363" s="8">
        <v>40559</v>
      </c>
      <c r="C363" s="9">
        <v>13</v>
      </c>
      <c r="D363" s="9" t="str">
        <f>IF(Table1[[#This Row],[Hour]]&lt;6,"Night",IF(Table1[[#This Row],[Hour]]&lt;12,"Morning",IF(Table1[[#This Row],[Hour]]&lt;18,"Afternoon","Evening")))</f>
        <v>Afternoon</v>
      </c>
      <c r="E363" s="9" t="b">
        <v>0</v>
      </c>
      <c r="F363" s="9" t="s">
        <v>19</v>
      </c>
      <c r="G363" s="9" t="s">
        <v>8</v>
      </c>
      <c r="H363" s="10">
        <v>0.26</v>
      </c>
      <c r="I363" s="41"/>
    </row>
    <row r="364" spans="1:9" ht="12.5">
      <c r="A364" s="7">
        <v>363</v>
      </c>
      <c r="B364" s="8">
        <v>40559</v>
      </c>
      <c r="C364" s="9">
        <v>14</v>
      </c>
      <c r="D364" s="9" t="str">
        <f>IF(Table1[[#This Row],[Hour]]&lt;6,"Night",IF(Table1[[#This Row],[Hour]]&lt;12,"Morning",IF(Table1[[#This Row],[Hour]]&lt;18,"Afternoon","Evening")))</f>
        <v>Afternoon</v>
      </c>
      <c r="E364" s="9" t="b">
        <v>0</v>
      </c>
      <c r="F364" s="9" t="s">
        <v>19</v>
      </c>
      <c r="G364" s="9" t="s">
        <v>8</v>
      </c>
      <c r="H364" s="10">
        <v>0.28000000000000003</v>
      </c>
      <c r="I364" s="41"/>
    </row>
    <row r="365" spans="1:9" ht="12.5">
      <c r="A365" s="7">
        <v>364</v>
      </c>
      <c r="B365" s="8">
        <v>40559</v>
      </c>
      <c r="C365" s="9">
        <v>15</v>
      </c>
      <c r="D365" s="9" t="str">
        <f>IF(Table1[[#This Row],[Hour]]&lt;6,"Night",IF(Table1[[#This Row],[Hour]]&lt;12,"Morning",IF(Table1[[#This Row],[Hour]]&lt;18,"Afternoon","Evening")))</f>
        <v>Afternoon</v>
      </c>
      <c r="E365" s="9" t="b">
        <v>0</v>
      </c>
      <c r="F365" s="9" t="s">
        <v>19</v>
      </c>
      <c r="G365" s="9" t="s">
        <v>8</v>
      </c>
      <c r="H365" s="10">
        <v>0.26</v>
      </c>
      <c r="I365" s="41"/>
    </row>
    <row r="366" spans="1:9" ht="12.5">
      <c r="A366" s="7">
        <v>365</v>
      </c>
      <c r="B366" s="8">
        <v>40559</v>
      </c>
      <c r="C366" s="9">
        <v>16</v>
      </c>
      <c r="D366" s="9" t="str">
        <f>IF(Table1[[#This Row],[Hour]]&lt;6,"Night",IF(Table1[[#This Row],[Hour]]&lt;12,"Morning",IF(Table1[[#This Row],[Hour]]&lt;18,"Afternoon","Evening")))</f>
        <v>Afternoon</v>
      </c>
      <c r="E366" s="9" t="b">
        <v>0</v>
      </c>
      <c r="F366" s="9" t="s">
        <v>19</v>
      </c>
      <c r="G366" s="9" t="s">
        <v>8</v>
      </c>
      <c r="H366" s="10">
        <v>0.24</v>
      </c>
      <c r="I366" s="41"/>
    </row>
    <row r="367" spans="1:9" ht="12.5">
      <c r="A367" s="7">
        <v>366</v>
      </c>
      <c r="B367" s="8">
        <v>40559</v>
      </c>
      <c r="C367" s="9">
        <v>17</v>
      </c>
      <c r="D367" s="9" t="str">
        <f>IF(Table1[[#This Row],[Hour]]&lt;6,"Night",IF(Table1[[#This Row],[Hour]]&lt;12,"Morning",IF(Table1[[#This Row],[Hour]]&lt;18,"Afternoon","Evening")))</f>
        <v>Afternoon</v>
      </c>
      <c r="E367" s="9" t="b">
        <v>0</v>
      </c>
      <c r="F367" s="9" t="s">
        <v>19</v>
      </c>
      <c r="G367" s="9" t="s">
        <v>8</v>
      </c>
      <c r="H367" s="10">
        <v>0.22</v>
      </c>
      <c r="I367" s="41"/>
    </row>
    <row r="368" spans="1:9" ht="12.5">
      <c r="A368" s="7">
        <v>367</v>
      </c>
      <c r="B368" s="8">
        <v>40559</v>
      </c>
      <c r="C368" s="9">
        <v>18</v>
      </c>
      <c r="D368" s="9" t="str">
        <f>IF(Table1[[#This Row],[Hour]]&lt;6,"Night",IF(Table1[[#This Row],[Hour]]&lt;12,"Morning",IF(Table1[[#This Row],[Hour]]&lt;18,"Afternoon","Evening")))</f>
        <v>Evening</v>
      </c>
      <c r="E368" s="9" t="b">
        <v>0</v>
      </c>
      <c r="F368" s="9" t="s">
        <v>19</v>
      </c>
      <c r="G368" s="9" t="s">
        <v>8</v>
      </c>
      <c r="H368" s="10">
        <v>0.2</v>
      </c>
      <c r="I368" s="41"/>
    </row>
    <row r="369" spans="1:9" ht="12.5">
      <c r="A369" s="7">
        <v>368</v>
      </c>
      <c r="B369" s="8">
        <v>40559</v>
      </c>
      <c r="C369" s="9">
        <v>19</v>
      </c>
      <c r="D369" s="9" t="str">
        <f>IF(Table1[[#This Row],[Hour]]&lt;6,"Night",IF(Table1[[#This Row],[Hour]]&lt;12,"Morning",IF(Table1[[#This Row],[Hour]]&lt;18,"Afternoon","Evening")))</f>
        <v>Evening</v>
      </c>
      <c r="E369" s="9" t="b">
        <v>0</v>
      </c>
      <c r="F369" s="9" t="s">
        <v>19</v>
      </c>
      <c r="G369" s="9" t="s">
        <v>8</v>
      </c>
      <c r="H369" s="10">
        <v>0.18</v>
      </c>
      <c r="I369" s="41"/>
    </row>
    <row r="370" spans="1:9" ht="12.5">
      <c r="A370" s="7">
        <v>369</v>
      </c>
      <c r="B370" s="8">
        <v>40559</v>
      </c>
      <c r="C370" s="9">
        <v>20</v>
      </c>
      <c r="D370" s="9" t="str">
        <f>IF(Table1[[#This Row],[Hour]]&lt;6,"Night",IF(Table1[[#This Row],[Hour]]&lt;12,"Morning",IF(Table1[[#This Row],[Hour]]&lt;18,"Afternoon","Evening")))</f>
        <v>Evening</v>
      </c>
      <c r="E370" s="9" t="b">
        <v>0</v>
      </c>
      <c r="F370" s="9" t="s">
        <v>19</v>
      </c>
      <c r="G370" s="9" t="s">
        <v>8</v>
      </c>
      <c r="H370" s="10">
        <v>0.18</v>
      </c>
      <c r="I370" s="41"/>
    </row>
    <row r="371" spans="1:9" ht="12.5">
      <c r="A371" s="7">
        <v>370</v>
      </c>
      <c r="B371" s="8">
        <v>40559</v>
      </c>
      <c r="C371" s="9">
        <v>21</v>
      </c>
      <c r="D371" s="9" t="str">
        <f>IF(Table1[[#This Row],[Hour]]&lt;6,"Night",IF(Table1[[#This Row],[Hour]]&lt;12,"Morning",IF(Table1[[#This Row],[Hour]]&lt;18,"Afternoon","Evening")))</f>
        <v>Evening</v>
      </c>
      <c r="E371" s="9" t="b">
        <v>0</v>
      </c>
      <c r="F371" s="9" t="s">
        <v>19</v>
      </c>
      <c r="G371" s="9" t="s">
        <v>8</v>
      </c>
      <c r="H371" s="10">
        <v>0.18</v>
      </c>
      <c r="I371" s="41"/>
    </row>
    <row r="372" spans="1:9" ht="12.5">
      <c r="A372" s="7">
        <v>371</v>
      </c>
      <c r="B372" s="8">
        <v>40559</v>
      </c>
      <c r="C372" s="9">
        <v>22</v>
      </c>
      <c r="D372" s="9" t="str">
        <f>IF(Table1[[#This Row],[Hour]]&lt;6,"Night",IF(Table1[[#This Row],[Hour]]&lt;12,"Morning",IF(Table1[[#This Row],[Hour]]&lt;18,"Afternoon","Evening")))</f>
        <v>Evening</v>
      </c>
      <c r="E372" s="9" t="b">
        <v>0</v>
      </c>
      <c r="F372" s="9" t="s">
        <v>19</v>
      </c>
      <c r="G372" s="9" t="s">
        <v>9</v>
      </c>
      <c r="H372" s="10">
        <v>0.2</v>
      </c>
      <c r="I372" s="41"/>
    </row>
    <row r="373" spans="1:9" ht="12.5">
      <c r="A373" s="7">
        <v>372</v>
      </c>
      <c r="B373" s="8">
        <v>40559</v>
      </c>
      <c r="C373" s="9">
        <v>23</v>
      </c>
      <c r="D373" s="9" t="str">
        <f>IF(Table1[[#This Row],[Hour]]&lt;6,"Night",IF(Table1[[#This Row],[Hour]]&lt;12,"Morning",IF(Table1[[#This Row],[Hour]]&lt;18,"Afternoon","Evening")))</f>
        <v>Evening</v>
      </c>
      <c r="E373" s="9" t="b">
        <v>0</v>
      </c>
      <c r="F373" s="9" t="s">
        <v>19</v>
      </c>
      <c r="G373" s="9" t="s">
        <v>9</v>
      </c>
      <c r="H373" s="10">
        <v>0.2</v>
      </c>
      <c r="I373" s="41"/>
    </row>
    <row r="374" spans="1:9" ht="12.5">
      <c r="A374" s="7">
        <v>373</v>
      </c>
      <c r="B374" s="8">
        <v>40560</v>
      </c>
      <c r="C374" s="9">
        <v>0</v>
      </c>
      <c r="D374" s="9" t="str">
        <f>IF(Table1[[#This Row],[Hour]]&lt;6,"Night",IF(Table1[[#This Row],[Hour]]&lt;12,"Morning",IF(Table1[[#This Row],[Hour]]&lt;18,"Afternoon","Evening")))</f>
        <v>Night</v>
      </c>
      <c r="E374" s="9" t="b">
        <v>1</v>
      </c>
      <c r="F374" s="9" t="s">
        <v>20</v>
      </c>
      <c r="G374" s="9" t="s">
        <v>9</v>
      </c>
      <c r="H374" s="10">
        <v>0.2</v>
      </c>
      <c r="I374" s="41"/>
    </row>
    <row r="375" spans="1:9" ht="12.5">
      <c r="A375" s="7">
        <v>374</v>
      </c>
      <c r="B375" s="8">
        <v>40560</v>
      </c>
      <c r="C375" s="9">
        <v>1</v>
      </c>
      <c r="D375" s="9" t="str">
        <f>IF(Table1[[#This Row],[Hour]]&lt;6,"Night",IF(Table1[[#This Row],[Hour]]&lt;12,"Morning",IF(Table1[[#This Row],[Hour]]&lt;18,"Afternoon","Evening")))</f>
        <v>Night</v>
      </c>
      <c r="E375" s="9" t="b">
        <v>1</v>
      </c>
      <c r="F375" s="9" t="s">
        <v>20</v>
      </c>
      <c r="G375" s="9" t="s">
        <v>9</v>
      </c>
      <c r="H375" s="10">
        <v>0.2</v>
      </c>
      <c r="I375" s="41"/>
    </row>
    <row r="376" spans="1:9" ht="12.5">
      <c r="A376" s="7">
        <v>375</v>
      </c>
      <c r="B376" s="8">
        <v>40560</v>
      </c>
      <c r="C376" s="9">
        <v>2</v>
      </c>
      <c r="D376" s="9" t="str">
        <f>IF(Table1[[#This Row],[Hour]]&lt;6,"Night",IF(Table1[[#This Row],[Hour]]&lt;12,"Morning",IF(Table1[[#This Row],[Hour]]&lt;18,"Afternoon","Evening")))</f>
        <v>Night</v>
      </c>
      <c r="E376" s="9" t="b">
        <v>1</v>
      </c>
      <c r="F376" s="9" t="s">
        <v>20</v>
      </c>
      <c r="G376" s="9" t="s">
        <v>9</v>
      </c>
      <c r="H376" s="10">
        <v>0.18</v>
      </c>
      <c r="I376" s="41"/>
    </row>
    <row r="377" spans="1:9" ht="12.5">
      <c r="A377" s="7">
        <v>376</v>
      </c>
      <c r="B377" s="8">
        <v>40560</v>
      </c>
      <c r="C377" s="9">
        <v>3</v>
      </c>
      <c r="D377" s="9" t="str">
        <f>IF(Table1[[#This Row],[Hour]]&lt;6,"Night",IF(Table1[[#This Row],[Hour]]&lt;12,"Morning",IF(Table1[[#This Row],[Hour]]&lt;18,"Afternoon","Evening")))</f>
        <v>Night</v>
      </c>
      <c r="E377" s="9" t="b">
        <v>1</v>
      </c>
      <c r="F377" s="9" t="s">
        <v>20</v>
      </c>
      <c r="G377" s="9" t="s">
        <v>9</v>
      </c>
      <c r="H377" s="10">
        <v>0.18</v>
      </c>
      <c r="I377" s="41"/>
    </row>
    <row r="378" spans="1:9" ht="12.5">
      <c r="A378" s="7">
        <v>377</v>
      </c>
      <c r="B378" s="8">
        <v>40560</v>
      </c>
      <c r="C378" s="9">
        <v>4</v>
      </c>
      <c r="D378" s="9" t="str">
        <f>IF(Table1[[#This Row],[Hour]]&lt;6,"Night",IF(Table1[[#This Row],[Hour]]&lt;12,"Morning",IF(Table1[[#This Row],[Hour]]&lt;18,"Afternoon","Evening")))</f>
        <v>Night</v>
      </c>
      <c r="E378" s="9" t="b">
        <v>1</v>
      </c>
      <c r="F378" s="9" t="s">
        <v>20</v>
      </c>
      <c r="G378" s="9" t="s">
        <v>9</v>
      </c>
      <c r="H378" s="10">
        <v>0.18</v>
      </c>
      <c r="I378" s="41"/>
    </row>
    <row r="379" spans="1:9" ht="12.5">
      <c r="A379" s="7">
        <v>378</v>
      </c>
      <c r="B379" s="8">
        <v>40560</v>
      </c>
      <c r="C379" s="9">
        <v>5</v>
      </c>
      <c r="D379" s="9" t="str">
        <f>IF(Table1[[#This Row],[Hour]]&lt;6,"Night",IF(Table1[[#This Row],[Hour]]&lt;12,"Morning",IF(Table1[[#This Row],[Hour]]&lt;18,"Afternoon","Evening")))</f>
        <v>Night</v>
      </c>
      <c r="E379" s="9" t="b">
        <v>1</v>
      </c>
      <c r="F379" s="9" t="s">
        <v>20</v>
      </c>
      <c r="G379" s="9" t="s">
        <v>9</v>
      </c>
      <c r="H379" s="10">
        <v>0.18</v>
      </c>
      <c r="I379" s="41"/>
    </row>
    <row r="380" spans="1:9" ht="12.5">
      <c r="A380" s="7">
        <v>379</v>
      </c>
      <c r="B380" s="8">
        <v>40560</v>
      </c>
      <c r="C380" s="9">
        <v>6</v>
      </c>
      <c r="D380" s="9" t="str">
        <f>IF(Table1[[#This Row],[Hour]]&lt;6,"Night",IF(Table1[[#This Row],[Hour]]&lt;12,"Morning",IF(Table1[[#This Row],[Hour]]&lt;18,"Afternoon","Evening")))</f>
        <v>Morning</v>
      </c>
      <c r="E380" s="9" t="b">
        <v>1</v>
      </c>
      <c r="F380" s="9" t="s">
        <v>20</v>
      </c>
      <c r="G380" s="9" t="s">
        <v>9</v>
      </c>
      <c r="H380" s="10">
        <v>0.18</v>
      </c>
      <c r="I380" s="41"/>
    </row>
    <row r="381" spans="1:9" ht="12.5">
      <c r="A381" s="7">
        <v>380</v>
      </c>
      <c r="B381" s="8">
        <v>40560</v>
      </c>
      <c r="C381" s="9">
        <v>7</v>
      </c>
      <c r="D381" s="9" t="str">
        <f>IF(Table1[[#This Row],[Hour]]&lt;6,"Night",IF(Table1[[#This Row],[Hour]]&lt;12,"Morning",IF(Table1[[#This Row],[Hour]]&lt;18,"Afternoon","Evening")))</f>
        <v>Morning</v>
      </c>
      <c r="E381" s="9" t="b">
        <v>1</v>
      </c>
      <c r="F381" s="9" t="s">
        <v>20</v>
      </c>
      <c r="G381" s="9" t="s">
        <v>9</v>
      </c>
      <c r="H381" s="10">
        <v>0.16</v>
      </c>
      <c r="I381" s="41"/>
    </row>
    <row r="382" spans="1:9" ht="12.5">
      <c r="A382" s="7">
        <v>381</v>
      </c>
      <c r="B382" s="8">
        <v>40560</v>
      </c>
      <c r="C382" s="9">
        <v>8</v>
      </c>
      <c r="D382" s="9" t="str">
        <f>IF(Table1[[#This Row],[Hour]]&lt;6,"Night",IF(Table1[[#This Row],[Hour]]&lt;12,"Morning",IF(Table1[[#This Row],[Hour]]&lt;18,"Afternoon","Evening")))</f>
        <v>Morning</v>
      </c>
      <c r="E382" s="9" t="b">
        <v>1</v>
      </c>
      <c r="F382" s="9" t="s">
        <v>20</v>
      </c>
      <c r="G382" s="9" t="s">
        <v>9</v>
      </c>
      <c r="H382" s="10">
        <v>0.16</v>
      </c>
      <c r="I382" s="41"/>
    </row>
    <row r="383" spans="1:9" ht="12.5">
      <c r="A383" s="7">
        <v>382</v>
      </c>
      <c r="B383" s="8">
        <v>40560</v>
      </c>
      <c r="C383" s="9">
        <v>9</v>
      </c>
      <c r="D383" s="9" t="str">
        <f>IF(Table1[[#This Row],[Hour]]&lt;6,"Night",IF(Table1[[#This Row],[Hour]]&lt;12,"Morning",IF(Table1[[#This Row],[Hour]]&lt;18,"Afternoon","Evening")))</f>
        <v>Morning</v>
      </c>
      <c r="E383" s="9" t="b">
        <v>1</v>
      </c>
      <c r="F383" s="9" t="s">
        <v>20</v>
      </c>
      <c r="G383" s="9" t="s">
        <v>9</v>
      </c>
      <c r="H383" s="10">
        <v>0.16</v>
      </c>
      <c r="I383" s="41"/>
    </row>
    <row r="384" spans="1:9" ht="12.5">
      <c r="A384" s="7">
        <v>383</v>
      </c>
      <c r="B384" s="8">
        <v>40560</v>
      </c>
      <c r="C384" s="9">
        <v>10</v>
      </c>
      <c r="D384" s="9" t="str">
        <f>IF(Table1[[#This Row],[Hour]]&lt;6,"Night",IF(Table1[[#This Row],[Hour]]&lt;12,"Morning",IF(Table1[[#This Row],[Hour]]&lt;18,"Afternoon","Evening")))</f>
        <v>Morning</v>
      </c>
      <c r="E384" s="9" t="b">
        <v>1</v>
      </c>
      <c r="F384" s="9" t="s">
        <v>20</v>
      </c>
      <c r="G384" s="9" t="s">
        <v>9</v>
      </c>
      <c r="H384" s="10">
        <v>0.16</v>
      </c>
      <c r="I384" s="41"/>
    </row>
    <row r="385" spans="1:9" ht="12.5">
      <c r="A385" s="7">
        <v>384</v>
      </c>
      <c r="B385" s="8">
        <v>40560</v>
      </c>
      <c r="C385" s="9">
        <v>11</v>
      </c>
      <c r="D385" s="9" t="str">
        <f>IF(Table1[[#This Row],[Hour]]&lt;6,"Night",IF(Table1[[#This Row],[Hour]]&lt;12,"Morning",IF(Table1[[#This Row],[Hour]]&lt;18,"Afternoon","Evening")))</f>
        <v>Morning</v>
      </c>
      <c r="E385" s="9" t="b">
        <v>1</v>
      </c>
      <c r="F385" s="9" t="s">
        <v>20</v>
      </c>
      <c r="G385" s="9" t="s">
        <v>9</v>
      </c>
      <c r="H385" s="10">
        <v>0.16</v>
      </c>
      <c r="I385" s="41"/>
    </row>
    <row r="386" spans="1:9" ht="12.5">
      <c r="A386" s="7">
        <v>385</v>
      </c>
      <c r="B386" s="8">
        <v>40560</v>
      </c>
      <c r="C386" s="9">
        <v>12</v>
      </c>
      <c r="D386" s="9" t="str">
        <f>IF(Table1[[#This Row],[Hour]]&lt;6,"Night",IF(Table1[[#This Row],[Hour]]&lt;12,"Morning",IF(Table1[[#This Row],[Hour]]&lt;18,"Afternoon","Evening")))</f>
        <v>Afternoon</v>
      </c>
      <c r="E386" s="9" t="b">
        <v>1</v>
      </c>
      <c r="F386" s="9" t="s">
        <v>20</v>
      </c>
      <c r="G386" s="9" t="s">
        <v>9</v>
      </c>
      <c r="H386" s="10">
        <v>0.18</v>
      </c>
      <c r="I386" s="41"/>
    </row>
    <row r="387" spans="1:9" ht="12.5">
      <c r="A387" s="7">
        <v>386</v>
      </c>
      <c r="B387" s="8">
        <v>40560</v>
      </c>
      <c r="C387" s="9">
        <v>13</v>
      </c>
      <c r="D387" s="9" t="str">
        <f>IF(Table1[[#This Row],[Hour]]&lt;6,"Night",IF(Table1[[#This Row],[Hour]]&lt;12,"Morning",IF(Table1[[#This Row],[Hour]]&lt;18,"Afternoon","Evening")))</f>
        <v>Afternoon</v>
      </c>
      <c r="E387" s="9" t="b">
        <v>1</v>
      </c>
      <c r="F387" s="9" t="s">
        <v>20</v>
      </c>
      <c r="G387" s="9" t="s">
        <v>9</v>
      </c>
      <c r="H387" s="10">
        <v>0.18</v>
      </c>
      <c r="I387" s="41"/>
    </row>
    <row r="388" spans="1:9" ht="12.5">
      <c r="A388" s="7">
        <v>387</v>
      </c>
      <c r="B388" s="8">
        <v>40560</v>
      </c>
      <c r="C388" s="9">
        <v>14</v>
      </c>
      <c r="D388" s="9" t="str">
        <f>IF(Table1[[#This Row],[Hour]]&lt;6,"Night",IF(Table1[[#This Row],[Hour]]&lt;12,"Morning",IF(Table1[[#This Row],[Hour]]&lt;18,"Afternoon","Evening")))</f>
        <v>Afternoon</v>
      </c>
      <c r="E388" s="9" t="b">
        <v>1</v>
      </c>
      <c r="F388" s="9" t="s">
        <v>20</v>
      </c>
      <c r="G388" s="9" t="s">
        <v>9</v>
      </c>
      <c r="H388" s="10">
        <v>0.18</v>
      </c>
      <c r="I388" s="41"/>
    </row>
    <row r="389" spans="1:9" ht="12.5">
      <c r="A389" s="7">
        <v>388</v>
      </c>
      <c r="B389" s="8">
        <v>40560</v>
      </c>
      <c r="C389" s="9">
        <v>15</v>
      </c>
      <c r="D389" s="9" t="str">
        <f>IF(Table1[[#This Row],[Hour]]&lt;6,"Night",IF(Table1[[#This Row],[Hour]]&lt;12,"Morning",IF(Table1[[#This Row],[Hour]]&lt;18,"Afternoon","Evening")))</f>
        <v>Afternoon</v>
      </c>
      <c r="E389" s="9" t="b">
        <v>1</v>
      </c>
      <c r="F389" s="9" t="s">
        <v>20</v>
      </c>
      <c r="G389" s="9" t="s">
        <v>9</v>
      </c>
      <c r="H389" s="10">
        <v>0.2</v>
      </c>
      <c r="I389" s="41"/>
    </row>
    <row r="390" spans="1:9" ht="12.5">
      <c r="A390" s="7">
        <v>389</v>
      </c>
      <c r="B390" s="8">
        <v>40560</v>
      </c>
      <c r="C390" s="9">
        <v>16</v>
      </c>
      <c r="D390" s="9" t="str">
        <f>IF(Table1[[#This Row],[Hour]]&lt;6,"Night",IF(Table1[[#This Row],[Hour]]&lt;12,"Morning",IF(Table1[[#This Row],[Hour]]&lt;18,"Afternoon","Evening")))</f>
        <v>Afternoon</v>
      </c>
      <c r="E390" s="9" t="b">
        <v>1</v>
      </c>
      <c r="F390" s="9" t="s">
        <v>20</v>
      </c>
      <c r="G390" s="9" t="s">
        <v>9</v>
      </c>
      <c r="H390" s="10">
        <v>0.2</v>
      </c>
      <c r="I390" s="41"/>
    </row>
    <row r="391" spans="1:9" ht="12.5">
      <c r="A391" s="7">
        <v>390</v>
      </c>
      <c r="B391" s="8">
        <v>40560</v>
      </c>
      <c r="C391" s="9">
        <v>17</v>
      </c>
      <c r="D391" s="9" t="str">
        <f>IF(Table1[[#This Row],[Hour]]&lt;6,"Night",IF(Table1[[#This Row],[Hour]]&lt;12,"Morning",IF(Table1[[#This Row],[Hour]]&lt;18,"Afternoon","Evening")))</f>
        <v>Afternoon</v>
      </c>
      <c r="E391" s="9" t="b">
        <v>1</v>
      </c>
      <c r="F391" s="9" t="s">
        <v>20</v>
      </c>
      <c r="G391" s="9" t="s">
        <v>8</v>
      </c>
      <c r="H391" s="10">
        <v>0.2</v>
      </c>
      <c r="I391" s="41"/>
    </row>
    <row r="392" spans="1:9" ht="12.5">
      <c r="A392" s="7">
        <v>391</v>
      </c>
      <c r="B392" s="8">
        <v>40560</v>
      </c>
      <c r="C392" s="9">
        <v>18</v>
      </c>
      <c r="D392" s="9" t="str">
        <f>IF(Table1[[#This Row],[Hour]]&lt;6,"Night",IF(Table1[[#This Row],[Hour]]&lt;12,"Morning",IF(Table1[[#This Row],[Hour]]&lt;18,"Afternoon","Evening")))</f>
        <v>Evening</v>
      </c>
      <c r="E392" s="9" t="b">
        <v>1</v>
      </c>
      <c r="F392" s="9" t="s">
        <v>20</v>
      </c>
      <c r="G392" s="9" t="s">
        <v>9</v>
      </c>
      <c r="H392" s="10">
        <v>0.18</v>
      </c>
      <c r="I392" s="41"/>
    </row>
    <row r="393" spans="1:9" ht="12.5">
      <c r="A393" s="7">
        <v>392</v>
      </c>
      <c r="B393" s="8">
        <v>40560</v>
      </c>
      <c r="C393" s="9">
        <v>19</v>
      </c>
      <c r="D393" s="9" t="str">
        <f>IF(Table1[[#This Row],[Hour]]&lt;6,"Night",IF(Table1[[#This Row],[Hour]]&lt;12,"Morning",IF(Table1[[#This Row],[Hour]]&lt;18,"Afternoon","Evening")))</f>
        <v>Evening</v>
      </c>
      <c r="E393" s="9" t="b">
        <v>1</v>
      </c>
      <c r="F393" s="9" t="s">
        <v>20</v>
      </c>
      <c r="G393" s="9" t="s">
        <v>10</v>
      </c>
      <c r="H393" s="10">
        <v>0.18</v>
      </c>
      <c r="I393" s="41"/>
    </row>
    <row r="394" spans="1:9" ht="12.5">
      <c r="A394" s="7">
        <v>393</v>
      </c>
      <c r="B394" s="8">
        <v>40560</v>
      </c>
      <c r="C394" s="9">
        <v>20</v>
      </c>
      <c r="D394" s="9" t="str">
        <f>IF(Table1[[#This Row],[Hour]]&lt;6,"Night",IF(Table1[[#This Row],[Hour]]&lt;12,"Morning",IF(Table1[[#This Row],[Hour]]&lt;18,"Afternoon","Evening")))</f>
        <v>Evening</v>
      </c>
      <c r="E394" s="9" t="b">
        <v>1</v>
      </c>
      <c r="F394" s="9" t="s">
        <v>20</v>
      </c>
      <c r="G394" s="9" t="s">
        <v>10</v>
      </c>
      <c r="H394" s="10">
        <v>0.16</v>
      </c>
      <c r="I394" s="41"/>
    </row>
    <row r="395" spans="1:9" ht="12.5">
      <c r="A395" s="7">
        <v>394</v>
      </c>
      <c r="B395" s="8">
        <v>40560</v>
      </c>
      <c r="C395" s="9">
        <v>21</v>
      </c>
      <c r="D395" s="9" t="str">
        <f>IF(Table1[[#This Row],[Hour]]&lt;6,"Night",IF(Table1[[#This Row],[Hour]]&lt;12,"Morning",IF(Table1[[#This Row],[Hour]]&lt;18,"Afternoon","Evening")))</f>
        <v>Evening</v>
      </c>
      <c r="E395" s="9" t="b">
        <v>1</v>
      </c>
      <c r="F395" s="9" t="s">
        <v>20</v>
      </c>
      <c r="G395" s="9" t="s">
        <v>10</v>
      </c>
      <c r="H395" s="10">
        <v>0.16</v>
      </c>
      <c r="I395" s="41"/>
    </row>
    <row r="396" spans="1:9" ht="12.5">
      <c r="A396" s="7">
        <v>395</v>
      </c>
      <c r="B396" s="8">
        <v>40560</v>
      </c>
      <c r="C396" s="9">
        <v>22</v>
      </c>
      <c r="D396" s="9" t="str">
        <f>IF(Table1[[#This Row],[Hour]]&lt;6,"Night",IF(Table1[[#This Row],[Hour]]&lt;12,"Morning",IF(Table1[[#This Row],[Hour]]&lt;18,"Afternoon","Evening")))</f>
        <v>Evening</v>
      </c>
      <c r="E396" s="9" t="b">
        <v>1</v>
      </c>
      <c r="F396" s="9" t="s">
        <v>20</v>
      </c>
      <c r="G396" s="9" t="s">
        <v>10</v>
      </c>
      <c r="H396" s="10">
        <v>0.14000000000000001</v>
      </c>
      <c r="I396" s="41"/>
    </row>
    <row r="397" spans="1:9" ht="12.5">
      <c r="A397" s="7">
        <v>396</v>
      </c>
      <c r="B397" s="8">
        <v>40560</v>
      </c>
      <c r="C397" s="9">
        <v>23</v>
      </c>
      <c r="D397" s="9" t="str">
        <f>IF(Table1[[#This Row],[Hour]]&lt;6,"Night",IF(Table1[[#This Row],[Hour]]&lt;12,"Morning",IF(Table1[[#This Row],[Hour]]&lt;18,"Afternoon","Evening")))</f>
        <v>Evening</v>
      </c>
      <c r="E397" s="9" t="b">
        <v>1</v>
      </c>
      <c r="F397" s="9" t="s">
        <v>20</v>
      </c>
      <c r="G397" s="9" t="s">
        <v>10</v>
      </c>
      <c r="H397" s="10">
        <v>0.16</v>
      </c>
      <c r="I397" s="41"/>
    </row>
    <row r="398" spans="1:9" ht="12.5">
      <c r="A398" s="7">
        <v>397</v>
      </c>
      <c r="B398" s="8">
        <v>40561</v>
      </c>
      <c r="C398" s="9">
        <v>12</v>
      </c>
      <c r="D398" s="9" t="str">
        <f>IF(Table1[[#This Row],[Hour]]&lt;6,"Night",IF(Table1[[#This Row],[Hour]]&lt;12,"Morning",IF(Table1[[#This Row],[Hour]]&lt;18,"Afternoon","Evening")))</f>
        <v>Afternoon</v>
      </c>
      <c r="E398" s="9" t="b">
        <v>0</v>
      </c>
      <c r="F398" s="9" t="s">
        <v>21</v>
      </c>
      <c r="G398" s="9" t="s">
        <v>9</v>
      </c>
      <c r="H398" s="10">
        <v>0.2</v>
      </c>
      <c r="I398" s="41"/>
    </row>
    <row r="399" spans="1:9" ht="12.5">
      <c r="A399" s="7">
        <v>398</v>
      </c>
      <c r="B399" s="8">
        <v>40561</v>
      </c>
      <c r="C399" s="9">
        <v>13</v>
      </c>
      <c r="D399" s="9" t="str">
        <f>IF(Table1[[#This Row],[Hour]]&lt;6,"Night",IF(Table1[[#This Row],[Hour]]&lt;12,"Morning",IF(Table1[[#This Row],[Hour]]&lt;18,"Afternoon","Evening")))</f>
        <v>Afternoon</v>
      </c>
      <c r="E399" s="9" t="b">
        <v>0</v>
      </c>
      <c r="F399" s="9" t="s">
        <v>21</v>
      </c>
      <c r="G399" s="9" t="s">
        <v>9</v>
      </c>
      <c r="H399" s="10">
        <v>0.2</v>
      </c>
      <c r="I399" s="41"/>
    </row>
    <row r="400" spans="1:9" ht="12.5">
      <c r="A400" s="7">
        <v>399</v>
      </c>
      <c r="B400" s="8">
        <v>40561</v>
      </c>
      <c r="C400" s="9">
        <v>14</v>
      </c>
      <c r="D400" s="9" t="str">
        <f>IF(Table1[[#This Row],[Hour]]&lt;6,"Night",IF(Table1[[#This Row],[Hour]]&lt;12,"Morning",IF(Table1[[#This Row],[Hour]]&lt;18,"Afternoon","Evening")))</f>
        <v>Afternoon</v>
      </c>
      <c r="E400" s="9" t="b">
        <v>0</v>
      </c>
      <c r="F400" s="9" t="s">
        <v>21</v>
      </c>
      <c r="G400" s="9" t="s">
        <v>9</v>
      </c>
      <c r="H400" s="10">
        <v>0.22</v>
      </c>
      <c r="I400" s="41"/>
    </row>
    <row r="401" spans="1:9" ht="12.5">
      <c r="A401" s="7">
        <v>400</v>
      </c>
      <c r="B401" s="8">
        <v>40561</v>
      </c>
      <c r="C401" s="9">
        <v>15</v>
      </c>
      <c r="D401" s="9" t="str">
        <f>IF(Table1[[#This Row],[Hour]]&lt;6,"Night",IF(Table1[[#This Row],[Hour]]&lt;12,"Morning",IF(Table1[[#This Row],[Hour]]&lt;18,"Afternoon","Evening")))</f>
        <v>Afternoon</v>
      </c>
      <c r="E401" s="9" t="b">
        <v>0</v>
      </c>
      <c r="F401" s="9" t="s">
        <v>21</v>
      </c>
      <c r="G401" s="9" t="s">
        <v>9</v>
      </c>
      <c r="H401" s="10">
        <v>0.22</v>
      </c>
      <c r="I401" s="41"/>
    </row>
    <row r="402" spans="1:9" ht="12.5">
      <c r="A402" s="7">
        <v>401</v>
      </c>
      <c r="B402" s="8">
        <v>40561</v>
      </c>
      <c r="C402" s="9">
        <v>16</v>
      </c>
      <c r="D402" s="9" t="str">
        <f>IF(Table1[[#This Row],[Hour]]&lt;6,"Night",IF(Table1[[#This Row],[Hour]]&lt;12,"Morning",IF(Table1[[#This Row],[Hour]]&lt;18,"Afternoon","Evening")))</f>
        <v>Afternoon</v>
      </c>
      <c r="E402" s="9" t="b">
        <v>0</v>
      </c>
      <c r="F402" s="9" t="s">
        <v>21</v>
      </c>
      <c r="G402" s="9" t="s">
        <v>9</v>
      </c>
      <c r="H402" s="10">
        <v>0.22</v>
      </c>
      <c r="I402" s="41"/>
    </row>
    <row r="403" spans="1:9" ht="12.5">
      <c r="A403" s="7">
        <v>402</v>
      </c>
      <c r="B403" s="8">
        <v>40561</v>
      </c>
      <c r="C403" s="9">
        <v>17</v>
      </c>
      <c r="D403" s="9" t="str">
        <f>IF(Table1[[#This Row],[Hour]]&lt;6,"Night",IF(Table1[[#This Row],[Hour]]&lt;12,"Morning",IF(Table1[[#This Row],[Hour]]&lt;18,"Afternoon","Evening")))</f>
        <v>Afternoon</v>
      </c>
      <c r="E403" s="9" t="b">
        <v>0</v>
      </c>
      <c r="F403" s="9" t="s">
        <v>21</v>
      </c>
      <c r="G403" s="9" t="s">
        <v>9</v>
      </c>
      <c r="H403" s="10">
        <v>0.22</v>
      </c>
      <c r="I403" s="41"/>
    </row>
    <row r="404" spans="1:9" ht="12.5">
      <c r="A404" s="7">
        <v>403</v>
      </c>
      <c r="B404" s="8">
        <v>40561</v>
      </c>
      <c r="C404" s="9">
        <v>18</v>
      </c>
      <c r="D404" s="9" t="str">
        <f>IF(Table1[[#This Row],[Hour]]&lt;6,"Night",IF(Table1[[#This Row],[Hour]]&lt;12,"Morning",IF(Table1[[#This Row],[Hour]]&lt;18,"Afternoon","Evening")))</f>
        <v>Evening</v>
      </c>
      <c r="E404" s="9" t="b">
        <v>0</v>
      </c>
      <c r="F404" s="9" t="s">
        <v>21</v>
      </c>
      <c r="G404" s="9" t="s">
        <v>9</v>
      </c>
      <c r="H404" s="10">
        <v>0.22</v>
      </c>
      <c r="I404" s="41"/>
    </row>
    <row r="405" spans="1:9" ht="12.5">
      <c r="A405" s="7">
        <v>404</v>
      </c>
      <c r="B405" s="8">
        <v>40561</v>
      </c>
      <c r="C405" s="9">
        <v>19</v>
      </c>
      <c r="D405" s="9" t="str">
        <f>IF(Table1[[#This Row],[Hour]]&lt;6,"Night",IF(Table1[[#This Row],[Hour]]&lt;12,"Morning",IF(Table1[[#This Row],[Hour]]&lt;18,"Afternoon","Evening")))</f>
        <v>Evening</v>
      </c>
      <c r="E405" s="9" t="b">
        <v>0</v>
      </c>
      <c r="F405" s="9" t="s">
        <v>21</v>
      </c>
      <c r="G405" s="9" t="s">
        <v>9</v>
      </c>
      <c r="H405" s="10">
        <v>0.22</v>
      </c>
      <c r="I405" s="41"/>
    </row>
    <row r="406" spans="1:9" ht="12.5">
      <c r="A406" s="7">
        <v>405</v>
      </c>
      <c r="B406" s="8">
        <v>40561</v>
      </c>
      <c r="C406" s="9">
        <v>20</v>
      </c>
      <c r="D406" s="9" t="str">
        <f>IF(Table1[[#This Row],[Hour]]&lt;6,"Night",IF(Table1[[#This Row],[Hour]]&lt;12,"Morning",IF(Table1[[#This Row],[Hour]]&lt;18,"Afternoon","Evening")))</f>
        <v>Evening</v>
      </c>
      <c r="E406" s="9" t="b">
        <v>0</v>
      </c>
      <c r="F406" s="9" t="s">
        <v>21</v>
      </c>
      <c r="G406" s="9" t="s">
        <v>9</v>
      </c>
      <c r="H406" s="10">
        <v>0.22</v>
      </c>
      <c r="I406" s="41"/>
    </row>
    <row r="407" spans="1:9" ht="12.5">
      <c r="A407" s="7">
        <v>406</v>
      </c>
      <c r="B407" s="8">
        <v>40561</v>
      </c>
      <c r="C407" s="9">
        <v>21</v>
      </c>
      <c r="D407" s="9" t="str">
        <f>IF(Table1[[#This Row],[Hour]]&lt;6,"Night",IF(Table1[[#This Row],[Hour]]&lt;12,"Morning",IF(Table1[[#This Row],[Hour]]&lt;18,"Afternoon","Evening")))</f>
        <v>Evening</v>
      </c>
      <c r="E407" s="9" t="b">
        <v>0</v>
      </c>
      <c r="F407" s="9" t="s">
        <v>21</v>
      </c>
      <c r="G407" s="9" t="s">
        <v>9</v>
      </c>
      <c r="H407" s="10">
        <v>0.22</v>
      </c>
      <c r="I407" s="41"/>
    </row>
    <row r="408" spans="1:9" ht="12.5">
      <c r="A408" s="7">
        <v>407</v>
      </c>
      <c r="B408" s="8">
        <v>40561</v>
      </c>
      <c r="C408" s="9">
        <v>22</v>
      </c>
      <c r="D408" s="9" t="str">
        <f>IF(Table1[[#This Row],[Hour]]&lt;6,"Night",IF(Table1[[#This Row],[Hour]]&lt;12,"Morning",IF(Table1[[#This Row],[Hour]]&lt;18,"Afternoon","Evening")))</f>
        <v>Evening</v>
      </c>
      <c r="E408" s="9" t="b">
        <v>0</v>
      </c>
      <c r="F408" s="9" t="s">
        <v>21</v>
      </c>
      <c r="G408" s="9" t="s">
        <v>9</v>
      </c>
      <c r="H408" s="10">
        <v>0.22</v>
      </c>
      <c r="I408" s="41"/>
    </row>
    <row r="409" spans="1:9" ht="12.5">
      <c r="A409" s="7">
        <v>408</v>
      </c>
      <c r="B409" s="8">
        <v>40561</v>
      </c>
      <c r="C409" s="9">
        <v>23</v>
      </c>
      <c r="D409" s="9" t="str">
        <f>IF(Table1[[#This Row],[Hour]]&lt;6,"Night",IF(Table1[[#This Row],[Hour]]&lt;12,"Morning",IF(Table1[[#This Row],[Hour]]&lt;18,"Afternoon","Evening")))</f>
        <v>Evening</v>
      </c>
      <c r="E409" s="9" t="b">
        <v>0</v>
      </c>
      <c r="F409" s="9" t="s">
        <v>21</v>
      </c>
      <c r="G409" s="9" t="s">
        <v>9</v>
      </c>
      <c r="H409" s="10">
        <v>0.22</v>
      </c>
      <c r="I409" s="41"/>
    </row>
    <row r="410" spans="1:9" ht="12.5">
      <c r="A410" s="7">
        <v>409</v>
      </c>
      <c r="B410" s="8">
        <v>40562</v>
      </c>
      <c r="C410" s="9">
        <v>0</v>
      </c>
      <c r="D410" s="9" t="str">
        <f>IF(Table1[[#This Row],[Hour]]&lt;6,"Night",IF(Table1[[#This Row],[Hour]]&lt;12,"Morning",IF(Table1[[#This Row],[Hour]]&lt;18,"Afternoon","Evening")))</f>
        <v>Night</v>
      </c>
      <c r="E410" s="9" t="b">
        <v>0</v>
      </c>
      <c r="F410" s="9" t="s">
        <v>22</v>
      </c>
      <c r="G410" s="9" t="s">
        <v>9</v>
      </c>
      <c r="H410" s="10">
        <v>0.22</v>
      </c>
      <c r="I410" s="41"/>
    </row>
    <row r="411" spans="1:9" ht="12.5">
      <c r="A411" s="7">
        <v>410</v>
      </c>
      <c r="B411" s="8">
        <v>40562</v>
      </c>
      <c r="C411" s="9">
        <v>1</v>
      </c>
      <c r="D411" s="9" t="str">
        <f>IF(Table1[[#This Row],[Hour]]&lt;6,"Night",IF(Table1[[#This Row],[Hour]]&lt;12,"Morning",IF(Table1[[#This Row],[Hour]]&lt;18,"Afternoon","Evening")))</f>
        <v>Night</v>
      </c>
      <c r="E411" s="9" t="b">
        <v>0</v>
      </c>
      <c r="F411" s="9" t="s">
        <v>22</v>
      </c>
      <c r="G411" s="9" t="s">
        <v>10</v>
      </c>
      <c r="H411" s="10">
        <v>0.22</v>
      </c>
      <c r="I411" s="41"/>
    </row>
    <row r="412" spans="1:9" ht="12.5">
      <c r="A412" s="7">
        <v>411</v>
      </c>
      <c r="B412" s="8">
        <v>40562</v>
      </c>
      <c r="C412" s="9">
        <v>2</v>
      </c>
      <c r="D412" s="9" t="str">
        <f>IF(Table1[[#This Row],[Hour]]&lt;6,"Night",IF(Table1[[#This Row],[Hour]]&lt;12,"Morning",IF(Table1[[#This Row],[Hour]]&lt;18,"Afternoon","Evening")))</f>
        <v>Night</v>
      </c>
      <c r="E412" s="9" t="b">
        <v>0</v>
      </c>
      <c r="F412" s="9" t="s">
        <v>22</v>
      </c>
      <c r="G412" s="9" t="s">
        <v>10</v>
      </c>
      <c r="H412" s="10">
        <v>0.22</v>
      </c>
      <c r="I412" s="41"/>
    </row>
    <row r="413" spans="1:9" ht="12.5">
      <c r="A413" s="7">
        <v>412</v>
      </c>
      <c r="B413" s="8">
        <v>40562</v>
      </c>
      <c r="C413" s="9">
        <v>4</v>
      </c>
      <c r="D413" s="9" t="str">
        <f>IF(Table1[[#This Row],[Hour]]&lt;6,"Night",IF(Table1[[#This Row],[Hour]]&lt;12,"Morning",IF(Table1[[#This Row],[Hour]]&lt;18,"Afternoon","Evening")))</f>
        <v>Night</v>
      </c>
      <c r="E413" s="9" t="b">
        <v>0</v>
      </c>
      <c r="F413" s="9" t="s">
        <v>22</v>
      </c>
      <c r="G413" s="9" t="s">
        <v>10</v>
      </c>
      <c r="H413" s="10">
        <v>0.22</v>
      </c>
      <c r="I413" s="41"/>
    </row>
    <row r="414" spans="1:9" ht="12.5">
      <c r="A414" s="7">
        <v>413</v>
      </c>
      <c r="B414" s="8">
        <v>40562</v>
      </c>
      <c r="C414" s="9">
        <v>5</v>
      </c>
      <c r="D414" s="9" t="str">
        <f>IF(Table1[[#This Row],[Hour]]&lt;6,"Night",IF(Table1[[#This Row],[Hour]]&lt;12,"Morning",IF(Table1[[#This Row],[Hour]]&lt;18,"Afternoon","Evening")))</f>
        <v>Night</v>
      </c>
      <c r="E414" s="9" t="b">
        <v>0</v>
      </c>
      <c r="F414" s="9" t="s">
        <v>22</v>
      </c>
      <c r="G414" s="9" t="s">
        <v>9</v>
      </c>
      <c r="H414" s="10">
        <v>0.22</v>
      </c>
      <c r="I414" s="41"/>
    </row>
    <row r="415" spans="1:9" ht="12.5">
      <c r="A415" s="7">
        <v>414</v>
      </c>
      <c r="B415" s="8">
        <v>40562</v>
      </c>
      <c r="C415" s="9">
        <v>6</v>
      </c>
      <c r="D415" s="9" t="str">
        <f>IF(Table1[[#This Row],[Hour]]&lt;6,"Night",IF(Table1[[#This Row],[Hour]]&lt;12,"Morning",IF(Table1[[#This Row],[Hour]]&lt;18,"Afternoon","Evening")))</f>
        <v>Morning</v>
      </c>
      <c r="E415" s="9" t="b">
        <v>0</v>
      </c>
      <c r="F415" s="9" t="s">
        <v>22</v>
      </c>
      <c r="G415" s="9" t="s">
        <v>9</v>
      </c>
      <c r="H415" s="10">
        <v>0.22</v>
      </c>
      <c r="I415" s="41"/>
    </row>
    <row r="416" spans="1:9" ht="12.5">
      <c r="A416" s="7">
        <v>415</v>
      </c>
      <c r="B416" s="8">
        <v>40562</v>
      </c>
      <c r="C416" s="9">
        <v>7</v>
      </c>
      <c r="D416" s="9" t="str">
        <f>IF(Table1[[#This Row],[Hour]]&lt;6,"Night",IF(Table1[[#This Row],[Hour]]&lt;12,"Morning",IF(Table1[[#This Row],[Hour]]&lt;18,"Afternoon","Evening")))</f>
        <v>Morning</v>
      </c>
      <c r="E416" s="9" t="b">
        <v>0</v>
      </c>
      <c r="F416" s="9" t="s">
        <v>22</v>
      </c>
      <c r="G416" s="9" t="s">
        <v>9</v>
      </c>
      <c r="H416" s="10">
        <v>0.24</v>
      </c>
      <c r="I416" s="41"/>
    </row>
    <row r="417" spans="1:9" ht="12.5">
      <c r="A417" s="7">
        <v>416</v>
      </c>
      <c r="B417" s="8">
        <v>40562</v>
      </c>
      <c r="C417" s="9">
        <v>8</v>
      </c>
      <c r="D417" s="9" t="str">
        <f>IF(Table1[[#This Row],[Hour]]&lt;6,"Night",IF(Table1[[#This Row],[Hour]]&lt;12,"Morning",IF(Table1[[#This Row],[Hour]]&lt;18,"Afternoon","Evening")))</f>
        <v>Morning</v>
      </c>
      <c r="E417" s="9" t="b">
        <v>0</v>
      </c>
      <c r="F417" s="9" t="s">
        <v>22</v>
      </c>
      <c r="G417" s="9" t="s">
        <v>9</v>
      </c>
      <c r="H417" s="10">
        <v>0.24</v>
      </c>
      <c r="I417" s="41"/>
    </row>
    <row r="418" spans="1:9" ht="12.5">
      <c r="A418" s="7">
        <v>417</v>
      </c>
      <c r="B418" s="8">
        <v>40562</v>
      </c>
      <c r="C418" s="9">
        <v>9</v>
      </c>
      <c r="D418" s="9" t="str">
        <f>IF(Table1[[#This Row],[Hour]]&lt;6,"Night",IF(Table1[[#This Row],[Hour]]&lt;12,"Morning",IF(Table1[[#This Row],[Hour]]&lt;18,"Afternoon","Evening")))</f>
        <v>Morning</v>
      </c>
      <c r="E418" s="9" t="b">
        <v>0</v>
      </c>
      <c r="F418" s="9" t="s">
        <v>22</v>
      </c>
      <c r="G418" s="9" t="s">
        <v>9</v>
      </c>
      <c r="H418" s="10">
        <v>0.24</v>
      </c>
      <c r="I418" s="41"/>
    </row>
    <row r="419" spans="1:9" ht="12.5">
      <c r="A419" s="7">
        <v>418</v>
      </c>
      <c r="B419" s="8">
        <v>40562</v>
      </c>
      <c r="C419" s="9">
        <v>10</v>
      </c>
      <c r="D419" s="9" t="str">
        <f>IF(Table1[[#This Row],[Hour]]&lt;6,"Night",IF(Table1[[#This Row],[Hour]]&lt;12,"Morning",IF(Table1[[#This Row],[Hour]]&lt;18,"Afternoon","Evening")))</f>
        <v>Morning</v>
      </c>
      <c r="E419" s="9" t="b">
        <v>0</v>
      </c>
      <c r="F419" s="9" t="s">
        <v>22</v>
      </c>
      <c r="G419" s="9" t="s">
        <v>9</v>
      </c>
      <c r="H419" s="10">
        <v>0.26</v>
      </c>
      <c r="I419" s="41"/>
    </row>
    <row r="420" spans="1:9" ht="12.5">
      <c r="A420" s="7">
        <v>419</v>
      </c>
      <c r="B420" s="8">
        <v>40562</v>
      </c>
      <c r="C420" s="9">
        <v>11</v>
      </c>
      <c r="D420" s="9" t="str">
        <f>IF(Table1[[#This Row],[Hour]]&lt;6,"Night",IF(Table1[[#This Row],[Hour]]&lt;12,"Morning",IF(Table1[[#This Row],[Hour]]&lt;18,"Afternoon","Evening")))</f>
        <v>Morning</v>
      </c>
      <c r="E420" s="9" t="b">
        <v>0</v>
      </c>
      <c r="F420" s="9" t="s">
        <v>22</v>
      </c>
      <c r="G420" s="9" t="s">
        <v>9</v>
      </c>
      <c r="H420" s="10">
        <v>0.28000000000000003</v>
      </c>
      <c r="I420" s="41"/>
    </row>
    <row r="421" spans="1:9" ht="12.5">
      <c r="A421" s="7">
        <v>420</v>
      </c>
      <c r="B421" s="8">
        <v>40562</v>
      </c>
      <c r="C421" s="9">
        <v>12</v>
      </c>
      <c r="D421" s="9" t="str">
        <f>IF(Table1[[#This Row],[Hour]]&lt;6,"Night",IF(Table1[[#This Row],[Hour]]&lt;12,"Morning",IF(Table1[[#This Row],[Hour]]&lt;18,"Afternoon","Evening")))</f>
        <v>Afternoon</v>
      </c>
      <c r="E421" s="9" t="b">
        <v>0</v>
      </c>
      <c r="F421" s="9" t="s">
        <v>22</v>
      </c>
      <c r="G421" s="9" t="s">
        <v>9</v>
      </c>
      <c r="H421" s="10">
        <v>0.3</v>
      </c>
      <c r="I421" s="41"/>
    </row>
    <row r="422" spans="1:9" ht="12.5">
      <c r="A422" s="7">
        <v>421</v>
      </c>
      <c r="B422" s="8">
        <v>40562</v>
      </c>
      <c r="C422" s="9">
        <v>13</v>
      </c>
      <c r="D422" s="9" t="str">
        <f>IF(Table1[[#This Row],[Hour]]&lt;6,"Night",IF(Table1[[#This Row],[Hour]]&lt;12,"Morning",IF(Table1[[#This Row],[Hour]]&lt;18,"Afternoon","Evening")))</f>
        <v>Afternoon</v>
      </c>
      <c r="E422" s="9" t="b">
        <v>0</v>
      </c>
      <c r="F422" s="9" t="s">
        <v>22</v>
      </c>
      <c r="G422" s="9" t="s">
        <v>8</v>
      </c>
      <c r="H422" s="10">
        <v>0.4</v>
      </c>
      <c r="I422" s="41"/>
    </row>
    <row r="423" spans="1:9" ht="12.5">
      <c r="A423" s="7">
        <v>422</v>
      </c>
      <c r="B423" s="8">
        <v>40562</v>
      </c>
      <c r="C423" s="9">
        <v>14</v>
      </c>
      <c r="D423" s="9" t="str">
        <f>IF(Table1[[#This Row],[Hour]]&lt;6,"Night",IF(Table1[[#This Row],[Hour]]&lt;12,"Morning",IF(Table1[[#This Row],[Hour]]&lt;18,"Afternoon","Evening")))</f>
        <v>Afternoon</v>
      </c>
      <c r="E423" s="9" t="b">
        <v>0</v>
      </c>
      <c r="F423" s="9" t="s">
        <v>22</v>
      </c>
      <c r="G423" s="9" t="s">
        <v>8</v>
      </c>
      <c r="H423" s="10">
        <v>0.4</v>
      </c>
      <c r="I423" s="41"/>
    </row>
    <row r="424" spans="1:9" ht="12.5">
      <c r="A424" s="7">
        <v>423</v>
      </c>
      <c r="B424" s="8">
        <v>40562</v>
      </c>
      <c r="C424" s="9">
        <v>15</v>
      </c>
      <c r="D424" s="9" t="str">
        <f>IF(Table1[[#This Row],[Hour]]&lt;6,"Night",IF(Table1[[#This Row],[Hour]]&lt;12,"Morning",IF(Table1[[#This Row],[Hour]]&lt;18,"Afternoon","Evening")))</f>
        <v>Afternoon</v>
      </c>
      <c r="E424" s="9" t="b">
        <v>0</v>
      </c>
      <c r="F424" s="9" t="s">
        <v>22</v>
      </c>
      <c r="G424" s="9" t="s">
        <v>8</v>
      </c>
      <c r="H424" s="10">
        <v>0.4</v>
      </c>
      <c r="I424" s="41"/>
    </row>
    <row r="425" spans="1:9" ht="12.5">
      <c r="A425" s="7">
        <v>424</v>
      </c>
      <c r="B425" s="8">
        <v>40562</v>
      </c>
      <c r="C425" s="9">
        <v>16</v>
      </c>
      <c r="D425" s="9" t="str">
        <f>IF(Table1[[#This Row],[Hour]]&lt;6,"Night",IF(Table1[[#This Row],[Hour]]&lt;12,"Morning",IF(Table1[[#This Row],[Hour]]&lt;18,"Afternoon","Evening")))</f>
        <v>Afternoon</v>
      </c>
      <c r="E425" s="9" t="b">
        <v>0</v>
      </c>
      <c r="F425" s="9" t="s">
        <v>22</v>
      </c>
      <c r="G425" s="9" t="s">
        <v>8</v>
      </c>
      <c r="H425" s="10">
        <v>0.38</v>
      </c>
      <c r="I425" s="41"/>
    </row>
    <row r="426" spans="1:9" ht="12.5">
      <c r="A426" s="7">
        <v>425</v>
      </c>
      <c r="B426" s="8">
        <v>40562</v>
      </c>
      <c r="C426" s="9">
        <v>17</v>
      </c>
      <c r="D426" s="9" t="str">
        <f>IF(Table1[[#This Row],[Hour]]&lt;6,"Night",IF(Table1[[#This Row],[Hour]]&lt;12,"Morning",IF(Table1[[#This Row],[Hour]]&lt;18,"Afternoon","Evening")))</f>
        <v>Afternoon</v>
      </c>
      <c r="E426" s="9" t="b">
        <v>0</v>
      </c>
      <c r="F426" s="9" t="s">
        <v>22</v>
      </c>
      <c r="G426" s="9" t="s">
        <v>8</v>
      </c>
      <c r="H426" s="10">
        <v>0.36</v>
      </c>
      <c r="I426" s="41"/>
    </row>
    <row r="427" spans="1:9" ht="12.5">
      <c r="A427" s="7">
        <v>426</v>
      </c>
      <c r="B427" s="8">
        <v>40562</v>
      </c>
      <c r="C427" s="9">
        <v>18</v>
      </c>
      <c r="D427" s="9" t="str">
        <f>IF(Table1[[#This Row],[Hour]]&lt;6,"Night",IF(Table1[[#This Row],[Hour]]&lt;12,"Morning",IF(Table1[[#This Row],[Hour]]&lt;18,"Afternoon","Evening")))</f>
        <v>Evening</v>
      </c>
      <c r="E427" s="9" t="b">
        <v>0</v>
      </c>
      <c r="F427" s="9" t="s">
        <v>22</v>
      </c>
      <c r="G427" s="9" t="s">
        <v>8</v>
      </c>
      <c r="H427" s="10">
        <v>0.34</v>
      </c>
      <c r="I427" s="41"/>
    </row>
    <row r="428" spans="1:9" ht="12.5">
      <c r="A428" s="7">
        <v>427</v>
      </c>
      <c r="B428" s="8">
        <v>40562</v>
      </c>
      <c r="C428" s="9">
        <v>19</v>
      </c>
      <c r="D428" s="9" t="str">
        <f>IF(Table1[[#This Row],[Hour]]&lt;6,"Night",IF(Table1[[#This Row],[Hour]]&lt;12,"Morning",IF(Table1[[#This Row],[Hour]]&lt;18,"Afternoon","Evening")))</f>
        <v>Evening</v>
      </c>
      <c r="E428" s="9" t="b">
        <v>0</v>
      </c>
      <c r="F428" s="9" t="s">
        <v>22</v>
      </c>
      <c r="G428" s="9" t="s">
        <v>8</v>
      </c>
      <c r="H428" s="10">
        <v>0.32</v>
      </c>
      <c r="I428" s="41"/>
    </row>
    <row r="429" spans="1:9" ht="12.5">
      <c r="A429" s="7">
        <v>428</v>
      </c>
      <c r="B429" s="8">
        <v>40562</v>
      </c>
      <c r="C429" s="9">
        <v>20</v>
      </c>
      <c r="D429" s="9" t="str">
        <f>IF(Table1[[#This Row],[Hour]]&lt;6,"Night",IF(Table1[[#This Row],[Hour]]&lt;12,"Morning",IF(Table1[[#This Row],[Hour]]&lt;18,"Afternoon","Evening")))</f>
        <v>Evening</v>
      </c>
      <c r="E429" s="9" t="b">
        <v>0</v>
      </c>
      <c r="F429" s="9" t="s">
        <v>22</v>
      </c>
      <c r="G429" s="9" t="s">
        <v>8</v>
      </c>
      <c r="H429" s="10">
        <v>0.32</v>
      </c>
      <c r="I429" s="41"/>
    </row>
    <row r="430" spans="1:9" ht="12.5">
      <c r="A430" s="7">
        <v>429</v>
      </c>
      <c r="B430" s="8">
        <v>40562</v>
      </c>
      <c r="C430" s="9">
        <v>21</v>
      </c>
      <c r="D430" s="9" t="str">
        <f>IF(Table1[[#This Row],[Hour]]&lt;6,"Night",IF(Table1[[#This Row],[Hour]]&lt;12,"Morning",IF(Table1[[#This Row],[Hour]]&lt;18,"Afternoon","Evening")))</f>
        <v>Evening</v>
      </c>
      <c r="E430" s="9" t="b">
        <v>0</v>
      </c>
      <c r="F430" s="9" t="s">
        <v>22</v>
      </c>
      <c r="G430" s="9" t="s">
        <v>8</v>
      </c>
      <c r="H430" s="10">
        <v>0.32</v>
      </c>
      <c r="I430" s="41"/>
    </row>
    <row r="431" spans="1:9" ht="12.5">
      <c r="A431" s="7">
        <v>430</v>
      </c>
      <c r="B431" s="8">
        <v>40562</v>
      </c>
      <c r="C431" s="9">
        <v>22</v>
      </c>
      <c r="D431" s="9" t="str">
        <f>IF(Table1[[#This Row],[Hour]]&lt;6,"Night",IF(Table1[[#This Row],[Hour]]&lt;12,"Morning",IF(Table1[[#This Row],[Hour]]&lt;18,"Afternoon","Evening")))</f>
        <v>Evening</v>
      </c>
      <c r="E431" s="9" t="b">
        <v>0</v>
      </c>
      <c r="F431" s="9" t="s">
        <v>22</v>
      </c>
      <c r="G431" s="9" t="s">
        <v>8</v>
      </c>
      <c r="H431" s="10">
        <v>0.3</v>
      </c>
      <c r="I431" s="41"/>
    </row>
    <row r="432" spans="1:9" ht="12.5">
      <c r="A432" s="7">
        <v>431</v>
      </c>
      <c r="B432" s="8">
        <v>40562</v>
      </c>
      <c r="C432" s="9">
        <v>23</v>
      </c>
      <c r="D432" s="9" t="str">
        <f>IF(Table1[[#This Row],[Hour]]&lt;6,"Night",IF(Table1[[#This Row],[Hour]]&lt;12,"Morning",IF(Table1[[#This Row],[Hour]]&lt;18,"Afternoon","Evening")))</f>
        <v>Evening</v>
      </c>
      <c r="E432" s="9" t="b">
        <v>0</v>
      </c>
      <c r="F432" s="9" t="s">
        <v>22</v>
      </c>
      <c r="G432" s="9" t="s">
        <v>8</v>
      </c>
      <c r="H432" s="10">
        <v>0.3</v>
      </c>
      <c r="I432" s="41"/>
    </row>
    <row r="433" spans="1:9" ht="12.5">
      <c r="A433" s="7">
        <v>432</v>
      </c>
      <c r="B433" s="8">
        <v>40563</v>
      </c>
      <c r="C433" s="9">
        <v>0</v>
      </c>
      <c r="D433" s="9" t="str">
        <f>IF(Table1[[#This Row],[Hour]]&lt;6,"Night",IF(Table1[[#This Row],[Hour]]&lt;12,"Morning",IF(Table1[[#This Row],[Hour]]&lt;18,"Afternoon","Evening")))</f>
        <v>Night</v>
      </c>
      <c r="E433" s="9" t="b">
        <v>0</v>
      </c>
      <c r="F433" s="9" t="s">
        <v>23</v>
      </c>
      <c r="G433" s="9" t="s">
        <v>8</v>
      </c>
      <c r="H433" s="10">
        <v>0.26</v>
      </c>
      <c r="I433" s="41"/>
    </row>
    <row r="434" spans="1:9" ht="12.5">
      <c r="A434" s="7">
        <v>433</v>
      </c>
      <c r="B434" s="8">
        <v>40563</v>
      </c>
      <c r="C434" s="9">
        <v>1</v>
      </c>
      <c r="D434" s="9" t="str">
        <f>IF(Table1[[#This Row],[Hour]]&lt;6,"Night",IF(Table1[[#This Row],[Hour]]&lt;12,"Morning",IF(Table1[[#This Row],[Hour]]&lt;18,"Afternoon","Evening")))</f>
        <v>Night</v>
      </c>
      <c r="E434" s="9" t="b">
        <v>0</v>
      </c>
      <c r="F434" s="9" t="s">
        <v>23</v>
      </c>
      <c r="G434" s="9" t="s">
        <v>8</v>
      </c>
      <c r="H434" s="10">
        <v>0.26</v>
      </c>
      <c r="I434" s="41"/>
    </row>
    <row r="435" spans="1:9" ht="12.5">
      <c r="A435" s="7">
        <v>434</v>
      </c>
      <c r="B435" s="8">
        <v>40563</v>
      </c>
      <c r="C435" s="9">
        <v>2</v>
      </c>
      <c r="D435" s="9" t="str">
        <f>IF(Table1[[#This Row],[Hour]]&lt;6,"Night",IF(Table1[[#This Row],[Hour]]&lt;12,"Morning",IF(Table1[[#This Row],[Hour]]&lt;18,"Afternoon","Evening")))</f>
        <v>Night</v>
      </c>
      <c r="E435" s="9" t="b">
        <v>0</v>
      </c>
      <c r="F435" s="9" t="s">
        <v>23</v>
      </c>
      <c r="G435" s="9" t="s">
        <v>8</v>
      </c>
      <c r="H435" s="10">
        <v>0.26</v>
      </c>
      <c r="I435" s="41"/>
    </row>
    <row r="436" spans="1:9" ht="12.5">
      <c r="A436" s="7">
        <v>435</v>
      </c>
      <c r="B436" s="8">
        <v>40563</v>
      </c>
      <c r="C436" s="9">
        <v>3</v>
      </c>
      <c r="D436" s="9" t="str">
        <f>IF(Table1[[#This Row],[Hour]]&lt;6,"Night",IF(Table1[[#This Row],[Hour]]&lt;12,"Morning",IF(Table1[[#This Row],[Hour]]&lt;18,"Afternoon","Evening")))</f>
        <v>Night</v>
      </c>
      <c r="E436" s="9" t="b">
        <v>0</v>
      </c>
      <c r="F436" s="9" t="s">
        <v>23</v>
      </c>
      <c r="G436" s="9" t="s">
        <v>8</v>
      </c>
      <c r="H436" s="10">
        <v>0.26</v>
      </c>
      <c r="I436" s="41"/>
    </row>
    <row r="437" spans="1:9" ht="12.5">
      <c r="A437" s="7">
        <v>436</v>
      </c>
      <c r="B437" s="8">
        <v>40563</v>
      </c>
      <c r="C437" s="9">
        <v>4</v>
      </c>
      <c r="D437" s="9" t="str">
        <f>IF(Table1[[#This Row],[Hour]]&lt;6,"Night",IF(Table1[[#This Row],[Hour]]&lt;12,"Morning",IF(Table1[[#This Row],[Hour]]&lt;18,"Afternoon","Evening")))</f>
        <v>Night</v>
      </c>
      <c r="E437" s="9" t="b">
        <v>0</v>
      </c>
      <c r="F437" s="9" t="s">
        <v>23</v>
      </c>
      <c r="G437" s="9" t="s">
        <v>8</v>
      </c>
      <c r="H437" s="10">
        <v>0.26</v>
      </c>
      <c r="I437" s="41"/>
    </row>
    <row r="438" spans="1:9" ht="12.5">
      <c r="A438" s="7">
        <v>437</v>
      </c>
      <c r="B438" s="8">
        <v>40563</v>
      </c>
      <c r="C438" s="9">
        <v>5</v>
      </c>
      <c r="D438" s="9" t="str">
        <f>IF(Table1[[#This Row],[Hour]]&lt;6,"Night",IF(Table1[[#This Row],[Hour]]&lt;12,"Morning",IF(Table1[[#This Row],[Hour]]&lt;18,"Afternoon","Evening")))</f>
        <v>Night</v>
      </c>
      <c r="E438" s="9" t="b">
        <v>0</v>
      </c>
      <c r="F438" s="9" t="s">
        <v>23</v>
      </c>
      <c r="G438" s="9" t="s">
        <v>8</v>
      </c>
      <c r="H438" s="10">
        <v>0.24</v>
      </c>
      <c r="I438" s="41"/>
    </row>
    <row r="439" spans="1:9" ht="12.5">
      <c r="A439" s="7">
        <v>438</v>
      </c>
      <c r="B439" s="8">
        <v>40563</v>
      </c>
      <c r="C439" s="9">
        <v>6</v>
      </c>
      <c r="D439" s="9" t="str">
        <f>IF(Table1[[#This Row],[Hour]]&lt;6,"Night",IF(Table1[[#This Row],[Hour]]&lt;12,"Morning",IF(Table1[[#This Row],[Hour]]&lt;18,"Afternoon","Evening")))</f>
        <v>Morning</v>
      </c>
      <c r="E439" s="9" t="b">
        <v>0</v>
      </c>
      <c r="F439" s="9" t="s">
        <v>23</v>
      </c>
      <c r="G439" s="9" t="s">
        <v>8</v>
      </c>
      <c r="H439" s="10">
        <v>0.22</v>
      </c>
      <c r="I439" s="41"/>
    </row>
    <row r="440" spans="1:9" ht="12.5">
      <c r="A440" s="7">
        <v>439</v>
      </c>
      <c r="B440" s="8">
        <v>40563</v>
      </c>
      <c r="C440" s="9">
        <v>7</v>
      </c>
      <c r="D440" s="9" t="str">
        <f>IF(Table1[[#This Row],[Hour]]&lt;6,"Night",IF(Table1[[#This Row],[Hour]]&lt;12,"Morning",IF(Table1[[#This Row],[Hour]]&lt;18,"Afternoon","Evening")))</f>
        <v>Morning</v>
      </c>
      <c r="E440" s="9" t="b">
        <v>0</v>
      </c>
      <c r="F440" s="9" t="s">
        <v>23</v>
      </c>
      <c r="G440" s="9" t="s">
        <v>8</v>
      </c>
      <c r="H440" s="10">
        <v>0.22</v>
      </c>
      <c r="I440" s="41"/>
    </row>
    <row r="441" spans="1:9" ht="12.5">
      <c r="A441" s="7">
        <v>440</v>
      </c>
      <c r="B441" s="8">
        <v>40563</v>
      </c>
      <c r="C441" s="9">
        <v>8</v>
      </c>
      <c r="D441" s="9" t="str">
        <f>IF(Table1[[#This Row],[Hour]]&lt;6,"Night",IF(Table1[[#This Row],[Hour]]&lt;12,"Morning",IF(Table1[[#This Row],[Hour]]&lt;18,"Afternoon","Evening")))</f>
        <v>Morning</v>
      </c>
      <c r="E441" s="9" t="b">
        <v>0</v>
      </c>
      <c r="F441" s="9" t="s">
        <v>23</v>
      </c>
      <c r="G441" s="9" t="s">
        <v>8</v>
      </c>
      <c r="H441" s="10">
        <v>0.22</v>
      </c>
      <c r="I441" s="41"/>
    </row>
    <row r="442" spans="1:9" ht="12.5">
      <c r="A442" s="7">
        <v>441</v>
      </c>
      <c r="B442" s="8">
        <v>40563</v>
      </c>
      <c r="C442" s="9">
        <v>9</v>
      </c>
      <c r="D442" s="9" t="str">
        <f>IF(Table1[[#This Row],[Hour]]&lt;6,"Night",IF(Table1[[#This Row],[Hour]]&lt;12,"Morning",IF(Table1[[#This Row],[Hour]]&lt;18,"Afternoon","Evening")))</f>
        <v>Morning</v>
      </c>
      <c r="E442" s="9" t="b">
        <v>0</v>
      </c>
      <c r="F442" s="9" t="s">
        <v>23</v>
      </c>
      <c r="G442" s="9" t="s">
        <v>9</v>
      </c>
      <c r="H442" s="10">
        <v>0.24</v>
      </c>
      <c r="I442" s="41"/>
    </row>
    <row r="443" spans="1:9" ht="12.5">
      <c r="A443" s="7">
        <v>442</v>
      </c>
      <c r="B443" s="8">
        <v>40563</v>
      </c>
      <c r="C443" s="9">
        <v>10</v>
      </c>
      <c r="D443" s="9" t="str">
        <f>IF(Table1[[#This Row],[Hour]]&lt;6,"Night",IF(Table1[[#This Row],[Hour]]&lt;12,"Morning",IF(Table1[[#This Row],[Hour]]&lt;18,"Afternoon","Evening")))</f>
        <v>Morning</v>
      </c>
      <c r="E443" s="9" t="b">
        <v>0</v>
      </c>
      <c r="F443" s="9" t="s">
        <v>23</v>
      </c>
      <c r="G443" s="9" t="s">
        <v>8</v>
      </c>
      <c r="H443" s="10">
        <v>0.26</v>
      </c>
      <c r="I443" s="41"/>
    </row>
    <row r="444" spans="1:9" ht="12.5">
      <c r="A444" s="7">
        <v>443</v>
      </c>
      <c r="B444" s="8">
        <v>40563</v>
      </c>
      <c r="C444" s="9">
        <v>11</v>
      </c>
      <c r="D444" s="9" t="str">
        <f>IF(Table1[[#This Row],[Hour]]&lt;6,"Night",IF(Table1[[#This Row],[Hour]]&lt;12,"Morning",IF(Table1[[#This Row],[Hour]]&lt;18,"Afternoon","Evening")))</f>
        <v>Morning</v>
      </c>
      <c r="E444" s="9" t="b">
        <v>0</v>
      </c>
      <c r="F444" s="9" t="s">
        <v>23</v>
      </c>
      <c r="G444" s="9" t="s">
        <v>9</v>
      </c>
      <c r="H444" s="10">
        <v>0.28000000000000003</v>
      </c>
      <c r="I444" s="41"/>
    </row>
    <row r="445" spans="1:9" ht="12.5">
      <c r="A445" s="7">
        <v>444</v>
      </c>
      <c r="B445" s="8">
        <v>40563</v>
      </c>
      <c r="C445" s="9">
        <v>12</v>
      </c>
      <c r="D445" s="9" t="str">
        <f>IF(Table1[[#This Row],[Hour]]&lt;6,"Night",IF(Table1[[#This Row],[Hour]]&lt;12,"Morning",IF(Table1[[#This Row],[Hour]]&lt;18,"Afternoon","Evening")))</f>
        <v>Afternoon</v>
      </c>
      <c r="E445" s="9" t="b">
        <v>0</v>
      </c>
      <c r="F445" s="9" t="s">
        <v>23</v>
      </c>
      <c r="G445" s="9" t="s">
        <v>9</v>
      </c>
      <c r="H445" s="10">
        <v>0.3</v>
      </c>
      <c r="I445" s="41"/>
    </row>
    <row r="446" spans="1:9" ht="12.5">
      <c r="A446" s="7">
        <v>445</v>
      </c>
      <c r="B446" s="8">
        <v>40563</v>
      </c>
      <c r="C446" s="9">
        <v>13</v>
      </c>
      <c r="D446" s="9" t="str">
        <f>IF(Table1[[#This Row],[Hour]]&lt;6,"Night",IF(Table1[[#This Row],[Hour]]&lt;12,"Morning",IF(Table1[[#This Row],[Hour]]&lt;18,"Afternoon","Evening")))</f>
        <v>Afternoon</v>
      </c>
      <c r="E446" s="9" t="b">
        <v>0</v>
      </c>
      <c r="F446" s="9" t="s">
        <v>23</v>
      </c>
      <c r="G446" s="9" t="s">
        <v>9</v>
      </c>
      <c r="H446" s="10">
        <v>0.28000000000000003</v>
      </c>
      <c r="I446" s="41"/>
    </row>
    <row r="447" spans="1:9" ht="12.5">
      <c r="A447" s="7">
        <v>446</v>
      </c>
      <c r="B447" s="8">
        <v>40563</v>
      </c>
      <c r="C447" s="9">
        <v>14</v>
      </c>
      <c r="D447" s="9" t="str">
        <f>IF(Table1[[#This Row],[Hour]]&lt;6,"Night",IF(Table1[[#This Row],[Hour]]&lt;12,"Morning",IF(Table1[[#This Row],[Hour]]&lt;18,"Afternoon","Evening")))</f>
        <v>Afternoon</v>
      </c>
      <c r="E447" s="9" t="b">
        <v>0</v>
      </c>
      <c r="F447" s="9" t="s">
        <v>23</v>
      </c>
      <c r="G447" s="9" t="s">
        <v>9</v>
      </c>
      <c r="H447" s="10">
        <v>0.3</v>
      </c>
      <c r="I447" s="41"/>
    </row>
    <row r="448" spans="1:9" ht="12.5">
      <c r="A448" s="7">
        <v>447</v>
      </c>
      <c r="B448" s="8">
        <v>40563</v>
      </c>
      <c r="C448" s="9">
        <v>15</v>
      </c>
      <c r="D448" s="9" t="str">
        <f>IF(Table1[[#This Row],[Hour]]&lt;6,"Night",IF(Table1[[#This Row],[Hour]]&lt;12,"Morning",IF(Table1[[#This Row],[Hour]]&lt;18,"Afternoon","Evening")))</f>
        <v>Afternoon</v>
      </c>
      <c r="E448" s="9" t="b">
        <v>0</v>
      </c>
      <c r="F448" s="9" t="s">
        <v>23</v>
      </c>
      <c r="G448" s="9" t="s">
        <v>9</v>
      </c>
      <c r="H448" s="10">
        <v>0.32</v>
      </c>
      <c r="I448" s="41"/>
    </row>
    <row r="449" spans="1:9" ht="12.5">
      <c r="A449" s="7">
        <v>448</v>
      </c>
      <c r="B449" s="8">
        <v>40563</v>
      </c>
      <c r="C449" s="9">
        <v>16</v>
      </c>
      <c r="D449" s="9" t="str">
        <f>IF(Table1[[#This Row],[Hour]]&lt;6,"Night",IF(Table1[[#This Row],[Hour]]&lt;12,"Morning",IF(Table1[[#This Row],[Hour]]&lt;18,"Afternoon","Evening")))</f>
        <v>Afternoon</v>
      </c>
      <c r="E449" s="9" t="b">
        <v>0</v>
      </c>
      <c r="F449" s="9" t="s">
        <v>23</v>
      </c>
      <c r="G449" s="9" t="s">
        <v>9</v>
      </c>
      <c r="H449" s="10">
        <v>0.3</v>
      </c>
      <c r="I449" s="41"/>
    </row>
    <row r="450" spans="1:9" ht="12.5">
      <c r="A450" s="7">
        <v>449</v>
      </c>
      <c r="B450" s="8">
        <v>40563</v>
      </c>
      <c r="C450" s="9">
        <v>17</v>
      </c>
      <c r="D450" s="9" t="str">
        <f>IF(Table1[[#This Row],[Hour]]&lt;6,"Night",IF(Table1[[#This Row],[Hour]]&lt;12,"Morning",IF(Table1[[#This Row],[Hour]]&lt;18,"Afternoon","Evening")))</f>
        <v>Afternoon</v>
      </c>
      <c r="E450" s="9" t="b">
        <v>0</v>
      </c>
      <c r="F450" s="9" t="s">
        <v>23</v>
      </c>
      <c r="G450" s="9" t="s">
        <v>9</v>
      </c>
      <c r="H450" s="10">
        <v>0.3</v>
      </c>
      <c r="I450" s="41"/>
    </row>
    <row r="451" spans="1:9" ht="12.5">
      <c r="A451" s="7">
        <v>450</v>
      </c>
      <c r="B451" s="8">
        <v>40563</v>
      </c>
      <c r="C451" s="9">
        <v>18</v>
      </c>
      <c r="D451" s="9" t="str">
        <f>IF(Table1[[#This Row],[Hour]]&lt;6,"Night",IF(Table1[[#This Row],[Hour]]&lt;12,"Morning",IF(Table1[[#This Row],[Hour]]&lt;18,"Afternoon","Evening")))</f>
        <v>Evening</v>
      </c>
      <c r="E451" s="9" t="b">
        <v>0</v>
      </c>
      <c r="F451" s="9" t="s">
        <v>23</v>
      </c>
      <c r="G451" s="9" t="s">
        <v>9</v>
      </c>
      <c r="H451" s="10">
        <v>0.26</v>
      </c>
      <c r="I451" s="41"/>
    </row>
    <row r="452" spans="1:9" ht="12.5">
      <c r="A452" s="7">
        <v>451</v>
      </c>
      <c r="B452" s="8">
        <v>40563</v>
      </c>
      <c r="C452" s="9">
        <v>19</v>
      </c>
      <c r="D452" s="9" t="str">
        <f>IF(Table1[[#This Row],[Hour]]&lt;6,"Night",IF(Table1[[#This Row],[Hour]]&lt;12,"Morning",IF(Table1[[#This Row],[Hour]]&lt;18,"Afternoon","Evening")))</f>
        <v>Evening</v>
      </c>
      <c r="E452" s="9" t="b">
        <v>0</v>
      </c>
      <c r="F452" s="9" t="s">
        <v>23</v>
      </c>
      <c r="G452" s="9" t="s">
        <v>8</v>
      </c>
      <c r="H452" s="10">
        <v>0.26</v>
      </c>
      <c r="I452" s="41"/>
    </row>
    <row r="453" spans="1:9" ht="12.5">
      <c r="A453" s="7">
        <v>452</v>
      </c>
      <c r="B453" s="8">
        <v>40563</v>
      </c>
      <c r="C453" s="9">
        <v>20</v>
      </c>
      <c r="D453" s="9" t="str">
        <f>IF(Table1[[#This Row],[Hour]]&lt;6,"Night",IF(Table1[[#This Row],[Hour]]&lt;12,"Morning",IF(Table1[[#This Row],[Hour]]&lt;18,"Afternoon","Evening")))</f>
        <v>Evening</v>
      </c>
      <c r="E453" s="9" t="b">
        <v>0</v>
      </c>
      <c r="F453" s="9" t="s">
        <v>23</v>
      </c>
      <c r="G453" s="9" t="s">
        <v>9</v>
      </c>
      <c r="H453" s="10">
        <v>0.26</v>
      </c>
      <c r="I453" s="41"/>
    </row>
    <row r="454" spans="1:9" ht="12.5">
      <c r="A454" s="7">
        <v>453</v>
      </c>
      <c r="B454" s="8">
        <v>40563</v>
      </c>
      <c r="C454" s="9">
        <v>21</v>
      </c>
      <c r="D454" s="9" t="str">
        <f>IF(Table1[[#This Row],[Hour]]&lt;6,"Night",IF(Table1[[#This Row],[Hour]]&lt;12,"Morning",IF(Table1[[#This Row],[Hour]]&lt;18,"Afternoon","Evening")))</f>
        <v>Evening</v>
      </c>
      <c r="E454" s="9" t="b">
        <v>0</v>
      </c>
      <c r="F454" s="9" t="s">
        <v>23</v>
      </c>
      <c r="G454" s="9" t="s">
        <v>9</v>
      </c>
      <c r="H454" s="10">
        <v>0.24</v>
      </c>
      <c r="I454" s="41"/>
    </row>
    <row r="455" spans="1:9" ht="12.5">
      <c r="A455" s="7">
        <v>454</v>
      </c>
      <c r="B455" s="8">
        <v>40563</v>
      </c>
      <c r="C455" s="9">
        <v>22</v>
      </c>
      <c r="D455" s="9" t="str">
        <f>IF(Table1[[#This Row],[Hour]]&lt;6,"Night",IF(Table1[[#This Row],[Hour]]&lt;12,"Morning",IF(Table1[[#This Row],[Hour]]&lt;18,"Afternoon","Evening")))</f>
        <v>Evening</v>
      </c>
      <c r="E455" s="9" t="b">
        <v>0</v>
      </c>
      <c r="F455" s="9" t="s">
        <v>23</v>
      </c>
      <c r="G455" s="9" t="s">
        <v>9</v>
      </c>
      <c r="H455" s="10">
        <v>0.24</v>
      </c>
      <c r="I455" s="41"/>
    </row>
    <row r="456" spans="1:9" ht="12.5">
      <c r="A456" s="7">
        <v>455</v>
      </c>
      <c r="B456" s="8">
        <v>40563</v>
      </c>
      <c r="C456" s="9">
        <v>23</v>
      </c>
      <c r="D456" s="9" t="str">
        <f>IF(Table1[[#This Row],[Hour]]&lt;6,"Night",IF(Table1[[#This Row],[Hour]]&lt;12,"Morning",IF(Table1[[#This Row],[Hour]]&lt;18,"Afternoon","Evening")))</f>
        <v>Evening</v>
      </c>
      <c r="E456" s="9" t="b">
        <v>0</v>
      </c>
      <c r="F456" s="9" t="s">
        <v>23</v>
      </c>
      <c r="G456" s="9" t="s">
        <v>9</v>
      </c>
      <c r="H456" s="10">
        <v>0.24</v>
      </c>
      <c r="I456" s="41"/>
    </row>
    <row r="457" spans="1:9" ht="12.5">
      <c r="A457" s="7">
        <v>456</v>
      </c>
      <c r="B457" s="8">
        <v>40564</v>
      </c>
      <c r="C457" s="9">
        <v>0</v>
      </c>
      <c r="D457" s="9" t="str">
        <f>IF(Table1[[#This Row],[Hour]]&lt;6,"Night",IF(Table1[[#This Row],[Hour]]&lt;12,"Morning",IF(Table1[[#This Row],[Hour]]&lt;18,"Afternoon","Evening")))</f>
        <v>Night</v>
      </c>
      <c r="E457" s="9" t="b">
        <v>0</v>
      </c>
      <c r="F457" s="9" t="s">
        <v>24</v>
      </c>
      <c r="G457" s="9" t="s">
        <v>9</v>
      </c>
      <c r="H457" s="10">
        <v>0.24</v>
      </c>
      <c r="I457" s="41"/>
    </row>
    <row r="458" spans="1:9" ht="12.5">
      <c r="A458" s="7">
        <v>457</v>
      </c>
      <c r="B458" s="8">
        <v>40564</v>
      </c>
      <c r="C458" s="9">
        <v>1</v>
      </c>
      <c r="D458" s="9" t="str">
        <f>IF(Table1[[#This Row],[Hour]]&lt;6,"Night",IF(Table1[[#This Row],[Hour]]&lt;12,"Morning",IF(Table1[[#This Row],[Hour]]&lt;18,"Afternoon","Evening")))</f>
        <v>Night</v>
      </c>
      <c r="E458" s="9" t="b">
        <v>0</v>
      </c>
      <c r="F458" s="9" t="s">
        <v>24</v>
      </c>
      <c r="G458" s="9" t="s">
        <v>9</v>
      </c>
      <c r="H458" s="10">
        <v>0.24</v>
      </c>
      <c r="I458" s="41"/>
    </row>
    <row r="459" spans="1:9" ht="12.5">
      <c r="A459" s="7">
        <v>458</v>
      </c>
      <c r="B459" s="8">
        <v>40564</v>
      </c>
      <c r="C459" s="9">
        <v>2</v>
      </c>
      <c r="D459" s="9" t="str">
        <f>IF(Table1[[#This Row],[Hour]]&lt;6,"Night",IF(Table1[[#This Row],[Hour]]&lt;12,"Morning",IF(Table1[[#This Row],[Hour]]&lt;18,"Afternoon","Evening")))</f>
        <v>Night</v>
      </c>
      <c r="E459" s="9" t="b">
        <v>0</v>
      </c>
      <c r="F459" s="9" t="s">
        <v>24</v>
      </c>
      <c r="G459" s="9" t="s">
        <v>10</v>
      </c>
      <c r="H459" s="10">
        <v>0.24</v>
      </c>
      <c r="I459" s="41"/>
    </row>
    <row r="460" spans="1:9" ht="12.5">
      <c r="A460" s="7">
        <v>459</v>
      </c>
      <c r="B460" s="8">
        <v>40564</v>
      </c>
      <c r="C460" s="9">
        <v>3</v>
      </c>
      <c r="D460" s="9" t="str">
        <f>IF(Table1[[#This Row],[Hour]]&lt;6,"Night",IF(Table1[[#This Row],[Hour]]&lt;12,"Morning",IF(Table1[[#This Row],[Hour]]&lt;18,"Afternoon","Evening")))</f>
        <v>Night</v>
      </c>
      <c r="E460" s="9" t="b">
        <v>0</v>
      </c>
      <c r="F460" s="9" t="s">
        <v>24</v>
      </c>
      <c r="G460" s="9" t="s">
        <v>10</v>
      </c>
      <c r="H460" s="10">
        <v>0.22</v>
      </c>
      <c r="I460" s="41"/>
    </row>
    <row r="461" spans="1:9" ht="12.5">
      <c r="A461" s="7">
        <v>460</v>
      </c>
      <c r="B461" s="8">
        <v>40564</v>
      </c>
      <c r="C461" s="9">
        <v>4</v>
      </c>
      <c r="D461" s="9" t="str">
        <f>IF(Table1[[#This Row],[Hour]]&lt;6,"Night",IF(Table1[[#This Row],[Hour]]&lt;12,"Morning",IF(Table1[[#This Row],[Hour]]&lt;18,"Afternoon","Evening")))</f>
        <v>Night</v>
      </c>
      <c r="E461" s="9" t="b">
        <v>0</v>
      </c>
      <c r="F461" s="9" t="s">
        <v>24</v>
      </c>
      <c r="G461" s="9" t="s">
        <v>9</v>
      </c>
      <c r="H461" s="10">
        <v>0.22</v>
      </c>
      <c r="I461" s="41"/>
    </row>
    <row r="462" spans="1:9" ht="12.5">
      <c r="A462" s="7">
        <v>461</v>
      </c>
      <c r="B462" s="8">
        <v>40564</v>
      </c>
      <c r="C462" s="9">
        <v>5</v>
      </c>
      <c r="D462" s="9" t="str">
        <f>IF(Table1[[#This Row],[Hour]]&lt;6,"Night",IF(Table1[[#This Row],[Hour]]&lt;12,"Morning",IF(Table1[[#This Row],[Hour]]&lt;18,"Afternoon","Evening")))</f>
        <v>Night</v>
      </c>
      <c r="E462" s="9" t="b">
        <v>0</v>
      </c>
      <c r="F462" s="9" t="s">
        <v>24</v>
      </c>
      <c r="G462" s="9" t="s">
        <v>8</v>
      </c>
      <c r="H462" s="10">
        <v>0.24</v>
      </c>
      <c r="I462" s="41"/>
    </row>
    <row r="463" spans="1:9" ht="12.5">
      <c r="A463" s="7">
        <v>462</v>
      </c>
      <c r="B463" s="8">
        <v>40564</v>
      </c>
      <c r="C463" s="9">
        <v>6</v>
      </c>
      <c r="D463" s="9" t="str">
        <f>IF(Table1[[#This Row],[Hour]]&lt;6,"Night",IF(Table1[[#This Row],[Hour]]&lt;12,"Morning",IF(Table1[[#This Row],[Hour]]&lt;18,"Afternoon","Evening")))</f>
        <v>Morning</v>
      </c>
      <c r="E463" s="9" t="b">
        <v>0</v>
      </c>
      <c r="F463" s="9" t="s">
        <v>24</v>
      </c>
      <c r="G463" s="9" t="s">
        <v>8</v>
      </c>
      <c r="H463" s="10">
        <v>0.22</v>
      </c>
      <c r="I463" s="41"/>
    </row>
    <row r="464" spans="1:9" ht="12.5">
      <c r="A464" s="7">
        <v>463</v>
      </c>
      <c r="B464" s="8">
        <v>40564</v>
      </c>
      <c r="C464" s="9">
        <v>7</v>
      </c>
      <c r="D464" s="9" t="str">
        <f>IF(Table1[[#This Row],[Hour]]&lt;6,"Night",IF(Table1[[#This Row],[Hour]]&lt;12,"Morning",IF(Table1[[#This Row],[Hour]]&lt;18,"Afternoon","Evening")))</f>
        <v>Morning</v>
      </c>
      <c r="E464" s="9" t="b">
        <v>0</v>
      </c>
      <c r="F464" s="9" t="s">
        <v>24</v>
      </c>
      <c r="G464" s="9" t="s">
        <v>8</v>
      </c>
      <c r="H464" s="10">
        <v>0.2</v>
      </c>
      <c r="I464" s="41"/>
    </row>
    <row r="465" spans="1:9" ht="12.5">
      <c r="A465" s="7">
        <v>464</v>
      </c>
      <c r="B465" s="8">
        <v>40564</v>
      </c>
      <c r="C465" s="9">
        <v>8</v>
      </c>
      <c r="D465" s="9" t="str">
        <f>IF(Table1[[#This Row],[Hour]]&lt;6,"Night",IF(Table1[[#This Row],[Hour]]&lt;12,"Morning",IF(Table1[[#This Row],[Hour]]&lt;18,"Afternoon","Evening")))</f>
        <v>Morning</v>
      </c>
      <c r="E465" s="9" t="b">
        <v>0</v>
      </c>
      <c r="F465" s="9" t="s">
        <v>24</v>
      </c>
      <c r="G465" s="9" t="s">
        <v>8</v>
      </c>
      <c r="H465" s="10">
        <v>0.2</v>
      </c>
      <c r="I465" s="41"/>
    </row>
    <row r="466" spans="1:9" ht="12.5">
      <c r="A466" s="7">
        <v>465</v>
      </c>
      <c r="B466" s="8">
        <v>40564</v>
      </c>
      <c r="C466" s="9">
        <v>9</v>
      </c>
      <c r="D466" s="9" t="str">
        <f>IF(Table1[[#This Row],[Hour]]&lt;6,"Night",IF(Table1[[#This Row],[Hour]]&lt;12,"Morning",IF(Table1[[#This Row],[Hour]]&lt;18,"Afternoon","Evening")))</f>
        <v>Morning</v>
      </c>
      <c r="E466" s="9" t="b">
        <v>0</v>
      </c>
      <c r="F466" s="9" t="s">
        <v>24</v>
      </c>
      <c r="G466" s="9" t="s">
        <v>8</v>
      </c>
      <c r="H466" s="10">
        <v>0.2</v>
      </c>
      <c r="I466" s="41"/>
    </row>
    <row r="467" spans="1:9" ht="12.5">
      <c r="A467" s="7">
        <v>466</v>
      </c>
      <c r="B467" s="8">
        <v>40564</v>
      </c>
      <c r="C467" s="9">
        <v>10</v>
      </c>
      <c r="D467" s="9" t="str">
        <f>IF(Table1[[#This Row],[Hour]]&lt;6,"Night",IF(Table1[[#This Row],[Hour]]&lt;12,"Morning",IF(Table1[[#This Row],[Hour]]&lt;18,"Afternoon","Evening")))</f>
        <v>Morning</v>
      </c>
      <c r="E467" s="9" t="b">
        <v>0</v>
      </c>
      <c r="F467" s="9" t="s">
        <v>24</v>
      </c>
      <c r="G467" s="9" t="s">
        <v>8</v>
      </c>
      <c r="H467" s="10">
        <v>0.2</v>
      </c>
      <c r="I467" s="41"/>
    </row>
    <row r="468" spans="1:9" ht="12.5">
      <c r="A468" s="7">
        <v>467</v>
      </c>
      <c r="B468" s="8">
        <v>40564</v>
      </c>
      <c r="C468" s="9">
        <v>11</v>
      </c>
      <c r="D468" s="9" t="str">
        <f>IF(Table1[[#This Row],[Hour]]&lt;6,"Night",IF(Table1[[#This Row],[Hour]]&lt;12,"Morning",IF(Table1[[#This Row],[Hour]]&lt;18,"Afternoon","Evening")))</f>
        <v>Morning</v>
      </c>
      <c r="E468" s="9" t="b">
        <v>0</v>
      </c>
      <c r="F468" s="9" t="s">
        <v>24</v>
      </c>
      <c r="G468" s="9" t="s">
        <v>8</v>
      </c>
      <c r="H468" s="10">
        <v>0.22</v>
      </c>
      <c r="I468" s="41"/>
    </row>
    <row r="469" spans="1:9" ht="12.5">
      <c r="A469" s="7">
        <v>468</v>
      </c>
      <c r="B469" s="8">
        <v>40564</v>
      </c>
      <c r="C469" s="9">
        <v>12</v>
      </c>
      <c r="D469" s="9" t="str">
        <f>IF(Table1[[#This Row],[Hour]]&lt;6,"Night",IF(Table1[[#This Row],[Hour]]&lt;12,"Morning",IF(Table1[[#This Row],[Hour]]&lt;18,"Afternoon","Evening")))</f>
        <v>Afternoon</v>
      </c>
      <c r="E469" s="9" t="b">
        <v>0</v>
      </c>
      <c r="F469" s="9" t="s">
        <v>24</v>
      </c>
      <c r="G469" s="9" t="s">
        <v>8</v>
      </c>
      <c r="H469" s="10">
        <v>0.22</v>
      </c>
      <c r="I469" s="41"/>
    </row>
    <row r="470" spans="1:9" ht="12.5">
      <c r="A470" s="7">
        <v>469</v>
      </c>
      <c r="B470" s="8">
        <v>40564</v>
      </c>
      <c r="C470" s="9">
        <v>13</v>
      </c>
      <c r="D470" s="9" t="str">
        <f>IF(Table1[[#This Row],[Hour]]&lt;6,"Night",IF(Table1[[#This Row],[Hour]]&lt;12,"Morning",IF(Table1[[#This Row],[Hour]]&lt;18,"Afternoon","Evening")))</f>
        <v>Afternoon</v>
      </c>
      <c r="E470" s="9" t="b">
        <v>0</v>
      </c>
      <c r="F470" s="9" t="s">
        <v>24</v>
      </c>
      <c r="G470" s="9" t="s">
        <v>8</v>
      </c>
      <c r="H470" s="10">
        <v>0.2</v>
      </c>
      <c r="I470" s="41"/>
    </row>
    <row r="471" spans="1:9" ht="12.5">
      <c r="A471" s="7">
        <v>470</v>
      </c>
      <c r="B471" s="8">
        <v>40564</v>
      </c>
      <c r="C471" s="9">
        <v>14</v>
      </c>
      <c r="D471" s="9" t="str">
        <f>IF(Table1[[#This Row],[Hour]]&lt;6,"Night",IF(Table1[[#This Row],[Hour]]&lt;12,"Morning",IF(Table1[[#This Row],[Hour]]&lt;18,"Afternoon","Evening")))</f>
        <v>Afternoon</v>
      </c>
      <c r="E471" s="9" t="b">
        <v>0</v>
      </c>
      <c r="F471" s="9" t="s">
        <v>24</v>
      </c>
      <c r="G471" s="9" t="s">
        <v>8</v>
      </c>
      <c r="H471" s="10">
        <v>0.2</v>
      </c>
      <c r="I471" s="41"/>
    </row>
    <row r="472" spans="1:9" ht="12.5">
      <c r="A472" s="7">
        <v>471</v>
      </c>
      <c r="B472" s="8">
        <v>40564</v>
      </c>
      <c r="C472" s="9">
        <v>15</v>
      </c>
      <c r="D472" s="9" t="str">
        <f>IF(Table1[[#This Row],[Hour]]&lt;6,"Night",IF(Table1[[#This Row],[Hour]]&lt;12,"Morning",IF(Table1[[#This Row],[Hour]]&lt;18,"Afternoon","Evening")))</f>
        <v>Afternoon</v>
      </c>
      <c r="E472" s="9" t="b">
        <v>0</v>
      </c>
      <c r="F472" s="9" t="s">
        <v>24</v>
      </c>
      <c r="G472" s="9" t="s">
        <v>8</v>
      </c>
      <c r="H472" s="10">
        <v>0.16</v>
      </c>
      <c r="I472" s="41"/>
    </row>
    <row r="473" spans="1:9" ht="12.5">
      <c r="A473" s="7">
        <v>472</v>
      </c>
      <c r="B473" s="8">
        <v>40564</v>
      </c>
      <c r="C473" s="9">
        <v>16</v>
      </c>
      <c r="D473" s="9" t="str">
        <f>IF(Table1[[#This Row],[Hour]]&lt;6,"Night",IF(Table1[[#This Row],[Hour]]&lt;12,"Morning",IF(Table1[[#This Row],[Hour]]&lt;18,"Afternoon","Evening")))</f>
        <v>Afternoon</v>
      </c>
      <c r="E473" s="9" t="b">
        <v>0</v>
      </c>
      <c r="F473" s="9" t="s">
        <v>24</v>
      </c>
      <c r="G473" s="9" t="s">
        <v>8</v>
      </c>
      <c r="H473" s="10">
        <v>0.16</v>
      </c>
      <c r="I473" s="41"/>
    </row>
    <row r="474" spans="1:9" ht="12.5">
      <c r="A474" s="7">
        <v>473</v>
      </c>
      <c r="B474" s="8">
        <v>40564</v>
      </c>
      <c r="C474" s="9">
        <v>17</v>
      </c>
      <c r="D474" s="9" t="str">
        <f>IF(Table1[[#This Row],[Hour]]&lt;6,"Night",IF(Table1[[#This Row],[Hour]]&lt;12,"Morning",IF(Table1[[#This Row],[Hour]]&lt;18,"Afternoon","Evening")))</f>
        <v>Afternoon</v>
      </c>
      <c r="E474" s="9" t="b">
        <v>0</v>
      </c>
      <c r="F474" s="9" t="s">
        <v>24</v>
      </c>
      <c r="G474" s="9" t="s">
        <v>8</v>
      </c>
      <c r="H474" s="10">
        <v>0.14000000000000001</v>
      </c>
      <c r="I474" s="41"/>
    </row>
    <row r="475" spans="1:9" ht="12.5">
      <c r="A475" s="7">
        <v>474</v>
      </c>
      <c r="B475" s="8">
        <v>40564</v>
      </c>
      <c r="C475" s="9">
        <v>18</v>
      </c>
      <c r="D475" s="9" t="str">
        <f>IF(Table1[[#This Row],[Hour]]&lt;6,"Night",IF(Table1[[#This Row],[Hour]]&lt;12,"Morning",IF(Table1[[#This Row],[Hour]]&lt;18,"Afternoon","Evening")))</f>
        <v>Evening</v>
      </c>
      <c r="E475" s="9" t="b">
        <v>0</v>
      </c>
      <c r="F475" s="9" t="s">
        <v>24</v>
      </c>
      <c r="G475" s="9" t="s">
        <v>8</v>
      </c>
      <c r="H475" s="10">
        <v>0.12</v>
      </c>
      <c r="I475" s="41"/>
    </row>
    <row r="476" spans="1:9" ht="12.5">
      <c r="A476" s="7">
        <v>475</v>
      </c>
      <c r="B476" s="8">
        <v>40564</v>
      </c>
      <c r="C476" s="9">
        <v>19</v>
      </c>
      <c r="D476" s="9" t="str">
        <f>IF(Table1[[#This Row],[Hour]]&lt;6,"Night",IF(Table1[[#This Row],[Hour]]&lt;12,"Morning",IF(Table1[[#This Row],[Hour]]&lt;18,"Afternoon","Evening")))</f>
        <v>Evening</v>
      </c>
      <c r="E476" s="9" t="b">
        <v>0</v>
      </c>
      <c r="F476" s="9" t="s">
        <v>24</v>
      </c>
      <c r="G476" s="9" t="s">
        <v>8</v>
      </c>
      <c r="H476" s="10">
        <v>0.12</v>
      </c>
      <c r="I476" s="41"/>
    </row>
    <row r="477" spans="1:9" ht="12.5">
      <c r="A477" s="7">
        <v>476</v>
      </c>
      <c r="B477" s="8">
        <v>40564</v>
      </c>
      <c r="C477" s="9">
        <v>20</v>
      </c>
      <c r="D477" s="9" t="str">
        <f>IF(Table1[[#This Row],[Hour]]&lt;6,"Night",IF(Table1[[#This Row],[Hour]]&lt;12,"Morning",IF(Table1[[#This Row],[Hour]]&lt;18,"Afternoon","Evening")))</f>
        <v>Evening</v>
      </c>
      <c r="E477" s="9" t="b">
        <v>0</v>
      </c>
      <c r="F477" s="9" t="s">
        <v>24</v>
      </c>
      <c r="G477" s="9" t="s">
        <v>8</v>
      </c>
      <c r="H477" s="10">
        <v>0.1</v>
      </c>
      <c r="I477" s="41"/>
    </row>
    <row r="478" spans="1:9" ht="12.5">
      <c r="A478" s="7">
        <v>477</v>
      </c>
      <c r="B478" s="8">
        <v>40564</v>
      </c>
      <c r="C478" s="9">
        <v>21</v>
      </c>
      <c r="D478" s="9" t="str">
        <f>IF(Table1[[#This Row],[Hour]]&lt;6,"Night",IF(Table1[[#This Row],[Hour]]&lt;12,"Morning",IF(Table1[[#This Row],[Hour]]&lt;18,"Afternoon","Evening")))</f>
        <v>Evening</v>
      </c>
      <c r="E478" s="9" t="b">
        <v>0</v>
      </c>
      <c r="F478" s="9" t="s">
        <v>24</v>
      </c>
      <c r="G478" s="9" t="s">
        <v>8</v>
      </c>
      <c r="H478" s="10">
        <v>0.08</v>
      </c>
      <c r="I478" s="41"/>
    </row>
    <row r="479" spans="1:9" ht="12.5">
      <c r="A479" s="7">
        <v>478</v>
      </c>
      <c r="B479" s="8">
        <v>40564</v>
      </c>
      <c r="C479" s="9">
        <v>22</v>
      </c>
      <c r="D479" s="9" t="str">
        <f>IF(Table1[[#This Row],[Hour]]&lt;6,"Night",IF(Table1[[#This Row],[Hour]]&lt;12,"Morning",IF(Table1[[#This Row],[Hour]]&lt;18,"Afternoon","Evening")))</f>
        <v>Evening</v>
      </c>
      <c r="E479" s="9" t="b">
        <v>0</v>
      </c>
      <c r="F479" s="9" t="s">
        <v>24</v>
      </c>
      <c r="G479" s="9" t="s">
        <v>8</v>
      </c>
      <c r="H479" s="10">
        <v>0.06</v>
      </c>
      <c r="I479" s="41"/>
    </row>
    <row r="480" spans="1:9" ht="12.5">
      <c r="A480" s="7">
        <v>479</v>
      </c>
      <c r="B480" s="8">
        <v>40564</v>
      </c>
      <c r="C480" s="9">
        <v>23</v>
      </c>
      <c r="D480" s="9" t="str">
        <f>IF(Table1[[#This Row],[Hour]]&lt;6,"Night",IF(Table1[[#This Row],[Hour]]&lt;12,"Morning",IF(Table1[[#This Row],[Hour]]&lt;18,"Afternoon","Evening")))</f>
        <v>Evening</v>
      </c>
      <c r="E480" s="9" t="b">
        <v>0</v>
      </c>
      <c r="F480" s="9" t="s">
        <v>24</v>
      </c>
      <c r="G480" s="9" t="s">
        <v>8</v>
      </c>
      <c r="H480" s="10">
        <v>0.06</v>
      </c>
      <c r="I480" s="41"/>
    </row>
    <row r="481" spans="1:9" ht="12.5">
      <c r="A481" s="7">
        <v>480</v>
      </c>
      <c r="B481" s="8">
        <v>40565</v>
      </c>
      <c r="C481" s="9">
        <v>0</v>
      </c>
      <c r="D481" s="9" t="str">
        <f>IF(Table1[[#This Row],[Hour]]&lt;6,"Night",IF(Table1[[#This Row],[Hour]]&lt;12,"Morning",IF(Table1[[#This Row],[Hour]]&lt;18,"Afternoon","Evening")))</f>
        <v>Night</v>
      </c>
      <c r="E481" s="9" t="b">
        <v>0</v>
      </c>
      <c r="F481" s="9" t="s">
        <v>25</v>
      </c>
      <c r="G481" s="9" t="s">
        <v>8</v>
      </c>
      <c r="H481" s="10">
        <v>0.04</v>
      </c>
      <c r="I481" s="41"/>
    </row>
    <row r="482" spans="1:9" ht="12.5">
      <c r="A482" s="7">
        <v>481</v>
      </c>
      <c r="B482" s="8">
        <v>40565</v>
      </c>
      <c r="C482" s="9">
        <v>1</v>
      </c>
      <c r="D482" s="9" t="str">
        <f>IF(Table1[[#This Row],[Hour]]&lt;6,"Night",IF(Table1[[#This Row],[Hour]]&lt;12,"Morning",IF(Table1[[#This Row],[Hour]]&lt;18,"Afternoon","Evening")))</f>
        <v>Night</v>
      </c>
      <c r="E482" s="9" t="b">
        <v>0</v>
      </c>
      <c r="F482" s="9" t="s">
        <v>25</v>
      </c>
      <c r="G482" s="9" t="s">
        <v>9</v>
      </c>
      <c r="H482" s="10">
        <v>0.04</v>
      </c>
      <c r="I482" s="41"/>
    </row>
    <row r="483" spans="1:9" ht="12.5">
      <c r="A483" s="7">
        <v>482</v>
      </c>
      <c r="B483" s="8">
        <v>40565</v>
      </c>
      <c r="C483" s="9">
        <v>2</v>
      </c>
      <c r="D483" s="9" t="str">
        <f>IF(Table1[[#This Row],[Hour]]&lt;6,"Night",IF(Table1[[#This Row],[Hour]]&lt;12,"Morning",IF(Table1[[#This Row],[Hour]]&lt;18,"Afternoon","Evening")))</f>
        <v>Night</v>
      </c>
      <c r="E483" s="9" t="b">
        <v>0</v>
      </c>
      <c r="F483" s="9" t="s">
        <v>25</v>
      </c>
      <c r="G483" s="9" t="s">
        <v>9</v>
      </c>
      <c r="H483" s="10">
        <v>0.04</v>
      </c>
      <c r="I483" s="41"/>
    </row>
    <row r="484" spans="1:9" ht="12.5">
      <c r="A484" s="7">
        <v>483</v>
      </c>
      <c r="B484" s="8">
        <v>40565</v>
      </c>
      <c r="C484" s="9">
        <v>3</v>
      </c>
      <c r="D484" s="9" t="str">
        <f>IF(Table1[[#This Row],[Hour]]&lt;6,"Night",IF(Table1[[#This Row],[Hour]]&lt;12,"Morning",IF(Table1[[#This Row],[Hour]]&lt;18,"Afternoon","Evening")))</f>
        <v>Night</v>
      </c>
      <c r="E484" s="9" t="b">
        <v>0</v>
      </c>
      <c r="F484" s="9" t="s">
        <v>25</v>
      </c>
      <c r="G484" s="9" t="s">
        <v>9</v>
      </c>
      <c r="H484" s="10">
        <v>0.04</v>
      </c>
      <c r="I484" s="41"/>
    </row>
    <row r="485" spans="1:9" ht="12.5">
      <c r="A485" s="7">
        <v>484</v>
      </c>
      <c r="B485" s="8">
        <v>40565</v>
      </c>
      <c r="C485" s="9">
        <v>4</v>
      </c>
      <c r="D485" s="9" t="str">
        <f>IF(Table1[[#This Row],[Hour]]&lt;6,"Night",IF(Table1[[#This Row],[Hour]]&lt;12,"Morning",IF(Table1[[#This Row],[Hour]]&lt;18,"Afternoon","Evening")))</f>
        <v>Night</v>
      </c>
      <c r="E485" s="9" t="b">
        <v>0</v>
      </c>
      <c r="F485" s="9" t="s">
        <v>25</v>
      </c>
      <c r="G485" s="9" t="s">
        <v>9</v>
      </c>
      <c r="H485" s="10">
        <v>0.02</v>
      </c>
      <c r="I485" s="41"/>
    </row>
    <row r="486" spans="1:9" ht="12.5">
      <c r="A486" s="7">
        <v>485</v>
      </c>
      <c r="B486" s="8">
        <v>40565</v>
      </c>
      <c r="C486" s="9">
        <v>6</v>
      </c>
      <c r="D486" s="9" t="str">
        <f>IF(Table1[[#This Row],[Hour]]&lt;6,"Night",IF(Table1[[#This Row],[Hour]]&lt;12,"Morning",IF(Table1[[#This Row],[Hour]]&lt;18,"Afternoon","Evening")))</f>
        <v>Morning</v>
      </c>
      <c r="E486" s="9" t="b">
        <v>0</v>
      </c>
      <c r="F486" s="9" t="s">
        <v>25</v>
      </c>
      <c r="G486" s="9" t="s">
        <v>9</v>
      </c>
      <c r="H486" s="10">
        <v>0.02</v>
      </c>
      <c r="I486" s="41"/>
    </row>
    <row r="487" spans="1:9" ht="12.5">
      <c r="A487" s="7">
        <v>486</v>
      </c>
      <c r="B487" s="8">
        <v>40565</v>
      </c>
      <c r="C487" s="9">
        <v>7</v>
      </c>
      <c r="D487" s="9" t="str">
        <f>IF(Table1[[#This Row],[Hour]]&lt;6,"Night",IF(Table1[[#This Row],[Hour]]&lt;12,"Morning",IF(Table1[[#This Row],[Hour]]&lt;18,"Afternoon","Evening")))</f>
        <v>Morning</v>
      </c>
      <c r="E487" s="9" t="b">
        <v>0</v>
      </c>
      <c r="F487" s="9" t="s">
        <v>25</v>
      </c>
      <c r="G487" s="9" t="s">
        <v>8</v>
      </c>
      <c r="H487" s="10">
        <v>0.02</v>
      </c>
      <c r="I487" s="41"/>
    </row>
    <row r="488" spans="1:9" ht="12.5">
      <c r="A488" s="7">
        <v>487</v>
      </c>
      <c r="B488" s="8">
        <v>40565</v>
      </c>
      <c r="C488" s="9">
        <v>8</v>
      </c>
      <c r="D488" s="9" t="str">
        <f>IF(Table1[[#This Row],[Hour]]&lt;6,"Night",IF(Table1[[#This Row],[Hour]]&lt;12,"Morning",IF(Table1[[#This Row],[Hour]]&lt;18,"Afternoon","Evening")))</f>
        <v>Morning</v>
      </c>
      <c r="E488" s="9" t="b">
        <v>0</v>
      </c>
      <c r="F488" s="9" t="s">
        <v>25</v>
      </c>
      <c r="G488" s="9" t="s">
        <v>8</v>
      </c>
      <c r="H488" s="10">
        <v>0.02</v>
      </c>
      <c r="I488" s="41"/>
    </row>
    <row r="489" spans="1:9" ht="12.5">
      <c r="A489" s="7">
        <v>488</v>
      </c>
      <c r="B489" s="8">
        <v>40565</v>
      </c>
      <c r="C489" s="9">
        <v>9</v>
      </c>
      <c r="D489" s="9" t="str">
        <f>IF(Table1[[#This Row],[Hour]]&lt;6,"Night",IF(Table1[[#This Row],[Hour]]&lt;12,"Morning",IF(Table1[[#This Row],[Hour]]&lt;18,"Afternoon","Evening")))</f>
        <v>Morning</v>
      </c>
      <c r="E489" s="9" t="b">
        <v>0</v>
      </c>
      <c r="F489" s="9" t="s">
        <v>25</v>
      </c>
      <c r="G489" s="9" t="s">
        <v>8</v>
      </c>
      <c r="H489" s="10">
        <v>0.04</v>
      </c>
      <c r="I489" s="41"/>
    </row>
    <row r="490" spans="1:9" ht="12.5">
      <c r="A490" s="7">
        <v>489</v>
      </c>
      <c r="B490" s="8">
        <v>40565</v>
      </c>
      <c r="C490" s="9">
        <v>10</v>
      </c>
      <c r="D490" s="9" t="str">
        <f>IF(Table1[[#This Row],[Hour]]&lt;6,"Night",IF(Table1[[#This Row],[Hour]]&lt;12,"Morning",IF(Table1[[#This Row],[Hour]]&lt;18,"Afternoon","Evening")))</f>
        <v>Morning</v>
      </c>
      <c r="E490" s="9" t="b">
        <v>0</v>
      </c>
      <c r="F490" s="9" t="s">
        <v>25</v>
      </c>
      <c r="G490" s="9" t="s">
        <v>9</v>
      </c>
      <c r="H490" s="10">
        <v>0.04</v>
      </c>
      <c r="I490" s="41"/>
    </row>
    <row r="491" spans="1:9" ht="12.5">
      <c r="A491" s="7">
        <v>490</v>
      </c>
      <c r="B491" s="8">
        <v>40565</v>
      </c>
      <c r="C491" s="9">
        <v>11</v>
      </c>
      <c r="D491" s="9" t="str">
        <f>IF(Table1[[#This Row],[Hour]]&lt;6,"Night",IF(Table1[[#This Row],[Hour]]&lt;12,"Morning",IF(Table1[[#This Row],[Hour]]&lt;18,"Afternoon","Evening")))</f>
        <v>Morning</v>
      </c>
      <c r="E491" s="9" t="b">
        <v>0</v>
      </c>
      <c r="F491" s="9" t="s">
        <v>25</v>
      </c>
      <c r="G491" s="9" t="s">
        <v>9</v>
      </c>
      <c r="H491" s="10">
        <v>0.06</v>
      </c>
      <c r="I491" s="41"/>
    </row>
    <row r="492" spans="1:9" ht="12.5">
      <c r="A492" s="7">
        <v>491</v>
      </c>
      <c r="B492" s="8">
        <v>40565</v>
      </c>
      <c r="C492" s="9">
        <v>12</v>
      </c>
      <c r="D492" s="9" t="str">
        <f>IF(Table1[[#This Row],[Hour]]&lt;6,"Night",IF(Table1[[#This Row],[Hour]]&lt;12,"Morning",IF(Table1[[#This Row],[Hour]]&lt;18,"Afternoon","Evening")))</f>
        <v>Afternoon</v>
      </c>
      <c r="E492" s="9" t="b">
        <v>0</v>
      </c>
      <c r="F492" s="9" t="s">
        <v>25</v>
      </c>
      <c r="G492" s="9" t="s">
        <v>9</v>
      </c>
      <c r="H492" s="10">
        <v>0.06</v>
      </c>
      <c r="I492" s="41"/>
    </row>
    <row r="493" spans="1:9" ht="12.5">
      <c r="A493" s="7">
        <v>492</v>
      </c>
      <c r="B493" s="8">
        <v>40565</v>
      </c>
      <c r="C493" s="9">
        <v>13</v>
      </c>
      <c r="D493" s="9" t="str">
        <f>IF(Table1[[#This Row],[Hour]]&lt;6,"Night",IF(Table1[[#This Row],[Hour]]&lt;12,"Morning",IF(Table1[[#This Row],[Hour]]&lt;18,"Afternoon","Evening")))</f>
        <v>Afternoon</v>
      </c>
      <c r="E493" s="9" t="b">
        <v>0</v>
      </c>
      <c r="F493" s="9" t="s">
        <v>25</v>
      </c>
      <c r="G493" s="9" t="s">
        <v>8</v>
      </c>
      <c r="H493" s="10">
        <v>0.08</v>
      </c>
      <c r="I493" s="41"/>
    </row>
    <row r="494" spans="1:9" ht="12.5">
      <c r="A494" s="7">
        <v>493</v>
      </c>
      <c r="B494" s="8">
        <v>40565</v>
      </c>
      <c r="C494" s="9">
        <v>14</v>
      </c>
      <c r="D494" s="9" t="str">
        <f>IF(Table1[[#This Row],[Hour]]&lt;6,"Night",IF(Table1[[#This Row],[Hour]]&lt;12,"Morning",IF(Table1[[#This Row],[Hour]]&lt;18,"Afternoon","Evening")))</f>
        <v>Afternoon</v>
      </c>
      <c r="E494" s="9" t="b">
        <v>0</v>
      </c>
      <c r="F494" s="9" t="s">
        <v>25</v>
      </c>
      <c r="G494" s="9" t="s">
        <v>8</v>
      </c>
      <c r="H494" s="10">
        <v>0.1</v>
      </c>
      <c r="I494" s="41"/>
    </row>
    <row r="495" spans="1:9" ht="12.5">
      <c r="A495" s="7">
        <v>494</v>
      </c>
      <c r="B495" s="8">
        <v>40565</v>
      </c>
      <c r="C495" s="9">
        <v>15</v>
      </c>
      <c r="D495" s="9" t="str">
        <f>IF(Table1[[#This Row],[Hour]]&lt;6,"Night",IF(Table1[[#This Row],[Hour]]&lt;12,"Morning",IF(Table1[[#This Row],[Hour]]&lt;18,"Afternoon","Evening")))</f>
        <v>Afternoon</v>
      </c>
      <c r="E495" s="9" t="b">
        <v>0</v>
      </c>
      <c r="F495" s="9" t="s">
        <v>25</v>
      </c>
      <c r="G495" s="9" t="s">
        <v>8</v>
      </c>
      <c r="H495" s="10">
        <v>0.12</v>
      </c>
      <c r="I495" s="41"/>
    </row>
    <row r="496" spans="1:9" ht="12.5">
      <c r="A496" s="7">
        <v>495</v>
      </c>
      <c r="B496" s="8">
        <v>40565</v>
      </c>
      <c r="C496" s="9">
        <v>16</v>
      </c>
      <c r="D496" s="9" t="str">
        <f>IF(Table1[[#This Row],[Hour]]&lt;6,"Night",IF(Table1[[#This Row],[Hour]]&lt;12,"Morning",IF(Table1[[#This Row],[Hour]]&lt;18,"Afternoon","Evening")))</f>
        <v>Afternoon</v>
      </c>
      <c r="E496" s="9" t="b">
        <v>0</v>
      </c>
      <c r="F496" s="9" t="s">
        <v>25</v>
      </c>
      <c r="G496" s="9" t="s">
        <v>8</v>
      </c>
      <c r="H496" s="10">
        <v>0.12</v>
      </c>
      <c r="I496" s="41"/>
    </row>
    <row r="497" spans="1:9" ht="12.5">
      <c r="A497" s="7">
        <v>496</v>
      </c>
      <c r="B497" s="8">
        <v>40565</v>
      </c>
      <c r="C497" s="9">
        <v>17</v>
      </c>
      <c r="D497" s="9" t="str">
        <f>IF(Table1[[#This Row],[Hour]]&lt;6,"Night",IF(Table1[[#This Row],[Hour]]&lt;12,"Morning",IF(Table1[[#This Row],[Hour]]&lt;18,"Afternoon","Evening")))</f>
        <v>Afternoon</v>
      </c>
      <c r="E497" s="9" t="b">
        <v>0</v>
      </c>
      <c r="F497" s="9" t="s">
        <v>25</v>
      </c>
      <c r="G497" s="9" t="s">
        <v>8</v>
      </c>
      <c r="H497" s="10">
        <v>0.12</v>
      </c>
      <c r="I497" s="41"/>
    </row>
    <row r="498" spans="1:9" ht="12.5">
      <c r="A498" s="7">
        <v>497</v>
      </c>
      <c r="B498" s="8">
        <v>40565</v>
      </c>
      <c r="C498" s="9">
        <v>18</v>
      </c>
      <c r="D498" s="9" t="str">
        <f>IF(Table1[[#This Row],[Hour]]&lt;6,"Night",IF(Table1[[#This Row],[Hour]]&lt;12,"Morning",IF(Table1[[#This Row],[Hour]]&lt;18,"Afternoon","Evening")))</f>
        <v>Evening</v>
      </c>
      <c r="E498" s="9" t="b">
        <v>0</v>
      </c>
      <c r="F498" s="9" t="s">
        <v>25</v>
      </c>
      <c r="G498" s="9" t="s">
        <v>8</v>
      </c>
      <c r="H498" s="10">
        <v>0.08</v>
      </c>
      <c r="I498" s="41"/>
    </row>
    <row r="499" spans="1:9" ht="12.5">
      <c r="A499" s="7">
        <v>498</v>
      </c>
      <c r="B499" s="8">
        <v>40565</v>
      </c>
      <c r="C499" s="9">
        <v>19</v>
      </c>
      <c r="D499" s="9" t="str">
        <f>IF(Table1[[#This Row],[Hour]]&lt;6,"Night",IF(Table1[[#This Row],[Hour]]&lt;12,"Morning",IF(Table1[[#This Row],[Hour]]&lt;18,"Afternoon","Evening")))</f>
        <v>Evening</v>
      </c>
      <c r="E499" s="9" t="b">
        <v>0</v>
      </c>
      <c r="F499" s="9" t="s">
        <v>25</v>
      </c>
      <c r="G499" s="9" t="s">
        <v>8</v>
      </c>
      <c r="H499" s="10">
        <v>0.08</v>
      </c>
      <c r="I499" s="41"/>
    </row>
    <row r="500" spans="1:9" ht="12.5">
      <c r="A500" s="7">
        <v>499</v>
      </c>
      <c r="B500" s="8">
        <v>40565</v>
      </c>
      <c r="C500" s="9">
        <v>20</v>
      </c>
      <c r="D500" s="9" t="str">
        <f>IF(Table1[[#This Row],[Hour]]&lt;6,"Night",IF(Table1[[#This Row],[Hour]]&lt;12,"Morning",IF(Table1[[#This Row],[Hour]]&lt;18,"Afternoon","Evening")))</f>
        <v>Evening</v>
      </c>
      <c r="E500" s="9" t="b">
        <v>0</v>
      </c>
      <c r="F500" s="9" t="s">
        <v>25</v>
      </c>
      <c r="G500" s="9" t="s">
        <v>8</v>
      </c>
      <c r="H500" s="10">
        <v>0.06</v>
      </c>
      <c r="I500" s="41"/>
    </row>
    <row r="501" spans="1:9" ht="12.5">
      <c r="A501" s="7">
        <v>500</v>
      </c>
      <c r="B501" s="8">
        <v>40565</v>
      </c>
      <c r="C501" s="9">
        <v>21</v>
      </c>
      <c r="D501" s="9" t="str">
        <f>IF(Table1[[#This Row],[Hour]]&lt;6,"Night",IF(Table1[[#This Row],[Hour]]&lt;12,"Morning",IF(Table1[[#This Row],[Hour]]&lt;18,"Afternoon","Evening")))</f>
        <v>Evening</v>
      </c>
      <c r="E501" s="9" t="b">
        <v>0</v>
      </c>
      <c r="F501" s="9" t="s">
        <v>25</v>
      </c>
      <c r="G501" s="9" t="s">
        <v>8</v>
      </c>
      <c r="H501" s="10">
        <v>0.06</v>
      </c>
      <c r="I501" s="41"/>
    </row>
    <row r="502" spans="1:9" ht="12.5">
      <c r="A502" s="7">
        <v>501</v>
      </c>
      <c r="B502" s="8">
        <v>40565</v>
      </c>
      <c r="C502" s="9">
        <v>22</v>
      </c>
      <c r="D502" s="9" t="str">
        <f>IF(Table1[[#This Row],[Hour]]&lt;6,"Night",IF(Table1[[#This Row],[Hour]]&lt;12,"Morning",IF(Table1[[#This Row],[Hour]]&lt;18,"Afternoon","Evening")))</f>
        <v>Evening</v>
      </c>
      <c r="E502" s="9" t="b">
        <v>0</v>
      </c>
      <c r="F502" s="9" t="s">
        <v>25</v>
      </c>
      <c r="G502" s="9" t="s">
        <v>8</v>
      </c>
      <c r="H502" s="10">
        <v>0.06</v>
      </c>
      <c r="I502" s="41"/>
    </row>
    <row r="503" spans="1:9" ht="12.5">
      <c r="A503" s="7">
        <v>502</v>
      </c>
      <c r="B503" s="8">
        <v>40565</v>
      </c>
      <c r="C503" s="9">
        <v>23</v>
      </c>
      <c r="D503" s="9" t="str">
        <f>IF(Table1[[#This Row],[Hour]]&lt;6,"Night",IF(Table1[[#This Row],[Hour]]&lt;12,"Morning",IF(Table1[[#This Row],[Hour]]&lt;18,"Afternoon","Evening")))</f>
        <v>Evening</v>
      </c>
      <c r="E503" s="9" t="b">
        <v>0</v>
      </c>
      <c r="F503" s="9" t="s">
        <v>25</v>
      </c>
      <c r="G503" s="9" t="s">
        <v>8</v>
      </c>
      <c r="H503" s="10">
        <v>0.04</v>
      </c>
      <c r="I503" s="41"/>
    </row>
    <row r="504" spans="1:9" ht="12.5">
      <c r="A504" s="7">
        <v>503</v>
      </c>
      <c r="B504" s="8">
        <v>40566</v>
      </c>
      <c r="C504" s="9">
        <v>0</v>
      </c>
      <c r="D504" s="9" t="str">
        <f>IF(Table1[[#This Row],[Hour]]&lt;6,"Night",IF(Table1[[#This Row],[Hour]]&lt;12,"Morning",IF(Table1[[#This Row],[Hour]]&lt;18,"Afternoon","Evening")))</f>
        <v>Night</v>
      </c>
      <c r="E504" s="9" t="b">
        <v>0</v>
      </c>
      <c r="F504" s="9" t="s">
        <v>19</v>
      </c>
      <c r="G504" s="9" t="s">
        <v>8</v>
      </c>
      <c r="H504" s="10">
        <v>0.04</v>
      </c>
      <c r="I504" s="41"/>
    </row>
    <row r="505" spans="1:9" ht="12.5">
      <c r="A505" s="7">
        <v>504</v>
      </c>
      <c r="B505" s="8">
        <v>40566</v>
      </c>
      <c r="C505" s="9">
        <v>1</v>
      </c>
      <c r="D505" s="9" t="str">
        <f>IF(Table1[[#This Row],[Hour]]&lt;6,"Night",IF(Table1[[#This Row],[Hour]]&lt;12,"Morning",IF(Table1[[#This Row],[Hour]]&lt;18,"Afternoon","Evening")))</f>
        <v>Night</v>
      </c>
      <c r="E505" s="9" t="b">
        <v>0</v>
      </c>
      <c r="F505" s="9" t="s">
        <v>19</v>
      </c>
      <c r="G505" s="9" t="s">
        <v>8</v>
      </c>
      <c r="H505" s="10">
        <v>0.04</v>
      </c>
      <c r="I505" s="41"/>
    </row>
    <row r="506" spans="1:9" ht="12.5">
      <c r="A506" s="7">
        <v>505</v>
      </c>
      <c r="B506" s="8">
        <v>40566</v>
      </c>
      <c r="C506" s="9">
        <v>2</v>
      </c>
      <c r="D506" s="9" t="str">
        <f>IF(Table1[[#This Row],[Hour]]&lt;6,"Night",IF(Table1[[#This Row],[Hour]]&lt;12,"Morning",IF(Table1[[#This Row],[Hour]]&lt;18,"Afternoon","Evening")))</f>
        <v>Night</v>
      </c>
      <c r="E506" s="9" t="b">
        <v>0</v>
      </c>
      <c r="F506" s="9" t="s">
        <v>19</v>
      </c>
      <c r="G506" s="9" t="s">
        <v>8</v>
      </c>
      <c r="H506" s="10">
        <v>0.02</v>
      </c>
      <c r="I506" s="41"/>
    </row>
    <row r="507" spans="1:9" ht="12.5">
      <c r="A507" s="7">
        <v>506</v>
      </c>
      <c r="B507" s="8">
        <v>40566</v>
      </c>
      <c r="C507" s="9">
        <v>3</v>
      </c>
      <c r="D507" s="9" t="str">
        <f>IF(Table1[[#This Row],[Hour]]&lt;6,"Night",IF(Table1[[#This Row],[Hour]]&lt;12,"Morning",IF(Table1[[#This Row],[Hour]]&lt;18,"Afternoon","Evening")))</f>
        <v>Night</v>
      </c>
      <c r="E507" s="9" t="b">
        <v>0</v>
      </c>
      <c r="F507" s="9" t="s">
        <v>19</v>
      </c>
      <c r="G507" s="9" t="s">
        <v>8</v>
      </c>
      <c r="H507" s="10">
        <v>0.02</v>
      </c>
      <c r="I507" s="41"/>
    </row>
    <row r="508" spans="1:9" ht="12.5">
      <c r="A508" s="7">
        <v>507</v>
      </c>
      <c r="B508" s="8">
        <v>40566</v>
      </c>
      <c r="C508" s="9">
        <v>5</v>
      </c>
      <c r="D508" s="9" t="str">
        <f>IF(Table1[[#This Row],[Hour]]&lt;6,"Night",IF(Table1[[#This Row],[Hour]]&lt;12,"Morning",IF(Table1[[#This Row],[Hour]]&lt;18,"Afternoon","Evening")))</f>
        <v>Night</v>
      </c>
      <c r="E508" s="9" t="b">
        <v>0</v>
      </c>
      <c r="F508" s="9" t="s">
        <v>19</v>
      </c>
      <c r="G508" s="9" t="s">
        <v>9</v>
      </c>
      <c r="H508" s="10">
        <v>0.04</v>
      </c>
      <c r="I508" s="41"/>
    </row>
    <row r="509" spans="1:9" ht="12.5">
      <c r="A509" s="7">
        <v>508</v>
      </c>
      <c r="B509" s="8">
        <v>40566</v>
      </c>
      <c r="C509" s="9">
        <v>6</v>
      </c>
      <c r="D509" s="9" t="str">
        <f>IF(Table1[[#This Row],[Hour]]&lt;6,"Night",IF(Table1[[#This Row],[Hour]]&lt;12,"Morning",IF(Table1[[#This Row],[Hour]]&lt;18,"Afternoon","Evening")))</f>
        <v>Morning</v>
      </c>
      <c r="E509" s="9" t="b">
        <v>0</v>
      </c>
      <c r="F509" s="9" t="s">
        <v>19</v>
      </c>
      <c r="G509" s="9" t="s">
        <v>9</v>
      </c>
      <c r="H509" s="10">
        <v>0.04</v>
      </c>
      <c r="I509" s="41"/>
    </row>
    <row r="510" spans="1:9" ht="12.5">
      <c r="A510" s="7">
        <v>509</v>
      </c>
      <c r="B510" s="8">
        <v>40566</v>
      </c>
      <c r="C510" s="9">
        <v>7</v>
      </c>
      <c r="D510" s="9" t="str">
        <f>IF(Table1[[#This Row],[Hour]]&lt;6,"Night",IF(Table1[[#This Row],[Hour]]&lt;12,"Morning",IF(Table1[[#This Row],[Hour]]&lt;18,"Afternoon","Evening")))</f>
        <v>Morning</v>
      </c>
      <c r="E510" s="9" t="b">
        <v>0</v>
      </c>
      <c r="F510" s="9" t="s">
        <v>19</v>
      </c>
      <c r="G510" s="9" t="s">
        <v>8</v>
      </c>
      <c r="H510" s="10">
        <v>0.08</v>
      </c>
      <c r="I510" s="41"/>
    </row>
    <row r="511" spans="1:9" ht="12.5">
      <c r="A511" s="7">
        <v>510</v>
      </c>
      <c r="B511" s="8">
        <v>40566</v>
      </c>
      <c r="C511" s="9">
        <v>8</v>
      </c>
      <c r="D511" s="9" t="str">
        <f>IF(Table1[[#This Row],[Hour]]&lt;6,"Night",IF(Table1[[#This Row],[Hour]]&lt;12,"Morning",IF(Table1[[#This Row],[Hour]]&lt;18,"Afternoon","Evening")))</f>
        <v>Morning</v>
      </c>
      <c r="E511" s="9" t="b">
        <v>0</v>
      </c>
      <c r="F511" s="9" t="s">
        <v>19</v>
      </c>
      <c r="G511" s="9" t="s">
        <v>8</v>
      </c>
      <c r="H511" s="10">
        <v>0.06</v>
      </c>
      <c r="I511" s="41"/>
    </row>
    <row r="512" spans="1:9" ht="12.5">
      <c r="A512" s="7">
        <v>511</v>
      </c>
      <c r="B512" s="8">
        <v>40566</v>
      </c>
      <c r="C512" s="9">
        <v>9</v>
      </c>
      <c r="D512" s="9" t="str">
        <f>IF(Table1[[#This Row],[Hour]]&lt;6,"Night",IF(Table1[[#This Row],[Hour]]&lt;12,"Morning",IF(Table1[[#This Row],[Hour]]&lt;18,"Afternoon","Evening")))</f>
        <v>Morning</v>
      </c>
      <c r="E512" s="9" t="b">
        <v>0</v>
      </c>
      <c r="F512" s="9" t="s">
        <v>19</v>
      </c>
      <c r="G512" s="9" t="s">
        <v>8</v>
      </c>
      <c r="H512" s="10">
        <v>0.1</v>
      </c>
      <c r="I512" s="41"/>
    </row>
    <row r="513" spans="1:9" ht="12.5">
      <c r="A513" s="7">
        <v>512</v>
      </c>
      <c r="B513" s="8">
        <v>40566</v>
      </c>
      <c r="C513" s="9">
        <v>10</v>
      </c>
      <c r="D513" s="9" t="str">
        <f>IF(Table1[[#This Row],[Hour]]&lt;6,"Night",IF(Table1[[#This Row],[Hour]]&lt;12,"Morning",IF(Table1[[#This Row],[Hour]]&lt;18,"Afternoon","Evening")))</f>
        <v>Morning</v>
      </c>
      <c r="E513" s="9" t="b">
        <v>0</v>
      </c>
      <c r="F513" s="9" t="s">
        <v>19</v>
      </c>
      <c r="G513" s="9" t="s">
        <v>8</v>
      </c>
      <c r="H513" s="10">
        <v>0.14000000000000001</v>
      </c>
      <c r="I513" s="41"/>
    </row>
    <row r="514" spans="1:9" ht="12.5">
      <c r="A514" s="7">
        <v>513</v>
      </c>
      <c r="B514" s="8">
        <v>40566</v>
      </c>
      <c r="C514" s="9">
        <v>11</v>
      </c>
      <c r="D514" s="9" t="str">
        <f>IF(Table1[[#This Row],[Hour]]&lt;6,"Night",IF(Table1[[#This Row],[Hour]]&lt;12,"Morning",IF(Table1[[#This Row],[Hour]]&lt;18,"Afternoon","Evening")))</f>
        <v>Morning</v>
      </c>
      <c r="E514" s="9" t="b">
        <v>0</v>
      </c>
      <c r="F514" s="9" t="s">
        <v>19</v>
      </c>
      <c r="G514" s="9" t="s">
        <v>8</v>
      </c>
      <c r="H514" s="10">
        <v>0.14000000000000001</v>
      </c>
      <c r="I514" s="41"/>
    </row>
    <row r="515" spans="1:9" ht="12.5">
      <c r="A515" s="7">
        <v>514</v>
      </c>
      <c r="B515" s="8">
        <v>40566</v>
      </c>
      <c r="C515" s="9">
        <v>12</v>
      </c>
      <c r="D515" s="9" t="str">
        <f>IF(Table1[[#This Row],[Hour]]&lt;6,"Night",IF(Table1[[#This Row],[Hour]]&lt;12,"Morning",IF(Table1[[#This Row],[Hour]]&lt;18,"Afternoon","Evening")))</f>
        <v>Afternoon</v>
      </c>
      <c r="E515" s="9" t="b">
        <v>0</v>
      </c>
      <c r="F515" s="9" t="s">
        <v>19</v>
      </c>
      <c r="G515" s="9" t="s">
        <v>8</v>
      </c>
      <c r="H515" s="10">
        <v>0.16</v>
      </c>
      <c r="I515" s="41"/>
    </row>
    <row r="516" spans="1:9" ht="12.5">
      <c r="A516" s="7">
        <v>515</v>
      </c>
      <c r="B516" s="8">
        <v>40566</v>
      </c>
      <c r="C516" s="9">
        <v>13</v>
      </c>
      <c r="D516" s="9" t="str">
        <f>IF(Table1[[#This Row],[Hour]]&lt;6,"Night",IF(Table1[[#This Row],[Hour]]&lt;12,"Morning",IF(Table1[[#This Row],[Hour]]&lt;18,"Afternoon","Evening")))</f>
        <v>Afternoon</v>
      </c>
      <c r="E516" s="9" t="b">
        <v>0</v>
      </c>
      <c r="F516" s="9" t="s">
        <v>19</v>
      </c>
      <c r="G516" s="9" t="s">
        <v>8</v>
      </c>
      <c r="H516" s="10">
        <v>0.14000000000000001</v>
      </c>
      <c r="I516" s="41"/>
    </row>
    <row r="517" spans="1:9" ht="12.5">
      <c r="A517" s="7">
        <v>516</v>
      </c>
      <c r="B517" s="8">
        <v>40566</v>
      </c>
      <c r="C517" s="9">
        <v>14</v>
      </c>
      <c r="D517" s="9" t="str">
        <f>IF(Table1[[#This Row],[Hour]]&lt;6,"Night",IF(Table1[[#This Row],[Hour]]&lt;12,"Morning",IF(Table1[[#This Row],[Hour]]&lt;18,"Afternoon","Evening")))</f>
        <v>Afternoon</v>
      </c>
      <c r="E517" s="9" t="b">
        <v>0</v>
      </c>
      <c r="F517" s="9" t="s">
        <v>19</v>
      </c>
      <c r="G517" s="9" t="s">
        <v>8</v>
      </c>
      <c r="H517" s="10">
        <v>0.16</v>
      </c>
      <c r="I517" s="41"/>
    </row>
    <row r="518" spans="1:9" ht="12.5">
      <c r="A518" s="7">
        <v>517</v>
      </c>
      <c r="B518" s="8">
        <v>40566</v>
      </c>
      <c r="C518" s="9">
        <v>15</v>
      </c>
      <c r="D518" s="9" t="str">
        <f>IF(Table1[[#This Row],[Hour]]&lt;6,"Night",IF(Table1[[#This Row],[Hour]]&lt;12,"Morning",IF(Table1[[#This Row],[Hour]]&lt;18,"Afternoon","Evening")))</f>
        <v>Afternoon</v>
      </c>
      <c r="E518" s="9" t="b">
        <v>0</v>
      </c>
      <c r="F518" s="9" t="s">
        <v>19</v>
      </c>
      <c r="G518" s="9" t="s">
        <v>8</v>
      </c>
      <c r="H518" s="10">
        <v>0.16</v>
      </c>
      <c r="I518" s="41"/>
    </row>
    <row r="519" spans="1:9" ht="12.5">
      <c r="A519" s="7">
        <v>518</v>
      </c>
      <c r="B519" s="8">
        <v>40566</v>
      </c>
      <c r="C519" s="9">
        <v>16</v>
      </c>
      <c r="D519" s="9" t="str">
        <f>IF(Table1[[#This Row],[Hour]]&lt;6,"Night",IF(Table1[[#This Row],[Hour]]&lt;12,"Morning",IF(Table1[[#This Row],[Hour]]&lt;18,"Afternoon","Evening")))</f>
        <v>Afternoon</v>
      </c>
      <c r="E519" s="9" t="b">
        <v>0</v>
      </c>
      <c r="F519" s="9" t="s">
        <v>19</v>
      </c>
      <c r="G519" s="9" t="s">
        <v>8</v>
      </c>
      <c r="H519" s="10">
        <v>0.16</v>
      </c>
      <c r="I519" s="41"/>
    </row>
    <row r="520" spans="1:9" ht="12.5">
      <c r="A520" s="7">
        <v>519</v>
      </c>
      <c r="B520" s="8">
        <v>40566</v>
      </c>
      <c r="C520" s="9">
        <v>17</v>
      </c>
      <c r="D520" s="9" t="str">
        <f>IF(Table1[[#This Row],[Hour]]&lt;6,"Night",IF(Table1[[#This Row],[Hour]]&lt;12,"Morning",IF(Table1[[#This Row],[Hour]]&lt;18,"Afternoon","Evening")))</f>
        <v>Afternoon</v>
      </c>
      <c r="E520" s="9" t="b">
        <v>0</v>
      </c>
      <c r="F520" s="9" t="s">
        <v>19</v>
      </c>
      <c r="G520" s="9" t="s">
        <v>8</v>
      </c>
      <c r="H520" s="10">
        <v>0.14000000000000001</v>
      </c>
      <c r="I520" s="41"/>
    </row>
    <row r="521" spans="1:9" ht="12.5">
      <c r="A521" s="7">
        <v>520</v>
      </c>
      <c r="B521" s="8">
        <v>40566</v>
      </c>
      <c r="C521" s="9">
        <v>18</v>
      </c>
      <c r="D521" s="9" t="str">
        <f>IF(Table1[[#This Row],[Hour]]&lt;6,"Night",IF(Table1[[#This Row],[Hour]]&lt;12,"Morning",IF(Table1[[#This Row],[Hour]]&lt;18,"Afternoon","Evening")))</f>
        <v>Evening</v>
      </c>
      <c r="E521" s="9" t="b">
        <v>0</v>
      </c>
      <c r="F521" s="9" t="s">
        <v>19</v>
      </c>
      <c r="G521" s="9" t="s">
        <v>8</v>
      </c>
      <c r="H521" s="10">
        <v>0.12</v>
      </c>
      <c r="I521" s="41"/>
    </row>
    <row r="522" spans="1:9" ht="12.5">
      <c r="A522" s="7">
        <v>521</v>
      </c>
      <c r="B522" s="8">
        <v>40566</v>
      </c>
      <c r="C522" s="9">
        <v>19</v>
      </c>
      <c r="D522" s="9" t="str">
        <f>IF(Table1[[#This Row],[Hour]]&lt;6,"Night",IF(Table1[[#This Row],[Hour]]&lt;12,"Morning",IF(Table1[[#This Row],[Hour]]&lt;18,"Afternoon","Evening")))</f>
        <v>Evening</v>
      </c>
      <c r="E522" s="9" t="b">
        <v>0</v>
      </c>
      <c r="F522" s="9" t="s">
        <v>19</v>
      </c>
      <c r="G522" s="9" t="s">
        <v>8</v>
      </c>
      <c r="H522" s="10">
        <v>0.12</v>
      </c>
      <c r="I522" s="41"/>
    </row>
    <row r="523" spans="1:9" ht="12.5">
      <c r="A523" s="7">
        <v>522</v>
      </c>
      <c r="B523" s="8">
        <v>40566</v>
      </c>
      <c r="C523" s="9">
        <v>20</v>
      </c>
      <c r="D523" s="9" t="str">
        <f>IF(Table1[[#This Row],[Hour]]&lt;6,"Night",IF(Table1[[#This Row],[Hour]]&lt;12,"Morning",IF(Table1[[#This Row],[Hour]]&lt;18,"Afternoon","Evening")))</f>
        <v>Evening</v>
      </c>
      <c r="E523" s="9" t="b">
        <v>0</v>
      </c>
      <c r="F523" s="9" t="s">
        <v>19</v>
      </c>
      <c r="G523" s="9" t="s">
        <v>8</v>
      </c>
      <c r="H523" s="10">
        <v>0.1</v>
      </c>
      <c r="I523" s="41"/>
    </row>
    <row r="524" spans="1:9" ht="12.5">
      <c r="A524" s="7">
        <v>523</v>
      </c>
      <c r="B524" s="8">
        <v>40566</v>
      </c>
      <c r="C524" s="9">
        <v>21</v>
      </c>
      <c r="D524" s="9" t="str">
        <f>IF(Table1[[#This Row],[Hour]]&lt;6,"Night",IF(Table1[[#This Row],[Hour]]&lt;12,"Morning",IF(Table1[[#This Row],[Hour]]&lt;18,"Afternoon","Evening")))</f>
        <v>Evening</v>
      </c>
      <c r="E524" s="9" t="b">
        <v>0</v>
      </c>
      <c r="F524" s="9" t="s">
        <v>19</v>
      </c>
      <c r="G524" s="9" t="s">
        <v>8</v>
      </c>
      <c r="H524" s="10">
        <v>0.1</v>
      </c>
      <c r="I524" s="41"/>
    </row>
    <row r="525" spans="1:9" ht="12.5">
      <c r="A525" s="7">
        <v>524</v>
      </c>
      <c r="B525" s="8">
        <v>40566</v>
      </c>
      <c r="C525" s="9">
        <v>22</v>
      </c>
      <c r="D525" s="9" t="str">
        <f>IF(Table1[[#This Row],[Hour]]&lt;6,"Night",IF(Table1[[#This Row],[Hour]]&lt;12,"Morning",IF(Table1[[#This Row],[Hour]]&lt;18,"Afternoon","Evening")))</f>
        <v>Evening</v>
      </c>
      <c r="E525" s="9" t="b">
        <v>0</v>
      </c>
      <c r="F525" s="9" t="s">
        <v>19</v>
      </c>
      <c r="G525" s="9" t="s">
        <v>8</v>
      </c>
      <c r="H525" s="10">
        <v>0.08</v>
      </c>
      <c r="I525" s="41"/>
    </row>
    <row r="526" spans="1:9" ht="12.5">
      <c r="A526" s="7">
        <v>525</v>
      </c>
      <c r="B526" s="8">
        <v>40566</v>
      </c>
      <c r="C526" s="9">
        <v>23</v>
      </c>
      <c r="D526" s="9" t="str">
        <f>IF(Table1[[#This Row],[Hour]]&lt;6,"Night",IF(Table1[[#This Row],[Hour]]&lt;12,"Morning",IF(Table1[[#This Row],[Hour]]&lt;18,"Afternoon","Evening")))</f>
        <v>Evening</v>
      </c>
      <c r="E526" s="9" t="b">
        <v>0</v>
      </c>
      <c r="F526" s="9" t="s">
        <v>19</v>
      </c>
      <c r="G526" s="9" t="s">
        <v>8</v>
      </c>
      <c r="H526" s="10">
        <v>0.06</v>
      </c>
      <c r="I526" s="41"/>
    </row>
    <row r="527" spans="1:9" ht="12.5">
      <c r="A527" s="7">
        <v>526</v>
      </c>
      <c r="B527" s="8">
        <v>40567</v>
      </c>
      <c r="C527" s="9">
        <v>0</v>
      </c>
      <c r="D527" s="9" t="str">
        <f>IF(Table1[[#This Row],[Hour]]&lt;6,"Night",IF(Table1[[#This Row],[Hour]]&lt;12,"Morning",IF(Table1[[#This Row],[Hour]]&lt;18,"Afternoon","Evening")))</f>
        <v>Night</v>
      </c>
      <c r="E527" s="9" t="b">
        <v>0</v>
      </c>
      <c r="F527" s="9" t="s">
        <v>20</v>
      </c>
      <c r="G527" s="9" t="s">
        <v>8</v>
      </c>
      <c r="H527" s="10">
        <v>0.06</v>
      </c>
      <c r="I527" s="41"/>
    </row>
    <row r="528" spans="1:9" ht="12.5">
      <c r="A528" s="7">
        <v>527</v>
      </c>
      <c r="B528" s="8">
        <v>40567</v>
      </c>
      <c r="C528" s="9">
        <v>1</v>
      </c>
      <c r="D528" s="9" t="str">
        <f>IF(Table1[[#This Row],[Hour]]&lt;6,"Night",IF(Table1[[#This Row],[Hour]]&lt;12,"Morning",IF(Table1[[#This Row],[Hour]]&lt;18,"Afternoon","Evening")))</f>
        <v>Night</v>
      </c>
      <c r="E528" s="9" t="b">
        <v>0</v>
      </c>
      <c r="F528" s="9" t="s">
        <v>20</v>
      </c>
      <c r="G528" s="9" t="s">
        <v>8</v>
      </c>
      <c r="H528" s="10">
        <v>0.04</v>
      </c>
      <c r="I528" s="41"/>
    </row>
    <row r="529" spans="1:9" ht="12.5">
      <c r="A529" s="7">
        <v>528</v>
      </c>
      <c r="B529" s="8">
        <v>40567</v>
      </c>
      <c r="C529" s="9">
        <v>3</v>
      </c>
      <c r="D529" s="9" t="str">
        <f>IF(Table1[[#This Row],[Hour]]&lt;6,"Night",IF(Table1[[#This Row],[Hour]]&lt;12,"Morning",IF(Table1[[#This Row],[Hour]]&lt;18,"Afternoon","Evening")))</f>
        <v>Night</v>
      </c>
      <c r="E529" s="9" t="b">
        <v>0</v>
      </c>
      <c r="F529" s="9" t="s">
        <v>20</v>
      </c>
      <c r="G529" s="9" t="s">
        <v>8</v>
      </c>
      <c r="H529" s="10">
        <v>0.04</v>
      </c>
      <c r="I529" s="41"/>
    </row>
    <row r="530" spans="1:9" ht="12.5">
      <c r="A530" s="7">
        <v>529</v>
      </c>
      <c r="B530" s="8">
        <v>40567</v>
      </c>
      <c r="C530" s="9">
        <v>4</v>
      </c>
      <c r="D530" s="9" t="str">
        <f>IF(Table1[[#This Row],[Hour]]&lt;6,"Night",IF(Table1[[#This Row],[Hour]]&lt;12,"Morning",IF(Table1[[#This Row],[Hour]]&lt;18,"Afternoon","Evening")))</f>
        <v>Night</v>
      </c>
      <c r="E530" s="9" t="b">
        <v>0</v>
      </c>
      <c r="F530" s="9" t="s">
        <v>20</v>
      </c>
      <c r="G530" s="9" t="s">
        <v>8</v>
      </c>
      <c r="H530" s="10">
        <v>0.02</v>
      </c>
      <c r="I530" s="41"/>
    </row>
    <row r="531" spans="1:9" ht="12.5">
      <c r="A531" s="7">
        <v>530</v>
      </c>
      <c r="B531" s="8">
        <v>40567</v>
      </c>
      <c r="C531" s="9">
        <v>5</v>
      </c>
      <c r="D531" s="9" t="str">
        <f>IF(Table1[[#This Row],[Hour]]&lt;6,"Night",IF(Table1[[#This Row],[Hour]]&lt;12,"Morning",IF(Table1[[#This Row],[Hour]]&lt;18,"Afternoon","Evening")))</f>
        <v>Night</v>
      </c>
      <c r="E531" s="9" t="b">
        <v>0</v>
      </c>
      <c r="F531" s="9" t="s">
        <v>20</v>
      </c>
      <c r="G531" s="9" t="s">
        <v>8</v>
      </c>
      <c r="H531" s="10">
        <v>0.02</v>
      </c>
      <c r="I531" s="41"/>
    </row>
    <row r="532" spans="1:9" ht="12.5">
      <c r="A532" s="7">
        <v>531</v>
      </c>
      <c r="B532" s="8">
        <v>40567</v>
      </c>
      <c r="C532" s="9">
        <v>6</v>
      </c>
      <c r="D532" s="9" t="str">
        <f>IF(Table1[[#This Row],[Hour]]&lt;6,"Night",IF(Table1[[#This Row],[Hour]]&lt;12,"Morning",IF(Table1[[#This Row],[Hour]]&lt;18,"Afternoon","Evening")))</f>
        <v>Morning</v>
      </c>
      <c r="E532" s="9" t="b">
        <v>0</v>
      </c>
      <c r="F532" s="9" t="s">
        <v>20</v>
      </c>
      <c r="G532" s="9" t="s">
        <v>8</v>
      </c>
      <c r="H532" s="10">
        <v>0.02</v>
      </c>
      <c r="I532" s="41"/>
    </row>
    <row r="533" spans="1:9" ht="12.5">
      <c r="A533" s="7">
        <v>532</v>
      </c>
      <c r="B533" s="8">
        <v>40567</v>
      </c>
      <c r="C533" s="9">
        <v>7</v>
      </c>
      <c r="D533" s="9" t="str">
        <f>IF(Table1[[#This Row],[Hour]]&lt;6,"Night",IF(Table1[[#This Row],[Hour]]&lt;12,"Morning",IF(Table1[[#This Row],[Hour]]&lt;18,"Afternoon","Evening")))</f>
        <v>Morning</v>
      </c>
      <c r="E533" s="9" t="b">
        <v>0</v>
      </c>
      <c r="F533" s="9" t="s">
        <v>20</v>
      </c>
      <c r="G533" s="9" t="s">
        <v>8</v>
      </c>
      <c r="H533" s="10">
        <v>0.02</v>
      </c>
      <c r="I533" s="41"/>
    </row>
    <row r="534" spans="1:9" ht="12.5">
      <c r="A534" s="7">
        <v>533</v>
      </c>
      <c r="B534" s="8">
        <v>40567</v>
      </c>
      <c r="C534" s="9">
        <v>8</v>
      </c>
      <c r="D534" s="9" t="str">
        <f>IF(Table1[[#This Row],[Hour]]&lt;6,"Night",IF(Table1[[#This Row],[Hour]]&lt;12,"Morning",IF(Table1[[#This Row],[Hour]]&lt;18,"Afternoon","Evening")))</f>
        <v>Morning</v>
      </c>
      <c r="E534" s="9" t="b">
        <v>0</v>
      </c>
      <c r="F534" s="9" t="s">
        <v>20</v>
      </c>
      <c r="G534" s="9" t="s">
        <v>8</v>
      </c>
      <c r="H534" s="10">
        <v>0.04</v>
      </c>
      <c r="I534" s="41"/>
    </row>
    <row r="535" spans="1:9" ht="12.5">
      <c r="A535" s="7">
        <v>534</v>
      </c>
      <c r="B535" s="8">
        <v>40567</v>
      </c>
      <c r="C535" s="9">
        <v>9</v>
      </c>
      <c r="D535" s="9" t="str">
        <f>IF(Table1[[#This Row],[Hour]]&lt;6,"Night",IF(Table1[[#This Row],[Hour]]&lt;12,"Morning",IF(Table1[[#This Row],[Hour]]&lt;18,"Afternoon","Evening")))</f>
        <v>Morning</v>
      </c>
      <c r="E535" s="9" t="b">
        <v>0</v>
      </c>
      <c r="F535" s="9" t="s">
        <v>20</v>
      </c>
      <c r="G535" s="9" t="s">
        <v>8</v>
      </c>
      <c r="H535" s="10">
        <v>0.06</v>
      </c>
      <c r="I535" s="41"/>
    </row>
    <row r="536" spans="1:9" ht="12.5">
      <c r="A536" s="7">
        <v>535</v>
      </c>
      <c r="B536" s="8">
        <v>40567</v>
      </c>
      <c r="C536" s="9">
        <v>10</v>
      </c>
      <c r="D536" s="9" t="str">
        <f>IF(Table1[[#This Row],[Hour]]&lt;6,"Night",IF(Table1[[#This Row],[Hour]]&lt;12,"Morning",IF(Table1[[#This Row],[Hour]]&lt;18,"Afternoon","Evening")))</f>
        <v>Morning</v>
      </c>
      <c r="E536" s="9" t="b">
        <v>0</v>
      </c>
      <c r="F536" s="9" t="s">
        <v>20</v>
      </c>
      <c r="G536" s="9" t="s">
        <v>8</v>
      </c>
      <c r="H536" s="10">
        <v>0.1</v>
      </c>
      <c r="I536" s="41"/>
    </row>
    <row r="537" spans="1:9" ht="12.5">
      <c r="A537" s="7">
        <v>536</v>
      </c>
      <c r="B537" s="8">
        <v>40567</v>
      </c>
      <c r="C537" s="9">
        <v>11</v>
      </c>
      <c r="D537" s="9" t="str">
        <f>IF(Table1[[#This Row],[Hour]]&lt;6,"Night",IF(Table1[[#This Row],[Hour]]&lt;12,"Morning",IF(Table1[[#This Row],[Hour]]&lt;18,"Afternoon","Evening")))</f>
        <v>Morning</v>
      </c>
      <c r="E537" s="9" t="b">
        <v>0</v>
      </c>
      <c r="F537" s="9" t="s">
        <v>20</v>
      </c>
      <c r="G537" s="9" t="s">
        <v>8</v>
      </c>
      <c r="H537" s="10">
        <v>0.1</v>
      </c>
      <c r="I537" s="41"/>
    </row>
    <row r="538" spans="1:9" ht="12.5">
      <c r="A538" s="7">
        <v>537</v>
      </c>
      <c r="B538" s="8">
        <v>40567</v>
      </c>
      <c r="C538" s="9">
        <v>12</v>
      </c>
      <c r="D538" s="9" t="str">
        <f>IF(Table1[[#This Row],[Hour]]&lt;6,"Night",IF(Table1[[#This Row],[Hour]]&lt;12,"Morning",IF(Table1[[#This Row],[Hour]]&lt;18,"Afternoon","Evening")))</f>
        <v>Afternoon</v>
      </c>
      <c r="E538" s="9" t="b">
        <v>0</v>
      </c>
      <c r="F538" s="9" t="s">
        <v>20</v>
      </c>
      <c r="G538" s="9" t="s">
        <v>9</v>
      </c>
      <c r="H538" s="10">
        <v>0.12</v>
      </c>
      <c r="I538" s="41"/>
    </row>
    <row r="539" spans="1:9" ht="12.5">
      <c r="A539" s="7">
        <v>538</v>
      </c>
      <c r="B539" s="8">
        <v>40567</v>
      </c>
      <c r="C539" s="9">
        <v>13</v>
      </c>
      <c r="D539" s="9" t="str">
        <f>IF(Table1[[#This Row],[Hour]]&lt;6,"Night",IF(Table1[[#This Row],[Hour]]&lt;12,"Morning",IF(Table1[[#This Row],[Hour]]&lt;18,"Afternoon","Evening")))</f>
        <v>Afternoon</v>
      </c>
      <c r="E539" s="9" t="b">
        <v>0</v>
      </c>
      <c r="F539" s="9" t="s">
        <v>20</v>
      </c>
      <c r="G539" s="9" t="s">
        <v>9</v>
      </c>
      <c r="H539" s="10">
        <v>0.14000000000000001</v>
      </c>
      <c r="I539" s="41"/>
    </row>
    <row r="540" spans="1:9" ht="12.5">
      <c r="A540" s="7">
        <v>539</v>
      </c>
      <c r="B540" s="8">
        <v>40567</v>
      </c>
      <c r="C540" s="9">
        <v>14</v>
      </c>
      <c r="D540" s="9" t="str">
        <f>IF(Table1[[#This Row],[Hour]]&lt;6,"Night",IF(Table1[[#This Row],[Hour]]&lt;12,"Morning",IF(Table1[[#This Row],[Hour]]&lt;18,"Afternoon","Evening")))</f>
        <v>Afternoon</v>
      </c>
      <c r="E540" s="9" t="b">
        <v>0</v>
      </c>
      <c r="F540" s="9" t="s">
        <v>20</v>
      </c>
      <c r="G540" s="9" t="s">
        <v>9</v>
      </c>
      <c r="H540" s="10">
        <v>0.14000000000000001</v>
      </c>
      <c r="I540" s="41"/>
    </row>
    <row r="541" spans="1:9" ht="12.5">
      <c r="A541" s="7">
        <v>540</v>
      </c>
      <c r="B541" s="8">
        <v>40567</v>
      </c>
      <c r="C541" s="9">
        <v>15</v>
      </c>
      <c r="D541" s="9" t="str">
        <f>IF(Table1[[#This Row],[Hour]]&lt;6,"Night",IF(Table1[[#This Row],[Hour]]&lt;12,"Morning",IF(Table1[[#This Row],[Hour]]&lt;18,"Afternoon","Evening")))</f>
        <v>Afternoon</v>
      </c>
      <c r="E541" s="9" t="b">
        <v>0</v>
      </c>
      <c r="F541" s="9" t="s">
        <v>20</v>
      </c>
      <c r="G541" s="9" t="s">
        <v>8</v>
      </c>
      <c r="H541" s="10">
        <v>0.16</v>
      </c>
      <c r="I541" s="41"/>
    </row>
    <row r="542" spans="1:9" ht="12.5">
      <c r="A542" s="7">
        <v>541</v>
      </c>
      <c r="B542" s="8">
        <v>40567</v>
      </c>
      <c r="C542" s="9">
        <v>16</v>
      </c>
      <c r="D542" s="9" t="str">
        <f>IF(Table1[[#This Row],[Hour]]&lt;6,"Night",IF(Table1[[#This Row],[Hour]]&lt;12,"Morning",IF(Table1[[#This Row],[Hour]]&lt;18,"Afternoon","Evening")))</f>
        <v>Afternoon</v>
      </c>
      <c r="E542" s="9" t="b">
        <v>0</v>
      </c>
      <c r="F542" s="9" t="s">
        <v>20</v>
      </c>
      <c r="G542" s="9" t="s">
        <v>8</v>
      </c>
      <c r="H542" s="10">
        <v>0.16</v>
      </c>
      <c r="I542" s="41"/>
    </row>
    <row r="543" spans="1:9" ht="12.5">
      <c r="A543" s="7">
        <v>542</v>
      </c>
      <c r="B543" s="8">
        <v>40567</v>
      </c>
      <c r="C543" s="9">
        <v>17</v>
      </c>
      <c r="D543" s="9" t="str">
        <f>IF(Table1[[#This Row],[Hour]]&lt;6,"Night",IF(Table1[[#This Row],[Hour]]&lt;12,"Morning",IF(Table1[[#This Row],[Hour]]&lt;18,"Afternoon","Evening")))</f>
        <v>Afternoon</v>
      </c>
      <c r="E543" s="9" t="b">
        <v>0</v>
      </c>
      <c r="F543" s="9" t="s">
        <v>20</v>
      </c>
      <c r="G543" s="9" t="s">
        <v>8</v>
      </c>
      <c r="H543" s="10">
        <v>0.14000000000000001</v>
      </c>
      <c r="I543" s="41"/>
    </row>
    <row r="544" spans="1:9" ht="12.5">
      <c r="A544" s="7">
        <v>543</v>
      </c>
      <c r="B544" s="8">
        <v>40567</v>
      </c>
      <c r="C544" s="9">
        <v>18</v>
      </c>
      <c r="D544" s="9" t="str">
        <f>IF(Table1[[#This Row],[Hour]]&lt;6,"Night",IF(Table1[[#This Row],[Hour]]&lt;12,"Morning",IF(Table1[[#This Row],[Hour]]&lt;18,"Afternoon","Evening")))</f>
        <v>Evening</v>
      </c>
      <c r="E544" s="9" t="b">
        <v>0</v>
      </c>
      <c r="F544" s="9" t="s">
        <v>20</v>
      </c>
      <c r="G544" s="9" t="s">
        <v>8</v>
      </c>
      <c r="H544" s="10">
        <v>0.14000000000000001</v>
      </c>
      <c r="I544" s="41"/>
    </row>
    <row r="545" spans="1:9" ht="12.5">
      <c r="A545" s="7">
        <v>544</v>
      </c>
      <c r="B545" s="8">
        <v>40567</v>
      </c>
      <c r="C545" s="9">
        <v>19</v>
      </c>
      <c r="D545" s="9" t="str">
        <f>IF(Table1[[#This Row],[Hour]]&lt;6,"Night",IF(Table1[[#This Row],[Hour]]&lt;12,"Morning",IF(Table1[[#This Row],[Hour]]&lt;18,"Afternoon","Evening")))</f>
        <v>Evening</v>
      </c>
      <c r="E545" s="9" t="b">
        <v>0</v>
      </c>
      <c r="F545" s="9" t="s">
        <v>20</v>
      </c>
      <c r="G545" s="9" t="s">
        <v>8</v>
      </c>
      <c r="H545" s="10">
        <v>0.14000000000000001</v>
      </c>
      <c r="I545" s="41"/>
    </row>
    <row r="546" spans="1:9" ht="12.5">
      <c r="A546" s="7">
        <v>545</v>
      </c>
      <c r="B546" s="8">
        <v>40567</v>
      </c>
      <c r="C546" s="9">
        <v>20</v>
      </c>
      <c r="D546" s="9" t="str">
        <f>IF(Table1[[#This Row],[Hour]]&lt;6,"Night",IF(Table1[[#This Row],[Hour]]&lt;12,"Morning",IF(Table1[[#This Row],[Hour]]&lt;18,"Afternoon","Evening")))</f>
        <v>Evening</v>
      </c>
      <c r="E546" s="9" t="b">
        <v>0</v>
      </c>
      <c r="F546" s="9" t="s">
        <v>20</v>
      </c>
      <c r="G546" s="9" t="s">
        <v>8</v>
      </c>
      <c r="H546" s="10">
        <v>0.14000000000000001</v>
      </c>
      <c r="I546" s="41"/>
    </row>
    <row r="547" spans="1:9" ht="12.5">
      <c r="A547" s="7">
        <v>546</v>
      </c>
      <c r="B547" s="8">
        <v>40567</v>
      </c>
      <c r="C547" s="9">
        <v>21</v>
      </c>
      <c r="D547" s="9" t="str">
        <f>IF(Table1[[#This Row],[Hour]]&lt;6,"Night",IF(Table1[[#This Row],[Hour]]&lt;12,"Morning",IF(Table1[[#This Row],[Hour]]&lt;18,"Afternoon","Evening")))</f>
        <v>Evening</v>
      </c>
      <c r="E547" s="9" t="b">
        <v>0</v>
      </c>
      <c r="F547" s="9" t="s">
        <v>20</v>
      </c>
      <c r="G547" s="9" t="s">
        <v>8</v>
      </c>
      <c r="H547" s="10">
        <v>0.14000000000000001</v>
      </c>
      <c r="I547" s="41"/>
    </row>
    <row r="548" spans="1:9" ht="12.5">
      <c r="A548" s="7">
        <v>547</v>
      </c>
      <c r="B548" s="8">
        <v>40567</v>
      </c>
      <c r="C548" s="9">
        <v>22</v>
      </c>
      <c r="D548" s="9" t="str">
        <f>IF(Table1[[#This Row],[Hour]]&lt;6,"Night",IF(Table1[[#This Row],[Hour]]&lt;12,"Morning",IF(Table1[[#This Row],[Hour]]&lt;18,"Afternoon","Evening")))</f>
        <v>Evening</v>
      </c>
      <c r="E548" s="9" t="b">
        <v>0</v>
      </c>
      <c r="F548" s="9" t="s">
        <v>20</v>
      </c>
      <c r="G548" s="9" t="s">
        <v>9</v>
      </c>
      <c r="H548" s="10">
        <v>0.14000000000000001</v>
      </c>
      <c r="I548" s="41"/>
    </row>
    <row r="549" spans="1:9" ht="12.5">
      <c r="A549" s="7">
        <v>548</v>
      </c>
      <c r="B549" s="8">
        <v>40567</v>
      </c>
      <c r="C549" s="9">
        <v>23</v>
      </c>
      <c r="D549" s="9" t="str">
        <f>IF(Table1[[#This Row],[Hour]]&lt;6,"Night",IF(Table1[[#This Row],[Hour]]&lt;12,"Morning",IF(Table1[[#This Row],[Hour]]&lt;18,"Afternoon","Evening")))</f>
        <v>Evening</v>
      </c>
      <c r="E549" s="9" t="b">
        <v>0</v>
      </c>
      <c r="F549" s="9" t="s">
        <v>20</v>
      </c>
      <c r="G549" s="9" t="s">
        <v>9</v>
      </c>
      <c r="H549" s="10">
        <v>0.16</v>
      </c>
      <c r="I549" s="41"/>
    </row>
    <row r="550" spans="1:9" ht="12.5">
      <c r="A550" s="7">
        <v>549</v>
      </c>
      <c r="B550" s="8">
        <v>40568</v>
      </c>
      <c r="C550" s="9">
        <v>0</v>
      </c>
      <c r="D550" s="9" t="str">
        <f>IF(Table1[[#This Row],[Hour]]&lt;6,"Night",IF(Table1[[#This Row],[Hour]]&lt;12,"Morning",IF(Table1[[#This Row],[Hour]]&lt;18,"Afternoon","Evening")))</f>
        <v>Night</v>
      </c>
      <c r="E550" s="9" t="b">
        <v>0</v>
      </c>
      <c r="F550" s="9" t="s">
        <v>21</v>
      </c>
      <c r="G550" s="9" t="s">
        <v>9</v>
      </c>
      <c r="H550" s="10">
        <v>0.16</v>
      </c>
      <c r="I550" s="41"/>
    </row>
    <row r="551" spans="1:9" ht="12.5">
      <c r="A551" s="7">
        <v>550</v>
      </c>
      <c r="B551" s="8">
        <v>40568</v>
      </c>
      <c r="C551" s="9">
        <v>1</v>
      </c>
      <c r="D551" s="9" t="str">
        <f>IF(Table1[[#This Row],[Hour]]&lt;6,"Night",IF(Table1[[#This Row],[Hour]]&lt;12,"Morning",IF(Table1[[#This Row],[Hour]]&lt;18,"Afternoon","Evening")))</f>
        <v>Night</v>
      </c>
      <c r="E551" s="9" t="b">
        <v>0</v>
      </c>
      <c r="F551" s="9" t="s">
        <v>21</v>
      </c>
      <c r="G551" s="9" t="s">
        <v>9</v>
      </c>
      <c r="H551" s="10">
        <v>0.16</v>
      </c>
      <c r="I551" s="41"/>
    </row>
    <row r="552" spans="1:9" ht="12.5">
      <c r="A552" s="7">
        <v>551</v>
      </c>
      <c r="B552" s="8">
        <v>40568</v>
      </c>
      <c r="C552" s="9">
        <v>2</v>
      </c>
      <c r="D552" s="9" t="str">
        <f>IF(Table1[[#This Row],[Hour]]&lt;6,"Night",IF(Table1[[#This Row],[Hour]]&lt;12,"Morning",IF(Table1[[#This Row],[Hour]]&lt;18,"Afternoon","Evening")))</f>
        <v>Night</v>
      </c>
      <c r="E552" s="9" t="b">
        <v>0</v>
      </c>
      <c r="F552" s="9" t="s">
        <v>21</v>
      </c>
      <c r="G552" s="9" t="s">
        <v>8</v>
      </c>
      <c r="H552" s="10">
        <v>0.16</v>
      </c>
      <c r="I552" s="41"/>
    </row>
    <row r="553" spans="1:9" ht="12.5">
      <c r="A553" s="7">
        <v>552</v>
      </c>
      <c r="B553" s="8">
        <v>40568</v>
      </c>
      <c r="C553" s="9">
        <v>4</v>
      </c>
      <c r="D553" s="9" t="str">
        <f>IF(Table1[[#This Row],[Hour]]&lt;6,"Night",IF(Table1[[#This Row],[Hour]]&lt;12,"Morning",IF(Table1[[#This Row],[Hour]]&lt;18,"Afternoon","Evening")))</f>
        <v>Night</v>
      </c>
      <c r="E553" s="9" t="b">
        <v>0</v>
      </c>
      <c r="F553" s="9" t="s">
        <v>21</v>
      </c>
      <c r="G553" s="9" t="s">
        <v>8</v>
      </c>
      <c r="H553" s="10">
        <v>0.14000000000000001</v>
      </c>
      <c r="I553" s="41"/>
    </row>
    <row r="554" spans="1:9" ht="12.5">
      <c r="A554" s="7">
        <v>553</v>
      </c>
      <c r="B554" s="8">
        <v>40568</v>
      </c>
      <c r="C554" s="9">
        <v>5</v>
      </c>
      <c r="D554" s="9" t="str">
        <f>IF(Table1[[#This Row],[Hour]]&lt;6,"Night",IF(Table1[[#This Row],[Hour]]&lt;12,"Morning",IF(Table1[[#This Row],[Hour]]&lt;18,"Afternoon","Evening")))</f>
        <v>Night</v>
      </c>
      <c r="E554" s="9" t="b">
        <v>0</v>
      </c>
      <c r="F554" s="9" t="s">
        <v>21</v>
      </c>
      <c r="G554" s="9" t="s">
        <v>8</v>
      </c>
      <c r="H554" s="10">
        <v>0.14000000000000001</v>
      </c>
      <c r="I554" s="41"/>
    </row>
    <row r="555" spans="1:9" ht="12.5">
      <c r="A555" s="7">
        <v>554</v>
      </c>
      <c r="B555" s="8">
        <v>40568</v>
      </c>
      <c r="C555" s="9">
        <v>6</v>
      </c>
      <c r="D555" s="9" t="str">
        <f>IF(Table1[[#This Row],[Hour]]&lt;6,"Night",IF(Table1[[#This Row],[Hour]]&lt;12,"Morning",IF(Table1[[#This Row],[Hour]]&lt;18,"Afternoon","Evening")))</f>
        <v>Morning</v>
      </c>
      <c r="E555" s="9" t="b">
        <v>0</v>
      </c>
      <c r="F555" s="9" t="s">
        <v>21</v>
      </c>
      <c r="G555" s="9" t="s">
        <v>8</v>
      </c>
      <c r="H555" s="10">
        <v>0.16</v>
      </c>
      <c r="I555" s="41"/>
    </row>
    <row r="556" spans="1:9" ht="12.5">
      <c r="A556" s="7">
        <v>555</v>
      </c>
      <c r="B556" s="8">
        <v>40568</v>
      </c>
      <c r="C556" s="9">
        <v>7</v>
      </c>
      <c r="D556" s="9" t="str">
        <f>IF(Table1[[#This Row],[Hour]]&lt;6,"Night",IF(Table1[[#This Row],[Hour]]&lt;12,"Morning",IF(Table1[[#This Row],[Hour]]&lt;18,"Afternoon","Evening")))</f>
        <v>Morning</v>
      </c>
      <c r="E556" s="9" t="b">
        <v>0</v>
      </c>
      <c r="F556" s="9" t="s">
        <v>21</v>
      </c>
      <c r="G556" s="9" t="s">
        <v>8</v>
      </c>
      <c r="H556" s="10">
        <v>0.16</v>
      </c>
      <c r="I556" s="41"/>
    </row>
    <row r="557" spans="1:9" ht="12.5">
      <c r="A557" s="7">
        <v>556</v>
      </c>
      <c r="B557" s="8">
        <v>40568</v>
      </c>
      <c r="C557" s="9">
        <v>8</v>
      </c>
      <c r="D557" s="9" t="str">
        <f>IF(Table1[[#This Row],[Hour]]&lt;6,"Night",IF(Table1[[#This Row],[Hour]]&lt;12,"Morning",IF(Table1[[#This Row],[Hour]]&lt;18,"Afternoon","Evening")))</f>
        <v>Morning</v>
      </c>
      <c r="E557" s="9" t="b">
        <v>0</v>
      </c>
      <c r="F557" s="9" t="s">
        <v>21</v>
      </c>
      <c r="G557" s="9" t="s">
        <v>9</v>
      </c>
      <c r="H557" s="10">
        <v>0.16</v>
      </c>
      <c r="I557" s="41"/>
    </row>
    <row r="558" spans="1:9" ht="12.5">
      <c r="A558" s="7">
        <v>557</v>
      </c>
      <c r="B558" s="8">
        <v>40568</v>
      </c>
      <c r="C558" s="9">
        <v>9</v>
      </c>
      <c r="D558" s="9" t="str">
        <f>IF(Table1[[#This Row],[Hour]]&lt;6,"Night",IF(Table1[[#This Row],[Hour]]&lt;12,"Morning",IF(Table1[[#This Row],[Hour]]&lt;18,"Afternoon","Evening")))</f>
        <v>Morning</v>
      </c>
      <c r="E558" s="9" t="b">
        <v>0</v>
      </c>
      <c r="F558" s="9" t="s">
        <v>21</v>
      </c>
      <c r="G558" s="9" t="s">
        <v>9</v>
      </c>
      <c r="H558" s="10">
        <v>0.2</v>
      </c>
      <c r="I558" s="41"/>
    </row>
    <row r="559" spans="1:9" ht="12.5">
      <c r="A559" s="7">
        <v>558</v>
      </c>
      <c r="B559" s="8">
        <v>40568</v>
      </c>
      <c r="C559" s="9">
        <v>10</v>
      </c>
      <c r="D559" s="9" t="str">
        <f>IF(Table1[[#This Row],[Hour]]&lt;6,"Night",IF(Table1[[#This Row],[Hour]]&lt;12,"Morning",IF(Table1[[#This Row],[Hour]]&lt;18,"Afternoon","Evening")))</f>
        <v>Morning</v>
      </c>
      <c r="E559" s="9" t="b">
        <v>0</v>
      </c>
      <c r="F559" s="9" t="s">
        <v>21</v>
      </c>
      <c r="G559" s="9" t="s">
        <v>9</v>
      </c>
      <c r="H559" s="10">
        <v>0.22</v>
      </c>
      <c r="I559" s="41"/>
    </row>
    <row r="560" spans="1:9" ht="12.5">
      <c r="A560" s="7">
        <v>559</v>
      </c>
      <c r="B560" s="8">
        <v>40568</v>
      </c>
      <c r="C560" s="9">
        <v>11</v>
      </c>
      <c r="D560" s="9" t="str">
        <f>IF(Table1[[#This Row],[Hour]]&lt;6,"Night",IF(Table1[[#This Row],[Hour]]&lt;12,"Morning",IF(Table1[[#This Row],[Hour]]&lt;18,"Afternoon","Evening")))</f>
        <v>Morning</v>
      </c>
      <c r="E560" s="9" t="b">
        <v>0</v>
      </c>
      <c r="F560" s="9" t="s">
        <v>21</v>
      </c>
      <c r="G560" s="9" t="s">
        <v>9</v>
      </c>
      <c r="H560" s="10">
        <v>0.24</v>
      </c>
      <c r="I560" s="41"/>
    </row>
    <row r="561" spans="1:9" ht="12.5">
      <c r="A561" s="7">
        <v>560</v>
      </c>
      <c r="B561" s="8">
        <v>40568</v>
      </c>
      <c r="C561" s="9">
        <v>12</v>
      </c>
      <c r="D561" s="9" t="str">
        <f>IF(Table1[[#This Row],[Hour]]&lt;6,"Night",IF(Table1[[#This Row],[Hour]]&lt;12,"Morning",IF(Table1[[#This Row],[Hour]]&lt;18,"Afternoon","Evening")))</f>
        <v>Afternoon</v>
      </c>
      <c r="E561" s="9" t="b">
        <v>0</v>
      </c>
      <c r="F561" s="9" t="s">
        <v>21</v>
      </c>
      <c r="G561" s="9" t="s">
        <v>9</v>
      </c>
      <c r="H561" s="10">
        <v>0.26</v>
      </c>
      <c r="I561" s="41"/>
    </row>
    <row r="562" spans="1:9" ht="12.5">
      <c r="A562" s="7">
        <v>561</v>
      </c>
      <c r="B562" s="8">
        <v>40568</v>
      </c>
      <c r="C562" s="9">
        <v>13</v>
      </c>
      <c r="D562" s="9" t="str">
        <f>IF(Table1[[#This Row],[Hour]]&lt;6,"Night",IF(Table1[[#This Row],[Hour]]&lt;12,"Morning",IF(Table1[[#This Row],[Hour]]&lt;18,"Afternoon","Evening")))</f>
        <v>Afternoon</v>
      </c>
      <c r="E562" s="9" t="b">
        <v>0</v>
      </c>
      <c r="F562" s="9" t="s">
        <v>21</v>
      </c>
      <c r="G562" s="9" t="s">
        <v>9</v>
      </c>
      <c r="H562" s="10">
        <v>0.26</v>
      </c>
      <c r="I562" s="41"/>
    </row>
    <row r="563" spans="1:9" ht="12.5">
      <c r="A563" s="7">
        <v>562</v>
      </c>
      <c r="B563" s="8">
        <v>40568</v>
      </c>
      <c r="C563" s="9">
        <v>14</v>
      </c>
      <c r="D563" s="9" t="str">
        <f>IF(Table1[[#This Row],[Hour]]&lt;6,"Night",IF(Table1[[#This Row],[Hour]]&lt;12,"Morning",IF(Table1[[#This Row],[Hour]]&lt;18,"Afternoon","Evening")))</f>
        <v>Afternoon</v>
      </c>
      <c r="E563" s="9" t="b">
        <v>0</v>
      </c>
      <c r="F563" s="9" t="s">
        <v>21</v>
      </c>
      <c r="G563" s="9" t="s">
        <v>9</v>
      </c>
      <c r="H563" s="10">
        <v>0.3</v>
      </c>
      <c r="I563" s="41"/>
    </row>
    <row r="564" spans="1:9" ht="12.5">
      <c r="A564" s="7">
        <v>563</v>
      </c>
      <c r="B564" s="8">
        <v>40568</v>
      </c>
      <c r="C564" s="9">
        <v>15</v>
      </c>
      <c r="D564" s="9" t="str">
        <f>IF(Table1[[#This Row],[Hour]]&lt;6,"Night",IF(Table1[[#This Row],[Hour]]&lt;12,"Morning",IF(Table1[[#This Row],[Hour]]&lt;18,"Afternoon","Evening")))</f>
        <v>Afternoon</v>
      </c>
      <c r="E564" s="9" t="b">
        <v>0</v>
      </c>
      <c r="F564" s="9" t="s">
        <v>21</v>
      </c>
      <c r="G564" s="9" t="s">
        <v>9</v>
      </c>
      <c r="H564" s="10">
        <v>0.32</v>
      </c>
      <c r="I564" s="41"/>
    </row>
    <row r="565" spans="1:9" ht="12.5">
      <c r="A565" s="7">
        <v>564</v>
      </c>
      <c r="B565" s="8">
        <v>40568</v>
      </c>
      <c r="C565" s="9">
        <v>16</v>
      </c>
      <c r="D565" s="9" t="str">
        <f>IF(Table1[[#This Row],[Hour]]&lt;6,"Night",IF(Table1[[#This Row],[Hour]]&lt;12,"Morning",IF(Table1[[#This Row],[Hour]]&lt;18,"Afternoon","Evening")))</f>
        <v>Afternoon</v>
      </c>
      <c r="E565" s="9" t="b">
        <v>0</v>
      </c>
      <c r="F565" s="9" t="s">
        <v>21</v>
      </c>
      <c r="G565" s="9" t="s">
        <v>9</v>
      </c>
      <c r="H565" s="10">
        <v>0.32</v>
      </c>
      <c r="I565" s="41"/>
    </row>
    <row r="566" spans="1:9" ht="12.5">
      <c r="A566" s="7">
        <v>565</v>
      </c>
      <c r="B566" s="8">
        <v>40568</v>
      </c>
      <c r="C566" s="9">
        <v>17</v>
      </c>
      <c r="D566" s="9" t="str">
        <f>IF(Table1[[#This Row],[Hour]]&lt;6,"Night",IF(Table1[[#This Row],[Hour]]&lt;12,"Morning",IF(Table1[[#This Row],[Hour]]&lt;18,"Afternoon","Evening")))</f>
        <v>Afternoon</v>
      </c>
      <c r="E566" s="9" t="b">
        <v>0</v>
      </c>
      <c r="F566" s="9" t="s">
        <v>21</v>
      </c>
      <c r="G566" s="9" t="s">
        <v>8</v>
      </c>
      <c r="H566" s="10">
        <v>0.3</v>
      </c>
      <c r="I566" s="41"/>
    </row>
    <row r="567" spans="1:9" ht="12.5">
      <c r="A567" s="7">
        <v>566</v>
      </c>
      <c r="B567" s="8">
        <v>40568</v>
      </c>
      <c r="C567" s="9">
        <v>18</v>
      </c>
      <c r="D567" s="9" t="str">
        <f>IF(Table1[[#This Row],[Hour]]&lt;6,"Night",IF(Table1[[#This Row],[Hour]]&lt;12,"Morning",IF(Table1[[#This Row],[Hour]]&lt;18,"Afternoon","Evening")))</f>
        <v>Evening</v>
      </c>
      <c r="E567" s="9" t="b">
        <v>0</v>
      </c>
      <c r="F567" s="9" t="s">
        <v>21</v>
      </c>
      <c r="G567" s="9" t="s">
        <v>9</v>
      </c>
      <c r="H567" s="10">
        <v>0.3</v>
      </c>
      <c r="I567" s="41"/>
    </row>
    <row r="568" spans="1:9" ht="12.5">
      <c r="A568" s="7">
        <v>567</v>
      </c>
      <c r="B568" s="8">
        <v>40568</v>
      </c>
      <c r="C568" s="9">
        <v>19</v>
      </c>
      <c r="D568" s="9" t="str">
        <f>IF(Table1[[#This Row],[Hour]]&lt;6,"Night",IF(Table1[[#This Row],[Hour]]&lt;12,"Morning",IF(Table1[[#This Row],[Hour]]&lt;18,"Afternoon","Evening")))</f>
        <v>Evening</v>
      </c>
      <c r="E568" s="9" t="b">
        <v>0</v>
      </c>
      <c r="F568" s="9" t="s">
        <v>21</v>
      </c>
      <c r="G568" s="9" t="s">
        <v>9</v>
      </c>
      <c r="H568" s="10">
        <v>0.26</v>
      </c>
      <c r="I568" s="41"/>
    </row>
    <row r="569" spans="1:9" ht="12.5">
      <c r="A569" s="7">
        <v>568</v>
      </c>
      <c r="B569" s="8">
        <v>40568</v>
      </c>
      <c r="C569" s="9">
        <v>20</v>
      </c>
      <c r="D569" s="9" t="str">
        <f>IF(Table1[[#This Row],[Hour]]&lt;6,"Night",IF(Table1[[#This Row],[Hour]]&lt;12,"Morning",IF(Table1[[#This Row],[Hour]]&lt;18,"Afternoon","Evening")))</f>
        <v>Evening</v>
      </c>
      <c r="E569" s="9" t="b">
        <v>0</v>
      </c>
      <c r="F569" s="9" t="s">
        <v>21</v>
      </c>
      <c r="G569" s="9" t="s">
        <v>8</v>
      </c>
      <c r="H569" s="10">
        <v>0.24</v>
      </c>
      <c r="I569" s="41"/>
    </row>
    <row r="570" spans="1:9" ht="12.5">
      <c r="A570" s="7">
        <v>569</v>
      </c>
      <c r="B570" s="8">
        <v>40568</v>
      </c>
      <c r="C570" s="9">
        <v>21</v>
      </c>
      <c r="D570" s="9" t="str">
        <f>IF(Table1[[#This Row],[Hour]]&lt;6,"Night",IF(Table1[[#This Row],[Hour]]&lt;12,"Morning",IF(Table1[[#This Row],[Hour]]&lt;18,"Afternoon","Evening")))</f>
        <v>Evening</v>
      </c>
      <c r="E570" s="9" t="b">
        <v>0</v>
      </c>
      <c r="F570" s="9" t="s">
        <v>21</v>
      </c>
      <c r="G570" s="9" t="s">
        <v>8</v>
      </c>
      <c r="H570" s="10">
        <v>0.24</v>
      </c>
      <c r="I570" s="41"/>
    </row>
    <row r="571" spans="1:9" ht="12.5">
      <c r="A571" s="7">
        <v>570</v>
      </c>
      <c r="B571" s="8">
        <v>40568</v>
      </c>
      <c r="C571" s="9">
        <v>22</v>
      </c>
      <c r="D571" s="9" t="str">
        <f>IF(Table1[[#This Row],[Hour]]&lt;6,"Night",IF(Table1[[#This Row],[Hour]]&lt;12,"Morning",IF(Table1[[#This Row],[Hour]]&lt;18,"Afternoon","Evening")))</f>
        <v>Evening</v>
      </c>
      <c r="E571" s="9" t="b">
        <v>0</v>
      </c>
      <c r="F571" s="9" t="s">
        <v>21</v>
      </c>
      <c r="G571" s="9" t="s">
        <v>8</v>
      </c>
      <c r="H571" s="10">
        <v>0.22</v>
      </c>
      <c r="I571" s="41"/>
    </row>
    <row r="572" spans="1:9" ht="12.5">
      <c r="A572" s="7">
        <v>571</v>
      </c>
      <c r="B572" s="8">
        <v>40568</v>
      </c>
      <c r="C572" s="9">
        <v>23</v>
      </c>
      <c r="D572" s="9" t="str">
        <f>IF(Table1[[#This Row],[Hour]]&lt;6,"Night",IF(Table1[[#This Row],[Hour]]&lt;12,"Morning",IF(Table1[[#This Row],[Hour]]&lt;18,"Afternoon","Evening")))</f>
        <v>Evening</v>
      </c>
      <c r="E572" s="9" t="b">
        <v>0</v>
      </c>
      <c r="F572" s="9" t="s">
        <v>21</v>
      </c>
      <c r="G572" s="9" t="s">
        <v>9</v>
      </c>
      <c r="H572" s="10">
        <v>0.22</v>
      </c>
      <c r="I572" s="41"/>
    </row>
    <row r="573" spans="1:9" ht="12.5">
      <c r="A573" s="7">
        <v>572</v>
      </c>
      <c r="B573" s="8">
        <v>40569</v>
      </c>
      <c r="C573" s="9">
        <v>0</v>
      </c>
      <c r="D573" s="9" t="str">
        <f>IF(Table1[[#This Row],[Hour]]&lt;6,"Night",IF(Table1[[#This Row],[Hour]]&lt;12,"Morning",IF(Table1[[#This Row],[Hour]]&lt;18,"Afternoon","Evening")))</f>
        <v>Night</v>
      </c>
      <c r="E573" s="9" t="b">
        <v>0</v>
      </c>
      <c r="F573" s="9" t="s">
        <v>22</v>
      </c>
      <c r="G573" s="9" t="s">
        <v>9</v>
      </c>
      <c r="H573" s="10">
        <v>0.22</v>
      </c>
      <c r="I573" s="41"/>
    </row>
    <row r="574" spans="1:9" ht="12.5">
      <c r="A574" s="7">
        <v>573</v>
      </c>
      <c r="B574" s="8">
        <v>40569</v>
      </c>
      <c r="C574" s="9">
        <v>1</v>
      </c>
      <c r="D574" s="9" t="str">
        <f>IF(Table1[[#This Row],[Hour]]&lt;6,"Night",IF(Table1[[#This Row],[Hour]]&lt;12,"Morning",IF(Table1[[#This Row],[Hour]]&lt;18,"Afternoon","Evening")))</f>
        <v>Night</v>
      </c>
      <c r="E574" s="9" t="b">
        <v>0</v>
      </c>
      <c r="F574" s="9" t="s">
        <v>22</v>
      </c>
      <c r="G574" s="9" t="s">
        <v>9</v>
      </c>
      <c r="H574" s="10">
        <v>0.24</v>
      </c>
      <c r="I574" s="41"/>
    </row>
    <row r="575" spans="1:9" ht="12.5">
      <c r="A575" s="7">
        <v>574</v>
      </c>
      <c r="B575" s="8">
        <v>40569</v>
      </c>
      <c r="C575" s="9">
        <v>2</v>
      </c>
      <c r="D575" s="9" t="str">
        <f>IF(Table1[[#This Row],[Hour]]&lt;6,"Night",IF(Table1[[#This Row],[Hour]]&lt;12,"Morning",IF(Table1[[#This Row],[Hour]]&lt;18,"Afternoon","Evening")))</f>
        <v>Night</v>
      </c>
      <c r="E575" s="9" t="b">
        <v>0</v>
      </c>
      <c r="F575" s="9" t="s">
        <v>22</v>
      </c>
      <c r="G575" s="9" t="s">
        <v>10</v>
      </c>
      <c r="H575" s="10">
        <v>0.22</v>
      </c>
      <c r="I575" s="41"/>
    </row>
    <row r="576" spans="1:9" ht="12.5">
      <c r="A576" s="7">
        <v>575</v>
      </c>
      <c r="B576" s="8">
        <v>40569</v>
      </c>
      <c r="C576" s="9">
        <v>5</v>
      </c>
      <c r="D576" s="9" t="str">
        <f>IF(Table1[[#This Row],[Hour]]&lt;6,"Night",IF(Table1[[#This Row],[Hour]]&lt;12,"Morning",IF(Table1[[#This Row],[Hour]]&lt;18,"Afternoon","Evening")))</f>
        <v>Night</v>
      </c>
      <c r="E576" s="9" t="b">
        <v>0</v>
      </c>
      <c r="F576" s="9" t="s">
        <v>22</v>
      </c>
      <c r="G576" s="9" t="s">
        <v>10</v>
      </c>
      <c r="H576" s="10">
        <v>0.2</v>
      </c>
      <c r="I576" s="41"/>
    </row>
    <row r="577" spans="1:9" ht="12.5">
      <c r="A577" s="7">
        <v>576</v>
      </c>
      <c r="B577" s="8">
        <v>40569</v>
      </c>
      <c r="C577" s="9">
        <v>6</v>
      </c>
      <c r="D577" s="9" t="str">
        <f>IF(Table1[[#This Row],[Hour]]&lt;6,"Night",IF(Table1[[#This Row],[Hour]]&lt;12,"Morning",IF(Table1[[#This Row],[Hour]]&lt;18,"Afternoon","Evening")))</f>
        <v>Morning</v>
      </c>
      <c r="E577" s="9" t="b">
        <v>0</v>
      </c>
      <c r="F577" s="9" t="s">
        <v>22</v>
      </c>
      <c r="G577" s="9" t="s">
        <v>10</v>
      </c>
      <c r="H577" s="10">
        <v>0.2</v>
      </c>
      <c r="I577" s="41"/>
    </row>
    <row r="578" spans="1:9" ht="12.5">
      <c r="A578" s="7">
        <v>577</v>
      </c>
      <c r="B578" s="8">
        <v>40569</v>
      </c>
      <c r="C578" s="9">
        <v>7</v>
      </c>
      <c r="D578" s="9" t="str">
        <f>IF(Table1[[#This Row],[Hour]]&lt;6,"Night",IF(Table1[[#This Row],[Hour]]&lt;12,"Morning",IF(Table1[[#This Row],[Hour]]&lt;18,"Afternoon","Evening")))</f>
        <v>Morning</v>
      </c>
      <c r="E578" s="9" t="b">
        <v>0</v>
      </c>
      <c r="F578" s="9" t="s">
        <v>22</v>
      </c>
      <c r="G578" s="9" t="s">
        <v>10</v>
      </c>
      <c r="H578" s="10">
        <v>0.22</v>
      </c>
      <c r="I578" s="41"/>
    </row>
    <row r="579" spans="1:9" ht="12.5">
      <c r="A579" s="7">
        <v>578</v>
      </c>
      <c r="B579" s="8">
        <v>40569</v>
      </c>
      <c r="C579" s="9">
        <v>8</v>
      </c>
      <c r="D579" s="9" t="str">
        <f>IF(Table1[[#This Row],[Hour]]&lt;6,"Night",IF(Table1[[#This Row],[Hour]]&lt;12,"Morning",IF(Table1[[#This Row],[Hour]]&lt;18,"Afternoon","Evening")))</f>
        <v>Morning</v>
      </c>
      <c r="E579" s="9" t="b">
        <v>0</v>
      </c>
      <c r="F579" s="9" t="s">
        <v>22</v>
      </c>
      <c r="G579" s="9" t="s">
        <v>10</v>
      </c>
      <c r="H579" s="10">
        <v>0.22</v>
      </c>
      <c r="I579" s="41"/>
    </row>
    <row r="580" spans="1:9" ht="12.5">
      <c r="A580" s="7">
        <v>579</v>
      </c>
      <c r="B580" s="8">
        <v>40569</v>
      </c>
      <c r="C580" s="9">
        <v>9</v>
      </c>
      <c r="D580" s="9" t="str">
        <f>IF(Table1[[#This Row],[Hour]]&lt;6,"Night",IF(Table1[[#This Row],[Hour]]&lt;12,"Morning",IF(Table1[[#This Row],[Hour]]&lt;18,"Afternoon","Evening")))</f>
        <v>Morning</v>
      </c>
      <c r="E580" s="9" t="b">
        <v>0</v>
      </c>
      <c r="F580" s="9" t="s">
        <v>22</v>
      </c>
      <c r="G580" s="9" t="s">
        <v>10</v>
      </c>
      <c r="H580" s="10">
        <v>0.22</v>
      </c>
      <c r="I580" s="41"/>
    </row>
    <row r="581" spans="1:9" ht="12.5">
      <c r="A581" s="7">
        <v>580</v>
      </c>
      <c r="B581" s="8">
        <v>40569</v>
      </c>
      <c r="C581" s="9">
        <v>10</v>
      </c>
      <c r="D581" s="9" t="str">
        <f>IF(Table1[[#This Row],[Hour]]&lt;6,"Night",IF(Table1[[#This Row],[Hour]]&lt;12,"Morning",IF(Table1[[#This Row],[Hour]]&lt;18,"Afternoon","Evening")))</f>
        <v>Morning</v>
      </c>
      <c r="E581" s="9" t="b">
        <v>0</v>
      </c>
      <c r="F581" s="9" t="s">
        <v>22</v>
      </c>
      <c r="G581" s="9" t="s">
        <v>10</v>
      </c>
      <c r="H581" s="10">
        <v>0.22</v>
      </c>
      <c r="I581" s="41"/>
    </row>
    <row r="582" spans="1:9" ht="12.5">
      <c r="A582" s="7">
        <v>581</v>
      </c>
      <c r="B582" s="8">
        <v>40569</v>
      </c>
      <c r="C582" s="9">
        <v>11</v>
      </c>
      <c r="D582" s="9" t="str">
        <f>IF(Table1[[#This Row],[Hour]]&lt;6,"Night",IF(Table1[[#This Row],[Hour]]&lt;12,"Morning",IF(Table1[[#This Row],[Hour]]&lt;18,"Afternoon","Evening")))</f>
        <v>Morning</v>
      </c>
      <c r="E582" s="9" t="b">
        <v>0</v>
      </c>
      <c r="F582" s="9" t="s">
        <v>22</v>
      </c>
      <c r="G582" s="9" t="s">
        <v>10</v>
      </c>
      <c r="H582" s="10">
        <v>0.22</v>
      </c>
      <c r="I582" s="41"/>
    </row>
    <row r="583" spans="1:9" ht="12.5">
      <c r="A583" s="7">
        <v>582</v>
      </c>
      <c r="B583" s="8">
        <v>40569</v>
      </c>
      <c r="C583" s="9">
        <v>12</v>
      </c>
      <c r="D583" s="9" t="str">
        <f>IF(Table1[[#This Row],[Hour]]&lt;6,"Night",IF(Table1[[#This Row],[Hour]]&lt;12,"Morning",IF(Table1[[#This Row],[Hour]]&lt;18,"Afternoon","Evening")))</f>
        <v>Afternoon</v>
      </c>
      <c r="E583" s="9" t="b">
        <v>0</v>
      </c>
      <c r="F583" s="9" t="s">
        <v>22</v>
      </c>
      <c r="G583" s="9" t="s">
        <v>10</v>
      </c>
      <c r="H583" s="10">
        <v>0.22</v>
      </c>
      <c r="I583" s="41"/>
    </row>
    <row r="584" spans="1:9" ht="12.5">
      <c r="A584" s="7">
        <v>583</v>
      </c>
      <c r="B584" s="8">
        <v>40569</v>
      </c>
      <c r="C584" s="9">
        <v>13</v>
      </c>
      <c r="D584" s="9" t="str">
        <f>IF(Table1[[#This Row],[Hour]]&lt;6,"Night",IF(Table1[[#This Row],[Hour]]&lt;12,"Morning",IF(Table1[[#This Row],[Hour]]&lt;18,"Afternoon","Evening")))</f>
        <v>Afternoon</v>
      </c>
      <c r="E584" s="9" t="b">
        <v>0</v>
      </c>
      <c r="F584" s="9" t="s">
        <v>22</v>
      </c>
      <c r="G584" s="9" t="s">
        <v>10</v>
      </c>
      <c r="H584" s="10">
        <v>0.22</v>
      </c>
      <c r="I584" s="41"/>
    </row>
    <row r="585" spans="1:9" ht="12.5">
      <c r="A585" s="7">
        <v>584</v>
      </c>
      <c r="B585" s="8">
        <v>40569</v>
      </c>
      <c r="C585" s="9">
        <v>14</v>
      </c>
      <c r="D585" s="9" t="str">
        <f>IF(Table1[[#This Row],[Hour]]&lt;6,"Night",IF(Table1[[#This Row],[Hour]]&lt;12,"Morning",IF(Table1[[#This Row],[Hour]]&lt;18,"Afternoon","Evening")))</f>
        <v>Afternoon</v>
      </c>
      <c r="E585" s="9" t="b">
        <v>0</v>
      </c>
      <c r="F585" s="9" t="s">
        <v>22</v>
      </c>
      <c r="G585" s="9" t="s">
        <v>10</v>
      </c>
      <c r="H585" s="10">
        <v>0.22</v>
      </c>
      <c r="I585" s="41"/>
    </row>
    <row r="586" spans="1:9" ht="12.5">
      <c r="A586" s="7">
        <v>585</v>
      </c>
      <c r="B586" s="8">
        <v>40569</v>
      </c>
      <c r="C586" s="9">
        <v>15</v>
      </c>
      <c r="D586" s="9" t="str">
        <f>IF(Table1[[#This Row],[Hour]]&lt;6,"Night",IF(Table1[[#This Row],[Hour]]&lt;12,"Morning",IF(Table1[[#This Row],[Hour]]&lt;18,"Afternoon","Evening")))</f>
        <v>Afternoon</v>
      </c>
      <c r="E586" s="9" t="b">
        <v>0</v>
      </c>
      <c r="F586" s="9" t="s">
        <v>22</v>
      </c>
      <c r="G586" s="9" t="s">
        <v>10</v>
      </c>
      <c r="H586" s="10">
        <v>0.22</v>
      </c>
      <c r="I586" s="41"/>
    </row>
    <row r="587" spans="1:9" ht="12.5">
      <c r="A587" s="7">
        <v>586</v>
      </c>
      <c r="B587" s="8">
        <v>40569</v>
      </c>
      <c r="C587" s="9">
        <v>16</v>
      </c>
      <c r="D587" s="9" t="str">
        <f>IF(Table1[[#This Row],[Hour]]&lt;6,"Night",IF(Table1[[#This Row],[Hour]]&lt;12,"Morning",IF(Table1[[#This Row],[Hour]]&lt;18,"Afternoon","Evening")))</f>
        <v>Afternoon</v>
      </c>
      <c r="E587" s="9" t="b">
        <v>0</v>
      </c>
      <c r="F587" s="9" t="s">
        <v>22</v>
      </c>
      <c r="G587" s="9" t="s">
        <v>11</v>
      </c>
      <c r="H587" s="10">
        <v>0.22</v>
      </c>
      <c r="I587" s="41"/>
    </row>
    <row r="588" spans="1:9" ht="12.5">
      <c r="A588" s="7">
        <v>587</v>
      </c>
      <c r="B588" s="8">
        <v>40569</v>
      </c>
      <c r="C588" s="9">
        <v>17</v>
      </c>
      <c r="D588" s="9" t="str">
        <f>IF(Table1[[#This Row],[Hour]]&lt;6,"Night",IF(Table1[[#This Row],[Hour]]&lt;12,"Morning",IF(Table1[[#This Row],[Hour]]&lt;18,"Afternoon","Evening")))</f>
        <v>Afternoon</v>
      </c>
      <c r="E588" s="9" t="b">
        <v>0</v>
      </c>
      <c r="F588" s="9" t="s">
        <v>22</v>
      </c>
      <c r="G588" s="9" t="s">
        <v>10</v>
      </c>
      <c r="H588" s="10">
        <v>0.2</v>
      </c>
      <c r="I588" s="41"/>
    </row>
    <row r="589" spans="1:9" ht="12.5">
      <c r="A589" s="7">
        <v>588</v>
      </c>
      <c r="B589" s="8">
        <v>40570</v>
      </c>
      <c r="C589" s="9">
        <v>16</v>
      </c>
      <c r="D589" s="9" t="str">
        <f>IF(Table1[[#This Row],[Hour]]&lt;6,"Night",IF(Table1[[#This Row],[Hour]]&lt;12,"Morning",IF(Table1[[#This Row],[Hour]]&lt;18,"Afternoon","Evening")))</f>
        <v>Afternoon</v>
      </c>
      <c r="E589" s="9" t="b">
        <v>0</v>
      </c>
      <c r="F589" s="9" t="s">
        <v>23</v>
      </c>
      <c r="G589" s="9" t="s">
        <v>8</v>
      </c>
      <c r="H589" s="10">
        <v>0.22</v>
      </c>
      <c r="I589" s="41"/>
    </row>
    <row r="590" spans="1:9" ht="12.5">
      <c r="A590" s="7">
        <v>589</v>
      </c>
      <c r="B590" s="8">
        <v>40570</v>
      </c>
      <c r="C590" s="9">
        <v>17</v>
      </c>
      <c r="D590" s="9" t="str">
        <f>IF(Table1[[#This Row],[Hour]]&lt;6,"Night",IF(Table1[[#This Row],[Hour]]&lt;12,"Morning",IF(Table1[[#This Row],[Hour]]&lt;18,"Afternoon","Evening")))</f>
        <v>Afternoon</v>
      </c>
      <c r="E590" s="9" t="b">
        <v>0</v>
      </c>
      <c r="F590" s="9" t="s">
        <v>23</v>
      </c>
      <c r="G590" s="9" t="s">
        <v>8</v>
      </c>
      <c r="H590" s="10">
        <v>0.22</v>
      </c>
      <c r="I590" s="41"/>
    </row>
    <row r="591" spans="1:9" ht="12.5">
      <c r="A591" s="7">
        <v>590</v>
      </c>
      <c r="B591" s="8">
        <v>40570</v>
      </c>
      <c r="C591" s="9">
        <v>18</v>
      </c>
      <c r="D591" s="9" t="str">
        <f>IF(Table1[[#This Row],[Hour]]&lt;6,"Night",IF(Table1[[#This Row],[Hour]]&lt;12,"Morning",IF(Table1[[#This Row],[Hour]]&lt;18,"Afternoon","Evening")))</f>
        <v>Evening</v>
      </c>
      <c r="E591" s="9" t="b">
        <v>0</v>
      </c>
      <c r="F591" s="9" t="s">
        <v>23</v>
      </c>
      <c r="G591" s="9" t="s">
        <v>8</v>
      </c>
      <c r="H591" s="10">
        <v>0.2</v>
      </c>
      <c r="I591" s="41"/>
    </row>
    <row r="592" spans="1:9" ht="12.5">
      <c r="A592" s="7">
        <v>591</v>
      </c>
      <c r="B592" s="8">
        <v>40570</v>
      </c>
      <c r="C592" s="9">
        <v>19</v>
      </c>
      <c r="D592" s="9" t="str">
        <f>IF(Table1[[#This Row],[Hour]]&lt;6,"Night",IF(Table1[[#This Row],[Hour]]&lt;12,"Morning",IF(Table1[[#This Row],[Hour]]&lt;18,"Afternoon","Evening")))</f>
        <v>Evening</v>
      </c>
      <c r="E592" s="9" t="b">
        <v>0</v>
      </c>
      <c r="F592" s="9" t="s">
        <v>23</v>
      </c>
      <c r="G592" s="9" t="s">
        <v>8</v>
      </c>
      <c r="H592" s="10">
        <v>0.2</v>
      </c>
      <c r="I592" s="41"/>
    </row>
    <row r="593" spans="1:9" ht="12.5">
      <c r="A593" s="7">
        <v>592</v>
      </c>
      <c r="B593" s="8">
        <v>40570</v>
      </c>
      <c r="C593" s="9">
        <v>20</v>
      </c>
      <c r="D593" s="9" t="str">
        <f>IF(Table1[[#This Row],[Hour]]&lt;6,"Night",IF(Table1[[#This Row],[Hour]]&lt;12,"Morning",IF(Table1[[#This Row],[Hour]]&lt;18,"Afternoon","Evening")))</f>
        <v>Evening</v>
      </c>
      <c r="E593" s="9" t="b">
        <v>0</v>
      </c>
      <c r="F593" s="9" t="s">
        <v>23</v>
      </c>
      <c r="G593" s="9" t="s">
        <v>8</v>
      </c>
      <c r="H593" s="10">
        <v>0.18</v>
      </c>
      <c r="I593" s="41"/>
    </row>
    <row r="594" spans="1:9" ht="12.5">
      <c r="A594" s="7">
        <v>593</v>
      </c>
      <c r="B594" s="8">
        <v>40570</v>
      </c>
      <c r="C594" s="9">
        <v>21</v>
      </c>
      <c r="D594" s="9" t="str">
        <f>IF(Table1[[#This Row],[Hour]]&lt;6,"Night",IF(Table1[[#This Row],[Hour]]&lt;12,"Morning",IF(Table1[[#This Row],[Hour]]&lt;18,"Afternoon","Evening")))</f>
        <v>Evening</v>
      </c>
      <c r="E594" s="9" t="b">
        <v>0</v>
      </c>
      <c r="F594" s="9" t="s">
        <v>23</v>
      </c>
      <c r="G594" s="9" t="s">
        <v>8</v>
      </c>
      <c r="H594" s="10">
        <v>0.18</v>
      </c>
      <c r="I594" s="41"/>
    </row>
    <row r="595" spans="1:9" ht="12.5">
      <c r="A595" s="7">
        <v>594</v>
      </c>
      <c r="B595" s="8">
        <v>40570</v>
      </c>
      <c r="C595" s="9">
        <v>22</v>
      </c>
      <c r="D595" s="9" t="str">
        <f>IF(Table1[[#This Row],[Hour]]&lt;6,"Night",IF(Table1[[#This Row],[Hour]]&lt;12,"Morning",IF(Table1[[#This Row],[Hour]]&lt;18,"Afternoon","Evening")))</f>
        <v>Evening</v>
      </c>
      <c r="E595" s="9" t="b">
        <v>0</v>
      </c>
      <c r="F595" s="9" t="s">
        <v>23</v>
      </c>
      <c r="G595" s="9" t="s">
        <v>8</v>
      </c>
      <c r="H595" s="10">
        <v>0.18</v>
      </c>
      <c r="I595" s="41"/>
    </row>
    <row r="596" spans="1:9" ht="12.5">
      <c r="A596" s="7">
        <v>595</v>
      </c>
      <c r="B596" s="8">
        <v>40570</v>
      </c>
      <c r="C596" s="9">
        <v>23</v>
      </c>
      <c r="D596" s="9" t="str">
        <f>IF(Table1[[#This Row],[Hour]]&lt;6,"Night",IF(Table1[[#This Row],[Hour]]&lt;12,"Morning",IF(Table1[[#This Row],[Hour]]&lt;18,"Afternoon","Evening")))</f>
        <v>Evening</v>
      </c>
      <c r="E596" s="9" t="b">
        <v>0</v>
      </c>
      <c r="F596" s="9" t="s">
        <v>23</v>
      </c>
      <c r="G596" s="9" t="s">
        <v>8</v>
      </c>
      <c r="H596" s="10">
        <v>0.18</v>
      </c>
      <c r="I596" s="41"/>
    </row>
    <row r="597" spans="1:9" ht="12.5">
      <c r="A597" s="7">
        <v>596</v>
      </c>
      <c r="B597" s="8">
        <v>40571</v>
      </c>
      <c r="C597" s="9">
        <v>0</v>
      </c>
      <c r="D597" s="9" t="str">
        <f>IF(Table1[[#This Row],[Hour]]&lt;6,"Night",IF(Table1[[#This Row],[Hour]]&lt;12,"Morning",IF(Table1[[#This Row],[Hour]]&lt;18,"Afternoon","Evening")))</f>
        <v>Night</v>
      </c>
      <c r="E597" s="9" t="b">
        <v>0</v>
      </c>
      <c r="F597" s="9" t="s">
        <v>24</v>
      </c>
      <c r="G597" s="9" t="s">
        <v>9</v>
      </c>
      <c r="H597" s="10">
        <v>0.2</v>
      </c>
      <c r="I597" s="41"/>
    </row>
    <row r="598" spans="1:9" ht="12.5">
      <c r="A598" s="7">
        <v>597</v>
      </c>
      <c r="B598" s="8">
        <v>40571</v>
      </c>
      <c r="C598" s="9">
        <v>1</v>
      </c>
      <c r="D598" s="9" t="str">
        <f>IF(Table1[[#This Row],[Hour]]&lt;6,"Night",IF(Table1[[#This Row],[Hour]]&lt;12,"Morning",IF(Table1[[#This Row],[Hour]]&lt;18,"Afternoon","Evening")))</f>
        <v>Night</v>
      </c>
      <c r="E598" s="9" t="b">
        <v>0</v>
      </c>
      <c r="F598" s="9" t="s">
        <v>24</v>
      </c>
      <c r="G598" s="9" t="s">
        <v>9</v>
      </c>
      <c r="H598" s="10">
        <v>0.2</v>
      </c>
      <c r="I598" s="41"/>
    </row>
    <row r="599" spans="1:9" ht="12.5">
      <c r="A599" s="7">
        <v>598</v>
      </c>
      <c r="B599" s="8">
        <v>40571</v>
      </c>
      <c r="C599" s="9">
        <v>2</v>
      </c>
      <c r="D599" s="9" t="str">
        <f>IF(Table1[[#This Row],[Hour]]&lt;6,"Night",IF(Table1[[#This Row],[Hour]]&lt;12,"Morning",IF(Table1[[#This Row],[Hour]]&lt;18,"Afternoon","Evening")))</f>
        <v>Night</v>
      </c>
      <c r="E599" s="9" t="b">
        <v>0</v>
      </c>
      <c r="F599" s="9" t="s">
        <v>24</v>
      </c>
      <c r="G599" s="9" t="s">
        <v>9</v>
      </c>
      <c r="H599" s="10">
        <v>0.2</v>
      </c>
      <c r="I599" s="41"/>
    </row>
    <row r="600" spans="1:9" ht="12.5">
      <c r="A600" s="7">
        <v>599</v>
      </c>
      <c r="B600" s="8">
        <v>40571</v>
      </c>
      <c r="C600" s="9">
        <v>3</v>
      </c>
      <c r="D600" s="9" t="str">
        <f>IF(Table1[[#This Row],[Hour]]&lt;6,"Night",IF(Table1[[#This Row],[Hour]]&lt;12,"Morning",IF(Table1[[#This Row],[Hour]]&lt;18,"Afternoon","Evening")))</f>
        <v>Night</v>
      </c>
      <c r="E600" s="9" t="b">
        <v>0</v>
      </c>
      <c r="F600" s="9" t="s">
        <v>24</v>
      </c>
      <c r="G600" s="9" t="s">
        <v>9</v>
      </c>
      <c r="H600" s="10">
        <v>0.2</v>
      </c>
      <c r="I600" s="41"/>
    </row>
    <row r="601" spans="1:9" ht="12.5">
      <c r="A601" s="7">
        <v>600</v>
      </c>
      <c r="B601" s="8">
        <v>40571</v>
      </c>
      <c r="C601" s="9">
        <v>5</v>
      </c>
      <c r="D601" s="9" t="str">
        <f>IF(Table1[[#This Row],[Hour]]&lt;6,"Night",IF(Table1[[#This Row],[Hour]]&lt;12,"Morning",IF(Table1[[#This Row],[Hour]]&lt;18,"Afternoon","Evening")))</f>
        <v>Night</v>
      </c>
      <c r="E601" s="9" t="b">
        <v>0</v>
      </c>
      <c r="F601" s="9" t="s">
        <v>24</v>
      </c>
      <c r="G601" s="9" t="s">
        <v>9</v>
      </c>
      <c r="H601" s="10">
        <v>0.18</v>
      </c>
      <c r="I601" s="41"/>
    </row>
    <row r="602" spans="1:9" ht="12.5">
      <c r="A602" s="7">
        <v>601</v>
      </c>
      <c r="B602" s="8">
        <v>40571</v>
      </c>
      <c r="C602" s="9">
        <v>6</v>
      </c>
      <c r="D602" s="9" t="str">
        <f>IF(Table1[[#This Row],[Hour]]&lt;6,"Night",IF(Table1[[#This Row],[Hour]]&lt;12,"Morning",IF(Table1[[#This Row],[Hour]]&lt;18,"Afternoon","Evening")))</f>
        <v>Morning</v>
      </c>
      <c r="E602" s="9" t="b">
        <v>0</v>
      </c>
      <c r="F602" s="9" t="s">
        <v>24</v>
      </c>
      <c r="G602" s="9" t="s">
        <v>9</v>
      </c>
      <c r="H602" s="10">
        <v>0.18</v>
      </c>
      <c r="I602" s="41"/>
    </row>
    <row r="603" spans="1:9" ht="12.5">
      <c r="A603" s="7">
        <v>602</v>
      </c>
      <c r="B603" s="8">
        <v>40571</v>
      </c>
      <c r="C603" s="9">
        <v>7</v>
      </c>
      <c r="D603" s="9" t="str">
        <f>IF(Table1[[#This Row],[Hour]]&lt;6,"Night",IF(Table1[[#This Row],[Hour]]&lt;12,"Morning",IF(Table1[[#This Row],[Hour]]&lt;18,"Afternoon","Evening")))</f>
        <v>Morning</v>
      </c>
      <c r="E603" s="9" t="b">
        <v>0</v>
      </c>
      <c r="F603" s="9" t="s">
        <v>24</v>
      </c>
      <c r="G603" s="9" t="s">
        <v>9</v>
      </c>
      <c r="H603" s="10">
        <v>0.16</v>
      </c>
      <c r="I603" s="41"/>
    </row>
    <row r="604" spans="1:9" ht="12.5">
      <c r="A604" s="7">
        <v>603</v>
      </c>
      <c r="B604" s="8">
        <v>40571</v>
      </c>
      <c r="C604" s="9">
        <v>8</v>
      </c>
      <c r="D604" s="9" t="str">
        <f>IF(Table1[[#This Row],[Hour]]&lt;6,"Night",IF(Table1[[#This Row],[Hour]]&lt;12,"Morning",IF(Table1[[#This Row],[Hour]]&lt;18,"Afternoon","Evening")))</f>
        <v>Morning</v>
      </c>
      <c r="E604" s="9" t="b">
        <v>0</v>
      </c>
      <c r="F604" s="9" t="s">
        <v>24</v>
      </c>
      <c r="G604" s="9" t="s">
        <v>9</v>
      </c>
      <c r="H604" s="10">
        <v>0.16</v>
      </c>
      <c r="I604" s="41"/>
    </row>
    <row r="605" spans="1:9" ht="12.5">
      <c r="A605" s="7">
        <v>604</v>
      </c>
      <c r="B605" s="8">
        <v>40571</v>
      </c>
      <c r="C605" s="9">
        <v>9</v>
      </c>
      <c r="D605" s="9" t="str">
        <f>IF(Table1[[#This Row],[Hour]]&lt;6,"Night",IF(Table1[[#This Row],[Hour]]&lt;12,"Morning",IF(Table1[[#This Row],[Hour]]&lt;18,"Afternoon","Evening")))</f>
        <v>Morning</v>
      </c>
      <c r="E605" s="9" t="b">
        <v>0</v>
      </c>
      <c r="F605" s="9" t="s">
        <v>24</v>
      </c>
      <c r="G605" s="9" t="s">
        <v>10</v>
      </c>
      <c r="H605" s="10">
        <v>0.18</v>
      </c>
      <c r="I605" s="41"/>
    </row>
    <row r="606" spans="1:9" ht="12.5">
      <c r="A606" s="7">
        <v>605</v>
      </c>
      <c r="B606" s="8">
        <v>40571</v>
      </c>
      <c r="C606" s="9">
        <v>10</v>
      </c>
      <c r="D606" s="9" t="str">
        <f>IF(Table1[[#This Row],[Hour]]&lt;6,"Night",IF(Table1[[#This Row],[Hour]]&lt;12,"Morning",IF(Table1[[#This Row],[Hour]]&lt;18,"Afternoon","Evening")))</f>
        <v>Morning</v>
      </c>
      <c r="E606" s="9" t="b">
        <v>0</v>
      </c>
      <c r="F606" s="9" t="s">
        <v>24</v>
      </c>
      <c r="G606" s="9" t="s">
        <v>10</v>
      </c>
      <c r="H606" s="10">
        <v>0.18</v>
      </c>
      <c r="I606" s="41"/>
    </row>
    <row r="607" spans="1:9" ht="12.5">
      <c r="A607" s="7">
        <v>606</v>
      </c>
      <c r="B607" s="8">
        <v>40571</v>
      </c>
      <c r="C607" s="9">
        <v>11</v>
      </c>
      <c r="D607" s="9" t="str">
        <f>IF(Table1[[#This Row],[Hour]]&lt;6,"Night",IF(Table1[[#This Row],[Hour]]&lt;12,"Morning",IF(Table1[[#This Row],[Hour]]&lt;18,"Afternoon","Evening")))</f>
        <v>Morning</v>
      </c>
      <c r="E607" s="9" t="b">
        <v>0</v>
      </c>
      <c r="F607" s="9" t="s">
        <v>24</v>
      </c>
      <c r="G607" s="9" t="s">
        <v>10</v>
      </c>
      <c r="H607" s="10">
        <v>0.18</v>
      </c>
      <c r="I607" s="41"/>
    </row>
    <row r="608" spans="1:9" ht="12.5">
      <c r="A608" s="7">
        <v>607</v>
      </c>
      <c r="B608" s="8">
        <v>40571</v>
      </c>
      <c r="C608" s="9">
        <v>12</v>
      </c>
      <c r="D608" s="9" t="str">
        <f>IF(Table1[[#This Row],[Hour]]&lt;6,"Night",IF(Table1[[#This Row],[Hour]]&lt;12,"Morning",IF(Table1[[#This Row],[Hour]]&lt;18,"Afternoon","Evening")))</f>
        <v>Afternoon</v>
      </c>
      <c r="E608" s="9" t="b">
        <v>0</v>
      </c>
      <c r="F608" s="9" t="s">
        <v>24</v>
      </c>
      <c r="G608" s="9" t="s">
        <v>10</v>
      </c>
      <c r="H608" s="10">
        <v>0.18</v>
      </c>
      <c r="I608" s="41"/>
    </row>
    <row r="609" spans="1:9" ht="12.5">
      <c r="A609" s="7">
        <v>608</v>
      </c>
      <c r="B609" s="8">
        <v>40571</v>
      </c>
      <c r="C609" s="9">
        <v>13</v>
      </c>
      <c r="D609" s="9" t="str">
        <f>IF(Table1[[#This Row],[Hour]]&lt;6,"Night",IF(Table1[[#This Row],[Hour]]&lt;12,"Morning",IF(Table1[[#This Row],[Hour]]&lt;18,"Afternoon","Evening")))</f>
        <v>Afternoon</v>
      </c>
      <c r="E609" s="9" t="b">
        <v>0</v>
      </c>
      <c r="F609" s="9" t="s">
        <v>24</v>
      </c>
      <c r="G609" s="9" t="s">
        <v>10</v>
      </c>
      <c r="H609" s="10">
        <v>0.18</v>
      </c>
      <c r="I609" s="41"/>
    </row>
    <row r="610" spans="1:9" ht="12.5">
      <c r="A610" s="7">
        <v>609</v>
      </c>
      <c r="B610" s="8">
        <v>40571</v>
      </c>
      <c r="C610" s="9">
        <v>14</v>
      </c>
      <c r="D610" s="9" t="str">
        <f>IF(Table1[[#This Row],[Hour]]&lt;6,"Night",IF(Table1[[#This Row],[Hour]]&lt;12,"Morning",IF(Table1[[#This Row],[Hour]]&lt;18,"Afternoon","Evening")))</f>
        <v>Afternoon</v>
      </c>
      <c r="E610" s="9" t="b">
        <v>0</v>
      </c>
      <c r="F610" s="9" t="s">
        <v>24</v>
      </c>
      <c r="G610" s="9" t="s">
        <v>10</v>
      </c>
      <c r="H610" s="10">
        <v>0.22</v>
      </c>
      <c r="I610" s="41"/>
    </row>
    <row r="611" spans="1:9" ht="12.5">
      <c r="A611" s="11">
        <v>610</v>
      </c>
      <c r="B611" s="12">
        <v>40571</v>
      </c>
      <c r="C611" s="13">
        <v>15</v>
      </c>
      <c r="D611" s="13" t="str">
        <f>IF(Table1[[#This Row],[Hour]]&lt;6,"Night",IF(Table1[[#This Row],[Hour]]&lt;12,"Morning",IF(Table1[[#This Row],[Hour]]&lt;18,"Afternoon","Evening")))</f>
        <v>Afternoon</v>
      </c>
      <c r="E611" s="13" t="b">
        <v>0</v>
      </c>
      <c r="F611" s="13" t="s">
        <v>24</v>
      </c>
      <c r="G611" s="13" t="s">
        <v>9</v>
      </c>
      <c r="H611" s="14">
        <v>0.2</v>
      </c>
      <c r="I611" s="41"/>
    </row>
  </sheetData>
  <conditionalFormatting sqref="G2">
    <cfRule type="containsText" dxfId="3" priority="7" operator="containsText" text="Clear Weather">
      <formula>NOT(ISERROR(SEARCH("Clear Weather",G2)))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D4B64836-8536-4B6F-8AAD-FB2BD63D7B69}">
            <xm:f>NOT(ISERROR(SEARCH($G$7,G1)))</xm:f>
            <xm:f>$G$7</xm:f>
            <x14:dxf>
              <font>
                <color rgb="FF9C5700"/>
              </font>
              <fill>
                <patternFill>
                  <bgColor rgb="FFFFEB9C"/>
                </patternFill>
              </fill>
            </x14:dxf>
          </x14:cfRule>
          <x14:cfRule type="containsText" priority="4" operator="containsText" id="{CF662D25-7633-405C-ADF2-083A51ED6BBE}">
            <xm:f>NOT(ISERROR(SEARCH($G$2,G1)))</xm:f>
            <xm:f>$G$2</xm:f>
            <x14:dxf>
              <font>
                <color rgb="FF006100"/>
              </font>
              <fill>
                <patternFill>
                  <bgColor rgb="FFC6EFCE"/>
                </patternFill>
              </fill>
            </x14:dxf>
          </x14:cfRule>
          <xm:sqref>G1:G1048576</xm:sqref>
        </x14:conditionalFormatting>
        <x14:conditionalFormatting xmlns:xm="http://schemas.microsoft.com/office/excel/2006/main">
          <x14:cfRule type="containsText" priority="6" operator="containsText" id="{FCBA2A93-FD41-4164-A617-33B9A2C11545}">
            <xm:f>NOT(ISERROR(SEARCH($G$2,G2)))</xm:f>
            <xm:f>$G$2</xm:f>
            <x14:dxf>
              <font>
                <color rgb="FF9C0006"/>
              </font>
              <fill>
                <patternFill>
                  <bgColor rgb="FFFFC7CE"/>
                </patternFill>
              </fill>
            </x14:dxf>
          </x14:cfRule>
          <xm:sqref>G2</xm:sqref>
        </x14:conditionalFormatting>
        <x14:conditionalFormatting xmlns:xm="http://schemas.microsoft.com/office/excel/2006/main">
          <x14:cfRule type="containsText" priority="1" operator="containsText" id="{0BCE438F-3CC9-4EFE-80C0-DF179566C34D}">
            <xm:f>NOT(ISERROR(SEARCH($G$587,G2)))</xm:f>
            <xm:f>$G$587</xm:f>
            <x14:dxf>
              <fill>
                <patternFill>
                  <bgColor rgb="FFFF0000"/>
                </patternFill>
              </fill>
            </x14:dxf>
          </x14:cfRule>
          <x14:cfRule type="containsText" priority="2" operator="containsText" id="{C32A1B3E-4CA7-4026-BE05-11E28B2985A6}">
            <xm:f>NOT(ISERROR(SEARCH($G$20,G2)))</xm:f>
            <xm:f>$G$20</xm:f>
            <x14:dxf>
              <font>
                <color rgb="FF9C0006"/>
              </font>
              <fill>
                <patternFill>
                  <bgColor rgb="FFFFC7CE"/>
                </patternFill>
              </fill>
            </x14:dxf>
          </x14:cfRule>
          <xm:sqref>G2:G611</xm:sqref>
        </x14:conditionalFormatting>
        <x14:conditionalFormatting xmlns:xm="http://schemas.microsoft.com/office/excel/2006/main">
          <x14:cfRule type="containsText" priority="5" operator="containsText" id="{1F800DF3-97BA-4612-8B54-B9C80DC9B361}">
            <xm:f>NOT(ISERROR(SEARCH($G$2,J7)))</xm:f>
            <xm:f>$G$2</xm:f>
            <x14:dxf>
              <font>
                <color rgb="FF006100"/>
              </font>
              <fill>
                <patternFill>
                  <bgColor rgb="FFC6EFCE"/>
                </patternFill>
              </fill>
            </x14:dxf>
          </x14:cfRule>
          <xm:sqref>J7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3F49AC-9C2B-4194-8B03-83CAFC9384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Forecasting Sheet</vt:lpstr>
      <vt:lpstr>Outlier</vt:lpstr>
      <vt:lpstr>Dashboard</vt:lpstr>
      <vt:lpstr>Advanced Visualisations</vt:lpstr>
      <vt:lpstr>Pivot Tables</vt:lpstr>
      <vt:lpstr>Dataset_B</vt:lpstr>
      <vt:lpstr>Dataset_A</vt:lpstr>
      <vt:lpstr>Cleaned-dataset_3</vt:lpstr>
      <vt:lpstr>Cleaned-dataset_2</vt:lpstr>
      <vt:lpstr>Cleaned-dataset_1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Anushri Thakur</dc:creator>
  <cp:lastModifiedBy>Anushri Thakur</cp:lastModifiedBy>
  <dcterms:created xsi:type="dcterms:W3CDTF">2026-09-28T18:09:25Z</dcterms:created>
  <dcterms:modified xsi:type="dcterms:W3CDTF">2026-10-10T17:10:39Z</dcterms:modified>
</cp:coreProperties>
</file>